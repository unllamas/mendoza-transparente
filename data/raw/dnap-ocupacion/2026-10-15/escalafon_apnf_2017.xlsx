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A2DCBB71-47ED-4167-831A-2BAE44AFDB60}" xr6:coauthVersionLast="47" xr6:coauthVersionMax="47" xr10:uidLastSave="{00000000-0000-0000-0000-000000000000}"/>
  <bookViews>
    <workbookView xWindow="-120" yWindow="-120" windowWidth="29040" windowHeight="15840" xr2:uid="{39D6111B-588A-428F-B34C-0F389A626E42}"/>
  </bookViews>
  <sheets>
    <sheet name="20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L10" i="1"/>
  <c r="L27" i="1"/>
  <c r="L13" i="1"/>
  <c r="L11" i="1"/>
  <c r="L28" i="1"/>
  <c r="L21" i="1"/>
  <c r="L14" i="1"/>
  <c r="L26" i="1"/>
  <c r="L22" i="1"/>
  <c r="L8" i="1"/>
  <c r="L20" i="1"/>
  <c r="L30" i="1"/>
  <c r="L23" i="1"/>
  <c r="L16" i="1"/>
  <c r="L9" i="1"/>
  <c r="C31" i="1"/>
  <c r="L7" i="1"/>
  <c r="D31" i="1"/>
  <c r="E31" i="1"/>
  <c r="L12" i="1"/>
  <c r="L24" i="1"/>
  <c r="G31" i="1"/>
  <c r="L17" i="1"/>
  <c r="I31" i="1"/>
  <c r="K31" i="1"/>
  <c r="L15" i="1"/>
  <c r="L25" i="1"/>
  <c r="L18" i="1"/>
  <c r="L19" i="1"/>
  <c r="F31" i="1"/>
  <c r="L29" i="1"/>
  <c r="J31" i="1"/>
  <c r="L31" i="1" l="1"/>
</calcChain>
</file>

<file path=xl/sharedStrings.xml><?xml version="1.0" encoding="utf-8"?>
<sst xmlns="http://schemas.openxmlformats.org/spreadsheetml/2006/main" count="44" uniqueCount="43">
  <si>
    <t>PLANTA DE LA ADMINISTRACIÓN PÚBLICA PROVINCIAL NO FINANCIERA POR ESCALAFÓN - 24 JURISDICCIONES</t>
  </si>
  <si>
    <t>CARGOS OCUPADOS CON LIQUIDACIÓN DE HABERES</t>
  </si>
  <si>
    <t>A DICIEMBRE DE 2017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</si>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</sst>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b/>
      <sz val="11"/>
      <name val="Roboto"/>
    </font>
    <font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1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2" applyFont="1"/>
    <xf numFmtId="0" fontId="10" fillId="0" borderId="0" xfId="2" applyFont="1"/>
    <xf numFmtId="0" fontId="9" fillId="0" borderId="0" xfId="2" applyFont="1"/>
    <xf numFmtId="0" fontId="5" fillId="0" borderId="0" xfId="0" applyFont="1"/>
    <xf numFmtId="0" fontId="5" fillId="0" borderId="0" xfId="0" applyFont="1" applyAlignment="1">
      <alignment horizontal="right" vertical="center"/>
    </xf>
    <xf numFmtId="2" fontId="12" fillId="2" borderId="5" xfId="0" applyNumberFormat="1" applyFont="1" applyFill="1" applyBorder="1" applyAlignment="1">
      <alignment horizontal="left" vertical="center" wrapText="1"/>
    </xf>
    <xf numFmtId="0" fontId="10" fillId="0" borderId="0" xfId="2" applyFont="1" applyAlignment="1">
      <alignment horizontal="left"/>
    </xf>
    <xf numFmtId="2" fontId="12" fillId="2" borderId="6" xfId="0" applyNumberFormat="1" applyFont="1" applyFill="1" applyBorder="1" applyAlignment="1">
      <alignment horizontal="center" vertical="center" wrapText="1"/>
    </xf>
    <xf numFmtId="2" fontId="12" fillId="2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DE990F11-E5E4-4F56-A76F-20ED5D1C1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F1CF38-DE48-4C63-9852-444306A7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97DC-883E-40B1-BE3B-7F09E4041781}">
  <dimension ref="A1:M35"/>
  <sheetViews>
    <sheetView tabSelected="1" workbookViewId="0">
      <selection activeCell="B33" sqref="B33"/>
    </sheetView>
  </sheetViews>
  <sheetFormatPr baseColWidth="10" defaultRowHeight="15" x14ac:dyDescent="0.25"/>
  <cols>
    <col min="1" max="1" width="4.7109375" style="1" customWidth="1"/>
    <col min="2" max="2" width="24.28515625" style="1" customWidth="1"/>
    <col min="3" max="11" width="11.42578125" style="1"/>
    <col min="12" max="12" width="11.42578125" style="2"/>
    <col min="13" max="13" width="11.42578125" style="1"/>
  </cols>
  <sheetData>
    <row r="1" spans="1:13" s="21" customForma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19"/>
    </row>
    <row r="2" spans="1:13" s="21" customFormat="1" ht="15.75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9"/>
    </row>
    <row r="3" spans="1:13" s="21" customFormat="1" x14ac:dyDescent="0.25">
      <c r="A3" s="22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19"/>
    </row>
    <row r="4" spans="1:13" s="21" customFormat="1" x14ac:dyDescent="0.25">
      <c r="A4" s="22"/>
      <c r="B4" s="29" t="s">
        <v>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19"/>
    </row>
    <row r="5" spans="1:13" ht="15" customHeight="1" x14ac:dyDescent="0.25">
      <c r="A5" s="3"/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</row>
    <row r="6" spans="1:13" x14ac:dyDescent="0.25">
      <c r="A6" s="3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x14ac:dyDescent="0.25">
      <c r="A7" s="3"/>
      <c r="B7" s="4" t="s">
        <v>14</v>
      </c>
      <c r="C7" s="5">
        <v>141787</v>
      </c>
      <c r="D7" s="5">
        <v>353092</v>
      </c>
      <c r="E7" s="5">
        <v>54705</v>
      </c>
      <c r="F7" s="5">
        <v>93031</v>
      </c>
      <c r="G7" s="5">
        <v>1049</v>
      </c>
      <c r="H7" s="5">
        <v>1427</v>
      </c>
      <c r="I7" s="5">
        <v>25240</v>
      </c>
      <c r="J7" s="5">
        <v>2610</v>
      </c>
      <c r="K7" s="5">
        <v>31364</v>
      </c>
      <c r="L7" s="6">
        <f t="shared" ref="L7:L31" si="0">+SUM(C7:K7)</f>
        <v>704305</v>
      </c>
    </row>
    <row r="8" spans="1:13" x14ac:dyDescent="0.25">
      <c r="A8" s="3"/>
      <c r="B8" s="7" t="s">
        <v>15</v>
      </c>
      <c r="C8" s="8">
        <v>39101</v>
      </c>
      <c r="D8" s="8">
        <v>75679</v>
      </c>
      <c r="E8" s="8">
        <v>35384</v>
      </c>
      <c r="F8" s="8">
        <v>29462</v>
      </c>
      <c r="G8" s="8">
        <v>0</v>
      </c>
      <c r="H8" s="8">
        <v>1264</v>
      </c>
      <c r="I8" s="8">
        <v>20232</v>
      </c>
      <c r="J8" s="8">
        <v>4126</v>
      </c>
      <c r="K8" s="8">
        <v>6881</v>
      </c>
      <c r="L8" s="9">
        <f t="shared" si="0"/>
        <v>212129</v>
      </c>
    </row>
    <row r="9" spans="1:13" x14ac:dyDescent="0.25">
      <c r="A9" s="3"/>
      <c r="B9" s="7" t="s">
        <v>16</v>
      </c>
      <c r="C9" s="8">
        <v>10904</v>
      </c>
      <c r="D9" s="8">
        <v>17628</v>
      </c>
      <c r="E9" s="8">
        <v>5876</v>
      </c>
      <c r="F9" s="8">
        <v>3870</v>
      </c>
      <c r="G9" s="8">
        <v>1124</v>
      </c>
      <c r="H9" s="8">
        <v>1153</v>
      </c>
      <c r="I9" s="8">
        <v>333</v>
      </c>
      <c r="J9" s="8">
        <v>2627</v>
      </c>
      <c r="K9" s="8">
        <v>1725</v>
      </c>
      <c r="L9" s="9">
        <f t="shared" si="0"/>
        <v>45240</v>
      </c>
    </row>
    <row r="10" spans="1:13" x14ac:dyDescent="0.25">
      <c r="A10" s="3"/>
      <c r="B10" s="7" t="s">
        <v>17</v>
      </c>
      <c r="C10" s="8">
        <v>14158</v>
      </c>
      <c r="D10" s="8">
        <v>39764</v>
      </c>
      <c r="E10" s="8">
        <v>10735</v>
      </c>
      <c r="F10" s="8">
        <v>8555</v>
      </c>
      <c r="G10" s="8">
        <v>838</v>
      </c>
      <c r="H10" s="8">
        <v>172</v>
      </c>
      <c r="I10" s="8">
        <v>11981</v>
      </c>
      <c r="J10" s="8">
        <v>1953</v>
      </c>
      <c r="K10" s="8">
        <v>4053</v>
      </c>
      <c r="L10" s="9">
        <f t="shared" si="0"/>
        <v>92209</v>
      </c>
    </row>
    <row r="11" spans="1:13" x14ac:dyDescent="0.25">
      <c r="A11" s="3"/>
      <c r="B11" s="7" t="s">
        <v>18</v>
      </c>
      <c r="C11" s="8">
        <v>4198</v>
      </c>
      <c r="D11" s="8">
        <v>20032</v>
      </c>
      <c r="E11" s="8">
        <v>6539</v>
      </c>
      <c r="F11" s="8">
        <v>5113</v>
      </c>
      <c r="G11" s="8">
        <v>737</v>
      </c>
      <c r="H11" s="8">
        <v>82</v>
      </c>
      <c r="I11" s="8">
        <v>6930</v>
      </c>
      <c r="J11" s="8">
        <v>364</v>
      </c>
      <c r="K11" s="8">
        <v>1768</v>
      </c>
      <c r="L11" s="9">
        <f t="shared" si="0"/>
        <v>45763</v>
      </c>
    </row>
    <row r="12" spans="1:13" x14ac:dyDescent="0.25">
      <c r="A12" s="3"/>
      <c r="B12" s="7" t="s">
        <v>19</v>
      </c>
      <c r="C12" s="8">
        <v>18613</v>
      </c>
      <c r="D12" s="8">
        <v>60813</v>
      </c>
      <c r="E12" s="8">
        <v>11771</v>
      </c>
      <c r="F12" s="8">
        <v>24463</v>
      </c>
      <c r="G12" s="8">
        <v>351</v>
      </c>
      <c r="H12" s="8">
        <v>181</v>
      </c>
      <c r="I12" s="8">
        <v>1428</v>
      </c>
      <c r="J12" s="8">
        <v>1616</v>
      </c>
      <c r="K12" s="8">
        <v>8145</v>
      </c>
      <c r="L12" s="9">
        <f t="shared" si="0"/>
        <v>127381</v>
      </c>
    </row>
    <row r="13" spans="1:13" x14ac:dyDescent="0.25">
      <c r="A13" s="3"/>
      <c r="B13" s="7" t="s">
        <v>20</v>
      </c>
      <c r="C13" s="8">
        <v>7142</v>
      </c>
      <c r="D13" s="8">
        <v>33232</v>
      </c>
      <c r="E13" s="8">
        <v>7311</v>
      </c>
      <c r="F13" s="8">
        <v>9254</v>
      </c>
      <c r="G13" s="8">
        <v>403</v>
      </c>
      <c r="H13" s="8">
        <v>372</v>
      </c>
      <c r="I13" s="8">
        <v>110</v>
      </c>
      <c r="J13" s="8">
        <v>2230</v>
      </c>
      <c r="K13" s="8">
        <v>2584</v>
      </c>
      <c r="L13" s="9">
        <f t="shared" si="0"/>
        <v>62638</v>
      </c>
    </row>
    <row r="14" spans="1:13" x14ac:dyDescent="0.25">
      <c r="A14" s="3"/>
      <c r="B14" s="7" t="s">
        <v>21</v>
      </c>
      <c r="C14" s="8">
        <v>25822</v>
      </c>
      <c r="D14" s="8">
        <v>37269</v>
      </c>
      <c r="E14" s="8">
        <v>9929</v>
      </c>
      <c r="F14" s="8">
        <v>11830</v>
      </c>
      <c r="G14" s="8">
        <v>1987</v>
      </c>
      <c r="H14" s="8">
        <v>716</v>
      </c>
      <c r="I14" s="8">
        <v>369</v>
      </c>
      <c r="J14" s="8">
        <v>460</v>
      </c>
      <c r="K14" s="8">
        <v>2491</v>
      </c>
      <c r="L14" s="9">
        <f t="shared" si="0"/>
        <v>90873</v>
      </c>
    </row>
    <row r="15" spans="1:13" x14ac:dyDescent="0.25">
      <c r="A15" s="3"/>
      <c r="B15" s="7" t="s">
        <v>22</v>
      </c>
      <c r="C15" s="8">
        <v>9702</v>
      </c>
      <c r="D15" s="8">
        <v>15955</v>
      </c>
      <c r="E15" s="8">
        <v>6255</v>
      </c>
      <c r="F15" s="8">
        <v>4646</v>
      </c>
      <c r="G15" s="8">
        <v>401</v>
      </c>
      <c r="H15" s="8">
        <v>502</v>
      </c>
      <c r="I15" s="8">
        <v>489</v>
      </c>
      <c r="J15" s="8">
        <v>2232</v>
      </c>
      <c r="K15" s="8">
        <v>1609</v>
      </c>
      <c r="L15" s="9">
        <f t="shared" si="0"/>
        <v>41791</v>
      </c>
    </row>
    <row r="16" spans="1:13" x14ac:dyDescent="0.25">
      <c r="A16" s="3"/>
      <c r="B16" s="7" t="s">
        <v>23</v>
      </c>
      <c r="C16" s="8">
        <v>13890</v>
      </c>
      <c r="D16" s="8">
        <v>27333</v>
      </c>
      <c r="E16" s="8">
        <v>9488</v>
      </c>
      <c r="F16" s="8">
        <v>8716</v>
      </c>
      <c r="G16" s="8">
        <v>455</v>
      </c>
      <c r="H16" s="8">
        <v>516</v>
      </c>
      <c r="I16" s="8">
        <v>1102</v>
      </c>
      <c r="J16" s="8">
        <v>1065</v>
      </c>
      <c r="K16" s="8">
        <v>1729</v>
      </c>
      <c r="L16" s="9">
        <f t="shared" si="0"/>
        <v>64294</v>
      </c>
    </row>
    <row r="17" spans="1:12" x14ac:dyDescent="0.25">
      <c r="A17" s="10" t="s">
        <v>24</v>
      </c>
      <c r="B17" s="7" t="s">
        <v>25</v>
      </c>
      <c r="C17" s="8">
        <v>6991</v>
      </c>
      <c r="D17" s="8">
        <v>10686</v>
      </c>
      <c r="E17" s="8">
        <v>4233</v>
      </c>
      <c r="F17" s="8">
        <v>2817</v>
      </c>
      <c r="G17" s="8">
        <v>546</v>
      </c>
      <c r="H17" s="8">
        <v>306</v>
      </c>
      <c r="I17" s="8">
        <v>334</v>
      </c>
      <c r="J17" s="8">
        <v>408</v>
      </c>
      <c r="K17" s="8">
        <v>1270</v>
      </c>
      <c r="L17" s="9">
        <f t="shared" si="0"/>
        <v>27591</v>
      </c>
    </row>
    <row r="18" spans="1:12" x14ac:dyDescent="0.25">
      <c r="A18" s="3"/>
      <c r="B18" s="7" t="s">
        <v>26</v>
      </c>
      <c r="C18" s="8">
        <v>11347</v>
      </c>
      <c r="D18" s="8">
        <v>15292</v>
      </c>
      <c r="E18" s="8">
        <v>5538</v>
      </c>
      <c r="F18" s="8">
        <v>4306</v>
      </c>
      <c r="G18" s="8">
        <v>401</v>
      </c>
      <c r="H18" s="8">
        <v>857</v>
      </c>
      <c r="I18" s="8">
        <v>633</v>
      </c>
      <c r="J18" s="8">
        <v>913</v>
      </c>
      <c r="K18" s="8">
        <v>1143</v>
      </c>
      <c r="L18" s="9">
        <f t="shared" si="0"/>
        <v>40430</v>
      </c>
    </row>
    <row r="19" spans="1:12" x14ac:dyDescent="0.25">
      <c r="A19" s="3"/>
      <c r="B19" s="7" t="s">
        <v>27</v>
      </c>
      <c r="C19" s="8">
        <v>14722</v>
      </c>
      <c r="D19" s="8">
        <v>43958</v>
      </c>
      <c r="E19" s="8">
        <v>16131</v>
      </c>
      <c r="F19" s="8">
        <v>12224</v>
      </c>
      <c r="G19" s="8">
        <v>984</v>
      </c>
      <c r="H19" s="8">
        <v>309</v>
      </c>
      <c r="I19" s="8">
        <v>1118</v>
      </c>
      <c r="J19" s="8">
        <v>1158</v>
      </c>
      <c r="K19" s="8">
        <v>5339</v>
      </c>
      <c r="L19" s="9">
        <f t="shared" si="0"/>
        <v>95943</v>
      </c>
    </row>
    <row r="20" spans="1:12" x14ac:dyDescent="0.25">
      <c r="A20" s="3"/>
      <c r="B20" s="7" t="s">
        <v>28</v>
      </c>
      <c r="C20" s="8">
        <v>7342</v>
      </c>
      <c r="D20" s="8">
        <v>30814</v>
      </c>
      <c r="E20" s="8">
        <v>5422</v>
      </c>
      <c r="F20" s="8">
        <v>10816</v>
      </c>
      <c r="G20" s="8">
        <v>557</v>
      </c>
      <c r="H20" s="8">
        <v>157</v>
      </c>
      <c r="I20" s="8">
        <v>126</v>
      </c>
      <c r="J20" s="8">
        <v>1347</v>
      </c>
      <c r="K20" s="8">
        <v>3529</v>
      </c>
      <c r="L20" s="9">
        <f t="shared" si="0"/>
        <v>60110</v>
      </c>
    </row>
    <row r="21" spans="1:12" x14ac:dyDescent="0.25">
      <c r="A21" s="3"/>
      <c r="B21" s="7" t="s">
        <v>29</v>
      </c>
      <c r="C21" s="8">
        <v>5132</v>
      </c>
      <c r="D21" s="8">
        <v>26521</v>
      </c>
      <c r="E21" s="8">
        <v>8672</v>
      </c>
      <c r="F21" s="8">
        <v>6823</v>
      </c>
      <c r="G21" s="8">
        <v>595</v>
      </c>
      <c r="H21" s="8">
        <v>1891</v>
      </c>
      <c r="I21" s="8">
        <v>13132</v>
      </c>
      <c r="J21" s="8">
        <v>695</v>
      </c>
      <c r="K21" s="8">
        <v>2042</v>
      </c>
      <c r="L21" s="9">
        <f t="shared" si="0"/>
        <v>65503</v>
      </c>
    </row>
    <row r="22" spans="1:12" x14ac:dyDescent="0.25">
      <c r="A22" s="3"/>
      <c r="B22" s="7" t="s">
        <v>30</v>
      </c>
      <c r="C22" s="8">
        <v>12217</v>
      </c>
      <c r="D22" s="8">
        <v>26085</v>
      </c>
      <c r="E22" s="8">
        <v>6408</v>
      </c>
      <c r="F22" s="8">
        <v>8354</v>
      </c>
      <c r="G22" s="8">
        <v>433</v>
      </c>
      <c r="H22" s="8">
        <v>224</v>
      </c>
      <c r="I22" s="8">
        <v>351</v>
      </c>
      <c r="J22" s="8">
        <v>814</v>
      </c>
      <c r="K22" s="8">
        <v>2146</v>
      </c>
      <c r="L22" s="9">
        <f t="shared" si="0"/>
        <v>57032</v>
      </c>
    </row>
    <row r="23" spans="1:12" x14ac:dyDescent="0.25">
      <c r="A23" s="3"/>
      <c r="B23" s="7" t="s">
        <v>31</v>
      </c>
      <c r="C23" s="8">
        <v>12861</v>
      </c>
      <c r="D23" s="8">
        <v>34211</v>
      </c>
      <c r="E23" s="8">
        <v>9815</v>
      </c>
      <c r="F23" s="8">
        <v>14262</v>
      </c>
      <c r="G23" s="8">
        <v>642</v>
      </c>
      <c r="H23" s="8">
        <v>50</v>
      </c>
      <c r="I23" s="8">
        <v>143</v>
      </c>
      <c r="J23" s="8">
        <v>1184</v>
      </c>
      <c r="K23" s="8">
        <v>4057</v>
      </c>
      <c r="L23" s="9">
        <f t="shared" si="0"/>
        <v>77225</v>
      </c>
    </row>
    <row r="24" spans="1:12" x14ac:dyDescent="0.25">
      <c r="A24" s="3"/>
      <c r="B24" s="7" t="s">
        <v>32</v>
      </c>
      <c r="C24" s="8">
        <v>12291</v>
      </c>
      <c r="D24" s="8">
        <v>18717</v>
      </c>
      <c r="E24" s="8">
        <v>8032</v>
      </c>
      <c r="F24" s="8">
        <v>5386</v>
      </c>
      <c r="G24" s="8">
        <v>299</v>
      </c>
      <c r="H24" s="8">
        <v>363</v>
      </c>
      <c r="I24" s="8">
        <v>367</v>
      </c>
      <c r="J24" s="8">
        <v>487</v>
      </c>
      <c r="K24" s="8">
        <v>1343</v>
      </c>
      <c r="L24" s="9">
        <f t="shared" si="0"/>
        <v>47285</v>
      </c>
    </row>
    <row r="25" spans="1:12" x14ac:dyDescent="0.25">
      <c r="A25" s="10" t="s">
        <v>24</v>
      </c>
      <c r="B25" s="7" t="s">
        <v>33</v>
      </c>
      <c r="C25" s="8">
        <v>6080</v>
      </c>
      <c r="D25" s="8">
        <v>9800</v>
      </c>
      <c r="E25" s="8">
        <v>3953</v>
      </c>
      <c r="F25" s="8">
        <v>3946</v>
      </c>
      <c r="G25" s="8">
        <v>120</v>
      </c>
      <c r="H25" s="8">
        <v>623</v>
      </c>
      <c r="I25" s="8">
        <v>50</v>
      </c>
      <c r="J25" s="8">
        <v>221</v>
      </c>
      <c r="K25" s="8">
        <v>1349</v>
      </c>
      <c r="L25" s="9">
        <f t="shared" si="0"/>
        <v>26142</v>
      </c>
    </row>
    <row r="26" spans="1:12" x14ac:dyDescent="0.25">
      <c r="A26" s="3"/>
      <c r="B26" s="7" t="s">
        <v>34</v>
      </c>
      <c r="C26" s="8">
        <v>8602</v>
      </c>
      <c r="D26" s="8">
        <v>13152</v>
      </c>
      <c r="E26" s="8">
        <v>3240</v>
      </c>
      <c r="F26" s="8">
        <v>5741</v>
      </c>
      <c r="G26" s="8">
        <v>824</v>
      </c>
      <c r="H26" s="8">
        <v>705</v>
      </c>
      <c r="I26" s="8">
        <v>666</v>
      </c>
      <c r="J26" s="8">
        <v>756</v>
      </c>
      <c r="K26" s="8">
        <v>1280</v>
      </c>
      <c r="L26" s="9">
        <f t="shared" si="0"/>
        <v>34966</v>
      </c>
    </row>
    <row r="27" spans="1:12" x14ac:dyDescent="0.25">
      <c r="A27" s="3"/>
      <c r="B27" s="7" t="s">
        <v>35</v>
      </c>
      <c r="C27" s="8">
        <v>133614</v>
      </c>
      <c r="D27" s="8">
        <v>61380</v>
      </c>
      <c r="E27" s="8">
        <v>8367</v>
      </c>
      <c r="F27" s="8">
        <v>25800</v>
      </c>
      <c r="G27" s="8">
        <v>1270</v>
      </c>
      <c r="H27" s="8">
        <v>1008</v>
      </c>
      <c r="I27" s="8">
        <v>2007</v>
      </c>
      <c r="J27" s="8">
        <v>1555</v>
      </c>
      <c r="K27" s="8">
        <v>4591</v>
      </c>
      <c r="L27" s="9">
        <f t="shared" si="0"/>
        <v>239592</v>
      </c>
    </row>
    <row r="28" spans="1:12" x14ac:dyDescent="0.25">
      <c r="A28" s="3"/>
      <c r="B28" s="7" t="s">
        <v>36</v>
      </c>
      <c r="C28" s="8">
        <v>15365</v>
      </c>
      <c r="D28" s="8">
        <v>26571</v>
      </c>
      <c r="E28" s="8">
        <v>8104</v>
      </c>
      <c r="F28" s="8">
        <v>7712</v>
      </c>
      <c r="G28" s="8">
        <v>1000</v>
      </c>
      <c r="H28" s="8">
        <v>515</v>
      </c>
      <c r="I28" s="8">
        <v>3452</v>
      </c>
      <c r="J28" s="8">
        <v>377</v>
      </c>
      <c r="K28" s="8">
        <v>2681</v>
      </c>
      <c r="L28" s="9">
        <f t="shared" si="0"/>
        <v>65777</v>
      </c>
    </row>
    <row r="29" spans="1:12" x14ac:dyDescent="0.25">
      <c r="A29" s="3"/>
      <c r="B29" s="7" t="s">
        <v>37</v>
      </c>
      <c r="C29" s="8">
        <v>4933</v>
      </c>
      <c r="D29" s="8">
        <v>8431</v>
      </c>
      <c r="E29" s="8">
        <v>2486</v>
      </c>
      <c r="F29" s="8">
        <v>2228</v>
      </c>
      <c r="G29" s="8">
        <v>153</v>
      </c>
      <c r="H29" s="8">
        <v>249</v>
      </c>
      <c r="I29" s="8">
        <v>463</v>
      </c>
      <c r="J29" s="8">
        <v>327</v>
      </c>
      <c r="K29" s="8">
        <v>661</v>
      </c>
      <c r="L29" s="9">
        <f t="shared" si="0"/>
        <v>19931</v>
      </c>
    </row>
    <row r="30" spans="1:12" x14ac:dyDescent="0.25">
      <c r="A30" s="3"/>
      <c r="B30" s="11" t="s">
        <v>38</v>
      </c>
      <c r="C30" s="12">
        <v>16068</v>
      </c>
      <c r="D30" s="12">
        <v>31012</v>
      </c>
      <c r="E30" s="12">
        <v>25301</v>
      </c>
      <c r="F30" s="12">
        <v>11480</v>
      </c>
      <c r="G30" s="12">
        <v>1308</v>
      </c>
      <c r="H30" s="12">
        <v>163</v>
      </c>
      <c r="I30" s="12">
        <v>1420</v>
      </c>
      <c r="J30" s="12">
        <v>4938</v>
      </c>
      <c r="K30" s="12">
        <v>3765</v>
      </c>
      <c r="L30" s="13">
        <f t="shared" si="0"/>
        <v>95455</v>
      </c>
    </row>
    <row r="31" spans="1:12" x14ac:dyDescent="0.25">
      <c r="A31" s="3"/>
      <c r="B31" s="23" t="s">
        <v>39</v>
      </c>
      <c r="C31" s="14">
        <f t="shared" ref="C31:K31" si="1">SUM(C7:C30)</f>
        <v>552882</v>
      </c>
      <c r="D31" s="14">
        <f t="shared" si="1"/>
        <v>1037427</v>
      </c>
      <c r="E31" s="14">
        <f t="shared" si="1"/>
        <v>273695</v>
      </c>
      <c r="F31" s="14">
        <f t="shared" si="1"/>
        <v>320835</v>
      </c>
      <c r="G31" s="14">
        <f t="shared" si="1"/>
        <v>16477</v>
      </c>
      <c r="H31" s="14">
        <f t="shared" si="1"/>
        <v>13805</v>
      </c>
      <c r="I31" s="14">
        <f t="shared" si="1"/>
        <v>92476</v>
      </c>
      <c r="J31" s="14">
        <f t="shared" si="1"/>
        <v>34463</v>
      </c>
      <c r="K31" s="14">
        <f t="shared" si="1"/>
        <v>97545</v>
      </c>
      <c r="L31" s="14">
        <f t="shared" si="0"/>
        <v>2439605</v>
      </c>
    </row>
    <row r="32" spans="1:12" x14ac:dyDescent="0.25">
      <c r="A32" s="3"/>
      <c r="B32" s="15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3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8" t="s">
        <v>41</v>
      </c>
    </row>
    <row r="35" spans="1:12" x14ac:dyDescent="0.25">
      <c r="B35" s="24" t="s">
        <v>42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2026-09-22T15:45:12Z</dcterms:created>
  <dcterms:modified xsi:type="dcterms:W3CDTF">2026-10-14T17:41:51Z</dcterms:modified>
</cp:coreProperties>
</file>