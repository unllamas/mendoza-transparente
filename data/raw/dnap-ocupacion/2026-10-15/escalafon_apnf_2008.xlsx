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6ECF1031-0806-44E8-9454-7C425703857F}" xr6:coauthVersionLast="47" xr6:coauthVersionMax="47" xr10:uidLastSave="{00000000-0000-0000-0000-000000000000}"/>
  <bookViews>
    <workbookView xWindow="-120" yWindow="-120" windowWidth="29040" windowHeight="15840" xr2:uid="{104381B2-7D94-4E54-822E-2C2F00B1E340}"/>
  </bookViews>
  <sheets>
    <sheet name="12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<sst xmlns="http://schemas.openxmlformats.org/spreadsheetml/2006/main" count="48" uniqueCount="47">
  <si>
    <t>PLANTA DE LA ADMINISTRACIÓN PÚBLICA PROVINCIAL NO FINANCIERA POR ESCALAFÓN - 24 JURISDICCIONES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</si>
  <si>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</si>
  <si>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</si>
  <si>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</si>
  <si>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</si>
  <si>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</si>
  <si>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</si>
  <si>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</si>
  <si>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</si>
  <si>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</si>
  <si>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</si>
  <si>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</si>
  <si>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</si>
  <si>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</si>
  <si>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</si>
  <si>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</si>
  <si>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</si>
  <si>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</si>
  <si>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</si>
  <si>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</si>
  <si>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</si>
  <si>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</si>
  <si>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</si>
  <si>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</si>
  <si>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</si>
  <si>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</si>
  <si>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</si>
  <si>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</si>
  <si>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</si>
  <si>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</si>
  <si>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</si>
  <si>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</si>
  <si>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</si>
  <si>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</si>
  <si>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</si>
  <si>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</si>
  <si>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</si>
  <si>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</si>
  <si>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</si>
  <si>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</si>
  <si>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</si>
  <si>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</si>
  <si>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t>(1): Cargos Ocupados con y sin remuneración, informado por las jurisdicciones sin discriminar.</t>
  </si>
  <si>
    <t>A DICIEMBRE DE 2008</t>
  </si>
  <si>
    <r>
      <t>Nota</t>
    </r>
    <r>
      <rPr>
        <sz val="10"/>
        <rFont val="Roboto"/>
      </rPr>
      <t xml:space="preserve">: La información suministrada hasta 2016 cuantifica al Personal Ocupado en la Administración Pública No Financiera, según especificación del Anexo III, Art. 7° (Reglamentado por Decreto 1731/2004). A partir de los cambios metodológicos informados por el Consejo Federal de Responsabilidad Fiscal, de aplicación a partir de Diciembre 2017, la misma no es comparable con la información suministrada por las jurisdicciones a partir de 2017 y ejercicios posteriores. </t>
    </r>
  </si>
  <si>
    <r>
      <t>CARGOS OCUPADOS</t>
    </r>
    <r>
      <rPr>
        <vertAlign val="superscript"/>
        <sz val="11"/>
        <color theme="1"/>
        <rFont val="Roboto"/>
      </rPr>
      <t>(1)</t>
    </r>
    <r>
      <rPr>
        <sz val="11"/>
        <color theme="1"/>
        <rFont val="Roboto"/>
      </rPr>
      <t xml:space="preserve"> POR JURISDICCIÓN  - 24 JURISDICCIONES</t>
    </r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</si>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</sst>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theme="1"/>
      <name val="Roboto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vertAlign val="superscript"/>
      <sz val="11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6" fillId="0" borderId="1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2" applyFont="1"/>
    <xf numFmtId="0" fontId="6" fillId="0" borderId="0" xfId="2" applyFont="1"/>
    <xf numFmtId="164" fontId="6" fillId="2" borderId="3" xfId="1" applyNumberFormat="1" applyFont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3" fillId="0" borderId="0" xfId="0" applyFont="1" applyAlignment="1">
      <alignment vertical="center"/>
    </xf>
    <xf numFmtId="2" fontId="13" fillId="3" borderId="7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2" fontId="13" fillId="3" borderId="8" xfId="0" applyNumberFormat="1" applyFont="1" applyFill="1" applyBorder="1" applyAlignment="1">
      <alignment horizontal="center" vertical="center" wrapText="1"/>
    </xf>
    <xf numFmtId="2" fontId="13" fillId="3" borderId="9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/>
    </xf>
    <xf numFmtId="2" fontId="6" fillId="0" borderId="5" xfId="0" quotePrefix="1" applyNumberFormat="1" applyFont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9252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5FB3CD-C203-4C17-B5BE-E6E31615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9"/>
  <sheetViews>
    <sheetView tabSelected="1" workbookViewId="0">
      <selection activeCell="B2" sqref="B2:L2"/>
    </sheetView>
  </sheetViews>
  <sheetFormatPr baseColWidth="10" defaultRowHeight="15" x14ac:dyDescent="0.25"/>
  <cols>
    <col min="1" max="1" width="4.7109375" style="12" customWidth="1"/>
    <col min="2" max="2" width="20.57031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6.5" x14ac:dyDescent="0.25">
      <c r="A2" s="22"/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15.75" customHeight="1" x14ac:dyDescent="0.25">
      <c r="A3" s="14"/>
      <c r="B3" s="24" t="s">
        <v>45</v>
      </c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25">
      <c r="A4" s="14"/>
      <c r="B4" s="25" t="s">
        <v>43</v>
      </c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 ht="15" customHeight="1" x14ac:dyDescent="0.25">
      <c r="A5" s="14"/>
      <c r="B5" s="26" t="s">
        <v>1</v>
      </c>
      <c r="C5" s="26" t="s">
        <v>2</v>
      </c>
      <c r="D5" s="26" t="s">
        <v>3</v>
      </c>
      <c r="E5" s="26" t="s">
        <v>4</v>
      </c>
      <c r="F5" s="26" t="s">
        <v>5</v>
      </c>
      <c r="G5" s="26" t="s">
        <v>6</v>
      </c>
      <c r="H5" s="26" t="s">
        <v>7</v>
      </c>
      <c r="I5" s="26" t="s">
        <v>8</v>
      </c>
      <c r="J5" s="26" t="s">
        <v>9</v>
      </c>
      <c r="K5" s="26" t="s">
        <v>10</v>
      </c>
      <c r="L5" s="26" t="s">
        <v>11</v>
      </c>
    </row>
    <row r="6" spans="1:12" x14ac:dyDescent="0.25">
      <c r="A6" s="14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25">
      <c r="A7" s="14"/>
      <c r="B7" s="1" t="s">
        <v>12</v>
      </c>
      <c r="C7" s="2">
        <v>117594</v>
      </c>
      <c r="D7" s="2">
        <v>332258</v>
      </c>
      <c r="E7" s="2">
        <v>11256</v>
      </c>
      <c r="F7" s="2">
        <v>72897</v>
      </c>
      <c r="G7" s="2">
        <v>1397</v>
      </c>
      <c r="H7" s="2">
        <v>141</v>
      </c>
      <c r="I7" s="2">
        <v>8505</v>
      </c>
      <c r="J7" s="2">
        <v>5084</v>
      </c>
      <c r="K7" s="2">
        <v>19344</v>
      </c>
      <c r="L7" s="3">
        <f t="shared" ref="L7:L31" si="0">+SUM(C7:K7)</f>
        <v>568476</v>
      </c>
    </row>
    <row r="8" spans="1:12" x14ac:dyDescent="0.25">
      <c r="A8" s="21" t="s">
        <v>39</v>
      </c>
      <c r="B8" s="4" t="s">
        <v>13</v>
      </c>
      <c r="C8" s="5">
        <v>142167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6">
        <f t="shared" si="0"/>
        <v>142167</v>
      </c>
    </row>
    <row r="9" spans="1:12" x14ac:dyDescent="0.25">
      <c r="A9" s="14"/>
      <c r="B9" s="4" t="s">
        <v>14</v>
      </c>
      <c r="C9" s="5">
        <v>7925</v>
      </c>
      <c r="D9" s="5">
        <v>13962</v>
      </c>
      <c r="E9" s="5">
        <v>4987</v>
      </c>
      <c r="F9" s="5">
        <v>3243</v>
      </c>
      <c r="G9" s="5">
        <v>1112</v>
      </c>
      <c r="H9" s="5">
        <v>619</v>
      </c>
      <c r="I9" s="5">
        <v>2747</v>
      </c>
      <c r="J9" s="5">
        <v>1140</v>
      </c>
      <c r="K9" s="5">
        <v>1382</v>
      </c>
      <c r="L9" s="6">
        <f t="shared" si="0"/>
        <v>37117</v>
      </c>
    </row>
    <row r="10" spans="1:12" x14ac:dyDescent="0.25">
      <c r="A10" s="14"/>
      <c r="B10" s="4" t="s">
        <v>15</v>
      </c>
      <c r="C10" s="5">
        <v>7859</v>
      </c>
      <c r="D10" s="5">
        <v>28729</v>
      </c>
      <c r="E10" s="5">
        <v>5098</v>
      </c>
      <c r="F10" s="5">
        <v>4780</v>
      </c>
      <c r="G10" s="5">
        <v>533</v>
      </c>
      <c r="H10" s="5">
        <v>125</v>
      </c>
      <c r="I10" s="5">
        <v>452</v>
      </c>
      <c r="J10" s="5">
        <v>1151</v>
      </c>
      <c r="K10" s="5">
        <v>2821</v>
      </c>
      <c r="L10" s="6">
        <f t="shared" si="0"/>
        <v>51548</v>
      </c>
    </row>
    <row r="11" spans="1:12" x14ac:dyDescent="0.25">
      <c r="A11" s="14"/>
      <c r="B11" s="4" t="s">
        <v>16</v>
      </c>
      <c r="C11" s="5">
        <v>7280</v>
      </c>
      <c r="D11" s="5">
        <v>13878</v>
      </c>
      <c r="E11" s="5">
        <v>3099</v>
      </c>
      <c r="F11" s="5">
        <v>3767</v>
      </c>
      <c r="G11" s="5">
        <v>697</v>
      </c>
      <c r="H11" s="5">
        <v>236</v>
      </c>
      <c r="I11" s="5">
        <v>870</v>
      </c>
      <c r="J11" s="5">
        <v>203</v>
      </c>
      <c r="K11" s="5">
        <v>1303</v>
      </c>
      <c r="L11" s="6">
        <f t="shared" si="0"/>
        <v>31333</v>
      </c>
    </row>
    <row r="12" spans="1:12" x14ac:dyDescent="0.25">
      <c r="A12" s="14"/>
      <c r="B12" s="4" t="s">
        <v>17</v>
      </c>
      <c r="C12" s="5">
        <v>20420</v>
      </c>
      <c r="D12" s="5">
        <v>47023</v>
      </c>
      <c r="E12" s="5">
        <v>9327</v>
      </c>
      <c r="F12" s="5">
        <v>19934</v>
      </c>
      <c r="G12" s="5">
        <v>311</v>
      </c>
      <c r="H12" s="5">
        <v>163</v>
      </c>
      <c r="I12" s="5">
        <v>1728</v>
      </c>
      <c r="J12" s="5">
        <v>1116</v>
      </c>
      <c r="K12" s="5">
        <v>5644</v>
      </c>
      <c r="L12" s="6">
        <f t="shared" si="0"/>
        <v>105666</v>
      </c>
    </row>
    <row r="13" spans="1:12" x14ac:dyDescent="0.25">
      <c r="A13" s="14"/>
      <c r="B13" s="4" t="s">
        <v>18</v>
      </c>
      <c r="C13" s="5">
        <v>8518</v>
      </c>
      <c r="D13" s="5">
        <v>27766</v>
      </c>
      <c r="E13" s="5">
        <v>6523</v>
      </c>
      <c r="F13" s="5">
        <v>5536</v>
      </c>
      <c r="G13" s="5">
        <v>600</v>
      </c>
      <c r="H13" s="5">
        <v>185</v>
      </c>
      <c r="I13" s="5">
        <v>664</v>
      </c>
      <c r="J13" s="5">
        <v>1756</v>
      </c>
      <c r="K13" s="5">
        <v>1930</v>
      </c>
      <c r="L13" s="6">
        <f t="shared" si="0"/>
        <v>53478</v>
      </c>
    </row>
    <row r="14" spans="1:12" x14ac:dyDescent="0.25">
      <c r="A14" s="14"/>
      <c r="B14" s="4" t="s">
        <v>19</v>
      </c>
      <c r="C14" s="5">
        <v>19162</v>
      </c>
      <c r="D14" s="5">
        <v>30179</v>
      </c>
      <c r="E14" s="5">
        <v>6950</v>
      </c>
      <c r="F14" s="5">
        <v>10408</v>
      </c>
      <c r="G14" s="5">
        <v>1679</v>
      </c>
      <c r="H14" s="5">
        <v>414</v>
      </c>
      <c r="I14" s="5">
        <v>181</v>
      </c>
      <c r="J14" s="5">
        <v>334</v>
      </c>
      <c r="K14" s="5">
        <v>1812</v>
      </c>
      <c r="L14" s="6">
        <f t="shared" si="0"/>
        <v>71119</v>
      </c>
    </row>
    <row r="15" spans="1:12" x14ac:dyDescent="0.25">
      <c r="A15" s="14"/>
      <c r="B15" s="4" t="s">
        <v>20</v>
      </c>
      <c r="C15" s="5">
        <v>8946</v>
      </c>
      <c r="D15" s="5">
        <v>14779</v>
      </c>
      <c r="E15" s="5">
        <v>3932</v>
      </c>
      <c r="F15" s="5">
        <v>3642</v>
      </c>
      <c r="G15" s="5">
        <v>615</v>
      </c>
      <c r="H15" s="5">
        <v>358</v>
      </c>
      <c r="I15" s="5">
        <v>207</v>
      </c>
      <c r="J15" s="5">
        <v>2197</v>
      </c>
      <c r="K15" s="5">
        <v>1247</v>
      </c>
      <c r="L15" s="6">
        <f t="shared" si="0"/>
        <v>35923</v>
      </c>
    </row>
    <row r="16" spans="1:12" x14ac:dyDescent="0.25">
      <c r="A16" s="14"/>
      <c r="B16" s="4" t="s">
        <v>21</v>
      </c>
      <c r="C16" s="5">
        <v>6922</v>
      </c>
      <c r="D16" s="5">
        <v>22139</v>
      </c>
      <c r="E16" s="5">
        <v>6413</v>
      </c>
      <c r="F16" s="5">
        <v>5577</v>
      </c>
      <c r="G16" s="5">
        <v>440</v>
      </c>
      <c r="H16" s="5">
        <v>197</v>
      </c>
      <c r="I16" s="5">
        <v>1599</v>
      </c>
      <c r="J16" s="5">
        <v>930</v>
      </c>
      <c r="K16" s="5">
        <v>929</v>
      </c>
      <c r="L16" s="6">
        <f t="shared" si="0"/>
        <v>45146</v>
      </c>
    </row>
    <row r="17" spans="1:12" x14ac:dyDescent="0.25">
      <c r="A17" s="15" t="s">
        <v>22</v>
      </c>
      <c r="B17" s="4" t="s">
        <v>23</v>
      </c>
      <c r="C17" s="5">
        <v>4252</v>
      </c>
      <c r="D17" s="5">
        <v>7892</v>
      </c>
      <c r="E17" s="5">
        <v>3008</v>
      </c>
      <c r="F17" s="5">
        <v>2209</v>
      </c>
      <c r="G17" s="5">
        <v>546</v>
      </c>
      <c r="H17" s="5">
        <v>199</v>
      </c>
      <c r="I17" s="5">
        <v>337</v>
      </c>
      <c r="J17" s="5">
        <v>331</v>
      </c>
      <c r="K17" s="5">
        <v>831</v>
      </c>
      <c r="L17" s="6">
        <f t="shared" si="0"/>
        <v>19605</v>
      </c>
    </row>
    <row r="18" spans="1:12" x14ac:dyDescent="0.25">
      <c r="A18" s="14"/>
      <c r="B18" s="4" t="s">
        <v>24</v>
      </c>
      <c r="C18" s="5">
        <v>6569</v>
      </c>
      <c r="D18" s="5">
        <v>11755</v>
      </c>
      <c r="E18" s="5">
        <v>3827</v>
      </c>
      <c r="F18" s="5">
        <v>3283</v>
      </c>
      <c r="G18" s="5">
        <v>544</v>
      </c>
      <c r="H18" s="5">
        <v>165</v>
      </c>
      <c r="I18" s="5">
        <v>678</v>
      </c>
      <c r="J18" s="5">
        <v>506</v>
      </c>
      <c r="K18" s="5">
        <v>825</v>
      </c>
      <c r="L18" s="6">
        <f t="shared" si="0"/>
        <v>28152</v>
      </c>
    </row>
    <row r="19" spans="1:12" x14ac:dyDescent="0.25">
      <c r="A19" s="14"/>
      <c r="B19" s="4" t="s">
        <v>25</v>
      </c>
      <c r="C19" s="5">
        <v>12369</v>
      </c>
      <c r="D19" s="5">
        <v>35007</v>
      </c>
      <c r="E19" s="5">
        <v>14506</v>
      </c>
      <c r="F19" s="5">
        <v>9636</v>
      </c>
      <c r="G19" s="5">
        <v>1204</v>
      </c>
      <c r="H19" s="5">
        <v>361</v>
      </c>
      <c r="I19" s="5">
        <v>1798</v>
      </c>
      <c r="J19" s="5">
        <v>185</v>
      </c>
      <c r="K19" s="5">
        <v>4191</v>
      </c>
      <c r="L19" s="6">
        <f t="shared" si="0"/>
        <v>79257</v>
      </c>
    </row>
    <row r="20" spans="1:12" x14ac:dyDescent="0.25">
      <c r="A20" s="14"/>
      <c r="B20" s="4" t="s">
        <v>26</v>
      </c>
      <c r="C20" s="5">
        <v>5654</v>
      </c>
      <c r="D20" s="5">
        <v>29582</v>
      </c>
      <c r="E20" s="5">
        <v>4989</v>
      </c>
      <c r="F20" s="5">
        <v>6190</v>
      </c>
      <c r="G20" s="5">
        <v>582</v>
      </c>
      <c r="H20" s="5">
        <v>249</v>
      </c>
      <c r="I20" s="5">
        <v>309</v>
      </c>
      <c r="J20" s="5">
        <v>1143</v>
      </c>
      <c r="K20" s="5">
        <v>2155</v>
      </c>
      <c r="L20" s="6">
        <f t="shared" si="0"/>
        <v>50853</v>
      </c>
    </row>
    <row r="21" spans="1:12" x14ac:dyDescent="0.25">
      <c r="A21" s="14"/>
      <c r="B21" s="4" t="s">
        <v>27</v>
      </c>
      <c r="C21" s="5">
        <v>14518</v>
      </c>
      <c r="D21" s="5">
        <v>23923</v>
      </c>
      <c r="E21" s="5">
        <v>6099</v>
      </c>
      <c r="F21" s="5">
        <v>5368</v>
      </c>
      <c r="G21" s="5">
        <v>697</v>
      </c>
      <c r="H21" s="5">
        <v>183</v>
      </c>
      <c r="I21" s="5">
        <v>239</v>
      </c>
      <c r="J21" s="5">
        <v>517</v>
      </c>
      <c r="K21" s="5">
        <v>1548</v>
      </c>
      <c r="L21" s="6">
        <f t="shared" si="0"/>
        <v>53092</v>
      </c>
    </row>
    <row r="22" spans="1:12" x14ac:dyDescent="0.25">
      <c r="A22" s="14"/>
      <c r="B22" s="4" t="s">
        <v>28</v>
      </c>
      <c r="C22" s="5">
        <v>8466</v>
      </c>
      <c r="D22" s="5">
        <v>19392</v>
      </c>
      <c r="E22" s="5">
        <v>5568</v>
      </c>
      <c r="F22" s="5">
        <v>4958</v>
      </c>
      <c r="G22" s="5">
        <v>0</v>
      </c>
      <c r="H22" s="5">
        <v>421</v>
      </c>
      <c r="I22" s="5">
        <v>264</v>
      </c>
      <c r="J22" s="5">
        <v>848</v>
      </c>
      <c r="K22" s="5">
        <v>1345</v>
      </c>
      <c r="L22" s="6">
        <f t="shared" si="0"/>
        <v>41262</v>
      </c>
    </row>
    <row r="23" spans="1:12" x14ac:dyDescent="0.25">
      <c r="A23" s="14"/>
      <c r="B23" s="4" t="s">
        <v>29</v>
      </c>
      <c r="C23" s="5">
        <v>6965</v>
      </c>
      <c r="D23" s="5">
        <v>22885</v>
      </c>
      <c r="E23" s="5">
        <v>8350</v>
      </c>
      <c r="F23" s="5">
        <v>9117</v>
      </c>
      <c r="G23" s="5">
        <v>383</v>
      </c>
      <c r="H23" s="5">
        <v>488</v>
      </c>
      <c r="I23" s="5">
        <v>0</v>
      </c>
      <c r="J23" s="5">
        <v>954</v>
      </c>
      <c r="K23" s="5">
        <v>2654</v>
      </c>
      <c r="L23" s="6">
        <f t="shared" si="0"/>
        <v>51796</v>
      </c>
    </row>
    <row r="24" spans="1:12" x14ac:dyDescent="0.25">
      <c r="A24" s="14"/>
      <c r="B24" s="4" t="s">
        <v>30</v>
      </c>
      <c r="C24" s="5">
        <v>5975</v>
      </c>
      <c r="D24" s="5">
        <v>12721</v>
      </c>
      <c r="E24" s="5">
        <v>4631</v>
      </c>
      <c r="F24" s="5">
        <v>3505</v>
      </c>
      <c r="G24" s="5">
        <v>319</v>
      </c>
      <c r="H24" s="5">
        <v>462</v>
      </c>
      <c r="I24" s="5">
        <v>4341</v>
      </c>
      <c r="J24" s="5">
        <v>412</v>
      </c>
      <c r="K24" s="5">
        <v>983</v>
      </c>
      <c r="L24" s="6">
        <f t="shared" si="0"/>
        <v>33349</v>
      </c>
    </row>
    <row r="25" spans="1:12" x14ac:dyDescent="0.25">
      <c r="A25" s="15" t="s">
        <v>22</v>
      </c>
      <c r="B25" s="4" t="s">
        <v>31</v>
      </c>
      <c r="C25" s="5">
        <v>18824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6">
        <f t="shared" si="0"/>
        <v>18824</v>
      </c>
    </row>
    <row r="26" spans="1:12" x14ac:dyDescent="0.25">
      <c r="A26" s="14"/>
      <c r="B26" s="4" t="s">
        <v>32</v>
      </c>
      <c r="C26" s="5">
        <v>5846</v>
      </c>
      <c r="D26" s="5">
        <v>9158</v>
      </c>
      <c r="E26" s="5">
        <v>2297</v>
      </c>
      <c r="F26" s="5">
        <v>3957</v>
      </c>
      <c r="G26" s="5">
        <v>896</v>
      </c>
      <c r="H26" s="5">
        <v>0</v>
      </c>
      <c r="I26" s="5">
        <v>465</v>
      </c>
      <c r="J26" s="5">
        <v>569</v>
      </c>
      <c r="K26" s="5">
        <v>808</v>
      </c>
      <c r="L26" s="6">
        <f t="shared" si="0"/>
        <v>23996</v>
      </c>
    </row>
    <row r="27" spans="1:12" x14ac:dyDescent="0.25">
      <c r="A27" s="14"/>
      <c r="B27" s="4" t="s">
        <v>33</v>
      </c>
      <c r="C27" s="5">
        <v>18589</v>
      </c>
      <c r="D27" s="5">
        <v>48119</v>
      </c>
      <c r="E27" s="5">
        <v>15336</v>
      </c>
      <c r="F27" s="5">
        <v>19112</v>
      </c>
      <c r="G27" s="5">
        <v>1100</v>
      </c>
      <c r="H27" s="5">
        <v>658</v>
      </c>
      <c r="I27" s="5">
        <v>1636</v>
      </c>
      <c r="J27" s="5">
        <v>1007</v>
      </c>
      <c r="K27" s="5">
        <v>3007</v>
      </c>
      <c r="L27" s="6">
        <f t="shared" si="0"/>
        <v>108564</v>
      </c>
    </row>
    <row r="28" spans="1:12" x14ac:dyDescent="0.25">
      <c r="A28" s="14"/>
      <c r="B28" s="4" t="s">
        <v>34</v>
      </c>
      <c r="C28" s="5">
        <v>10969</v>
      </c>
      <c r="D28" s="5">
        <v>19860</v>
      </c>
      <c r="E28" s="5">
        <v>3680</v>
      </c>
      <c r="F28" s="5">
        <v>6128</v>
      </c>
      <c r="G28" s="5">
        <v>986</v>
      </c>
      <c r="H28" s="5">
        <v>292</v>
      </c>
      <c r="I28" s="5">
        <v>6879</v>
      </c>
      <c r="J28" s="5">
        <v>324</v>
      </c>
      <c r="K28" s="5">
        <v>1421</v>
      </c>
      <c r="L28" s="6">
        <f t="shared" si="0"/>
        <v>50539</v>
      </c>
    </row>
    <row r="29" spans="1:12" x14ac:dyDescent="0.25">
      <c r="A29" s="14"/>
      <c r="B29" s="4" t="s">
        <v>35</v>
      </c>
      <c r="C29" s="5">
        <v>5357</v>
      </c>
      <c r="D29" s="5">
        <v>5895</v>
      </c>
      <c r="E29" s="5">
        <v>1842</v>
      </c>
      <c r="F29" s="5">
        <v>1305</v>
      </c>
      <c r="G29" s="5">
        <v>103</v>
      </c>
      <c r="H29" s="5">
        <v>138</v>
      </c>
      <c r="I29" s="5">
        <v>320</v>
      </c>
      <c r="J29" s="5">
        <v>217</v>
      </c>
      <c r="K29" s="5">
        <v>411</v>
      </c>
      <c r="L29" s="6">
        <f t="shared" si="0"/>
        <v>15588</v>
      </c>
    </row>
    <row r="30" spans="1:12" x14ac:dyDescent="0.25">
      <c r="A30" s="14"/>
      <c r="B30" s="7" t="s">
        <v>36</v>
      </c>
      <c r="C30" s="8">
        <v>12229</v>
      </c>
      <c r="D30" s="8">
        <v>26962</v>
      </c>
      <c r="E30" s="8">
        <v>11030</v>
      </c>
      <c r="F30" s="8">
        <v>8681</v>
      </c>
      <c r="G30" s="8">
        <v>1451</v>
      </c>
      <c r="H30" s="8">
        <v>139</v>
      </c>
      <c r="I30" s="8">
        <v>1848</v>
      </c>
      <c r="J30" s="8">
        <v>1852</v>
      </c>
      <c r="K30" s="8">
        <v>2416</v>
      </c>
      <c r="L30" s="9">
        <f t="shared" si="0"/>
        <v>66608</v>
      </c>
    </row>
    <row r="31" spans="1:12" x14ac:dyDescent="0.25">
      <c r="A31" s="14"/>
      <c r="B31" s="23" t="s">
        <v>37</v>
      </c>
      <c r="C31" s="10">
        <f t="shared" ref="C31:K31" si="1">SUM(C7:C30)</f>
        <v>483375</v>
      </c>
      <c r="D31" s="10">
        <f t="shared" si="1"/>
        <v>803864</v>
      </c>
      <c r="E31" s="10">
        <f t="shared" si="1"/>
        <v>142748</v>
      </c>
      <c r="F31" s="10">
        <f t="shared" si="1"/>
        <v>213233</v>
      </c>
      <c r="G31" s="10">
        <f t="shared" si="1"/>
        <v>16195</v>
      </c>
      <c r="H31" s="10">
        <f t="shared" si="1"/>
        <v>6193</v>
      </c>
      <c r="I31" s="10">
        <f t="shared" si="1"/>
        <v>36067</v>
      </c>
      <c r="J31" s="10">
        <f t="shared" si="1"/>
        <v>22776</v>
      </c>
      <c r="K31" s="10">
        <f t="shared" si="1"/>
        <v>59007</v>
      </c>
      <c r="L31" s="10">
        <f t="shared" si="0"/>
        <v>1783458</v>
      </c>
    </row>
    <row r="32" spans="1:12" x14ac:dyDescent="0.25">
      <c r="A32" s="14"/>
      <c r="B32" s="32" t="s">
        <v>42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spans="1:12" x14ac:dyDescent="0.25">
      <c r="A33" s="14"/>
      <c r="B33" s="11" t="s">
        <v>38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1" t="s">
        <v>41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x14ac:dyDescent="0.25">
      <c r="B35" s="19" t="s">
        <v>40</v>
      </c>
    </row>
    <row r="36" spans="1:12" ht="15" customHeight="1" x14ac:dyDescent="0.25">
      <c r="B36" s="29" t="s">
        <v>44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7" spans="1:12" x14ac:dyDescent="0.25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spans="1:12" x14ac:dyDescent="0.25"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</row>
    <row r="39" spans="1:12" x14ac:dyDescent="0.25">
      <c r="B39" s="31" t="s">
        <v>46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</row>
  </sheetData>
  <mergeCells count="17">
    <mergeCell ref="B2:L2"/>
    <mergeCell ref="B36:L38"/>
    <mergeCell ref="B39:L39"/>
    <mergeCell ref="I5:I6"/>
    <mergeCell ref="J5:J6"/>
    <mergeCell ref="K5:K6"/>
    <mergeCell ref="L5:L6"/>
    <mergeCell ref="B32:L32"/>
    <mergeCell ref="B3:L3"/>
    <mergeCell ref="B4:L4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1208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2026-10-14T17:43:07Z</dcterms:modified>
</cp:coreProperties>
</file>