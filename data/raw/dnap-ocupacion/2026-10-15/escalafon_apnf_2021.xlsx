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917FE20D-C03E-46C5-8256-58C2D1A4BE19}" xr6:coauthVersionLast="47" xr6:coauthVersionMax="47" xr10:uidLastSave="{00000000-0000-0000-0000-000000000000}"/>
  <bookViews>
    <workbookView xWindow="-120" yWindow="-120" windowWidth="29040" windowHeight="15840" xr2:uid="{416085D9-BFC2-4E9C-8C72-F9D7006F879C}"/>
  </bookViews>
  <sheets>
    <sheet name="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" i="1" l="1"/>
  <c r="L9" i="1"/>
  <c r="L14" i="1"/>
  <c r="L26" i="1"/>
  <c r="L13" i="1"/>
  <c r="L16" i="1"/>
  <c r="L7" i="1"/>
  <c r="C31" i="1"/>
  <c r="L19" i="1"/>
  <c r="D31" i="1"/>
  <c r="E31" i="1"/>
  <c r="L8" i="1"/>
  <c r="F31" i="1"/>
  <c r="L11" i="1"/>
  <c r="L12" i="1"/>
  <c r="L24" i="1"/>
  <c r="G31" i="1"/>
  <c r="L17" i="1"/>
  <c r="L29" i="1"/>
  <c r="L25" i="1"/>
  <c r="L21" i="1"/>
  <c r="H31" i="1"/>
  <c r="I31" i="1"/>
  <c r="L10" i="1"/>
  <c r="L22" i="1"/>
  <c r="L30" i="1"/>
  <c r="L20" i="1"/>
  <c r="L18" i="1"/>
  <c r="L28" i="1"/>
  <c r="J31" i="1"/>
  <c r="K31" i="1"/>
  <c r="L15" i="1"/>
  <c r="L27" i="1"/>
  <c r="L31" i="1" l="1"/>
</calcChain>
</file>

<file path=xl/sharedStrings.xml><?xml version="1.0" encoding="utf-8"?>
<sst xmlns="http://schemas.openxmlformats.org/spreadsheetml/2006/main" count="47" uniqueCount="45">
  <si>
    <t>PLANTA DE LA ADMINISTRACIÓN PÚBLICA PROVINCIAL NO FINANCIERA POR ESCALAFÓN - 24 JURISDICCIONES</t>
  </si>
  <si>
    <t>CARGOS OCUPADOS CON LIQUIDACIÓN DE HABERES</t>
  </si>
  <si>
    <t>A DICIEMBRE DE 2021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</si>
  <si>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</si>
  <si>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</si>
  <si>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</si>
  <si>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</si>
  <si>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</si>
  <si>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</si>
  <si>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</si>
  <si>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</si>
  <si>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</si>
  <si>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</si>
  <si>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</si>
  <si>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</si>
  <si>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</si>
  <si>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</si>
  <si>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</si>
  <si>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</si>
  <si>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</si>
  <si>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</si>
  <si>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</si>
  <si>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</si>
  <si>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</si>
  <si>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</si>
  <si>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</si>
  <si>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</si>
  <si>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</si>
  <si>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</si>
  <si>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</si>
  <si>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</si>
  <si>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</si>
  <si>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</si>
  <si>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</si>
  <si>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</si>
  <si>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</si>
  <si>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</si>
  <si>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</si>
  <si>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</si>
  <si>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</si>
  <si>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</si>
  <si>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(**)</t>
  </si>
  <si>
    <t>Incluye contratos, becas y pasantías, y personal de programas.</t>
  </si>
  <si>
    <t>(**): Sólo cargos totales. Detalle no informado por la jurisdicción</t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</si>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</sst>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b/>
      <sz val="11"/>
      <name val="Roboto"/>
    </font>
    <font>
      <sz val="11"/>
      <name val="Roboto"/>
    </font>
    <font>
      <b/>
      <sz val="12"/>
      <color theme="1"/>
      <name val="Roboto"/>
    </font>
    <font>
      <b/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42C4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32">
    <xf numFmtId="0" fontId="0" fillId="0" borderId="0" xfId="0"/>
    <xf numFmtId="0" fontId="3" fillId="0" borderId="0" xfId="2"/>
    <xf numFmtId="0" fontId="4" fillId="0" borderId="0" xfId="2" applyFont="1"/>
    <xf numFmtId="0" fontId="0" fillId="0" borderId="0" xfId="0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64" fontId="7" fillId="0" borderId="1" xfId="1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164" fontId="7" fillId="0" borderId="3" xfId="1" applyNumberFormat="1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3" fillId="0" borderId="0" xfId="0" quotePrefix="1" applyFont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164" fontId="7" fillId="0" borderId="2" xfId="1" applyNumberFormat="1" applyFont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164" fontId="6" fillId="0" borderId="4" xfId="0" applyNumberFormat="1" applyFont="1" applyBorder="1" applyAlignment="1">
      <alignment vertical="center"/>
    </xf>
    <xf numFmtId="0" fontId="8" fillId="0" borderId="0" xfId="0" quotePrefix="1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horizontal="right" vertical="center"/>
    </xf>
    <xf numFmtId="0" fontId="7" fillId="0" borderId="0" xfId="2" applyFont="1"/>
    <xf numFmtId="164" fontId="7" fillId="2" borderId="3" xfId="1" applyNumberFormat="1" applyFont="1" applyFill="1" applyBorder="1" applyAlignment="1">
      <alignment vertical="center"/>
    </xf>
    <xf numFmtId="0" fontId="10" fillId="0" borderId="0" xfId="2" applyFont="1"/>
    <xf numFmtId="0" fontId="9" fillId="0" borderId="0" xfId="2" applyFont="1"/>
    <xf numFmtId="0" fontId="5" fillId="0" borderId="0" xfId="0" applyFont="1"/>
    <xf numFmtId="0" fontId="5" fillId="0" borderId="0" xfId="0" applyFont="1" applyAlignment="1">
      <alignment horizontal="right" vertical="center"/>
    </xf>
    <xf numFmtId="2" fontId="12" fillId="3" borderId="5" xfId="0" applyNumberFormat="1" applyFont="1" applyFill="1" applyBorder="1" applyAlignment="1">
      <alignment horizontal="left" vertical="center" wrapText="1"/>
    </xf>
    <xf numFmtId="0" fontId="10" fillId="0" borderId="0" xfId="2" applyFont="1" applyAlignment="1">
      <alignment horizontal="left"/>
    </xf>
    <xf numFmtId="2" fontId="12" fillId="3" borderId="6" xfId="0" applyNumberFormat="1" applyFont="1" applyFill="1" applyBorder="1" applyAlignment="1">
      <alignment horizontal="center" vertical="center" wrapText="1"/>
    </xf>
    <xf numFmtId="2" fontId="12" fillId="3" borderId="7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</cellXfs>
  <cellStyles count="3">
    <cellStyle name="Millares" xfId="1" builtinId="3"/>
    <cellStyle name="Normal" xfId="0" builtinId="0"/>
    <cellStyle name="Normal 2" xfId="2" xr:uid="{E7FE47FE-C7A3-48E5-96C4-0CBDA642A9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7D6784-5937-4CC1-8D04-7A8BFEEE7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94CF-F577-426D-896B-1A889AE59D2E}">
  <dimension ref="A1:M35"/>
  <sheetViews>
    <sheetView tabSelected="1" workbookViewId="0">
      <selection activeCell="E19" sqref="E19"/>
    </sheetView>
  </sheetViews>
  <sheetFormatPr baseColWidth="10" defaultRowHeight="15" x14ac:dyDescent="0.25"/>
  <cols>
    <col min="1" max="1" width="4.7109375" style="1" customWidth="1"/>
    <col min="2" max="2" width="24.28515625" style="1" customWidth="1"/>
    <col min="3" max="11" width="11.42578125" style="1"/>
    <col min="12" max="12" width="11.42578125" style="2"/>
    <col min="13" max="13" width="11.42578125" style="1"/>
  </cols>
  <sheetData>
    <row r="1" spans="1:13" s="23" customForma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2"/>
      <c r="M1" s="21"/>
    </row>
    <row r="2" spans="1:13" s="23" customFormat="1" ht="15.75" x14ac:dyDescent="0.25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1"/>
    </row>
    <row r="3" spans="1:13" s="23" customFormat="1" x14ac:dyDescent="0.25">
      <c r="A3" s="24"/>
      <c r="B3" s="30" t="s">
        <v>1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21"/>
    </row>
    <row r="4" spans="1:13" s="23" customFormat="1" x14ac:dyDescent="0.25">
      <c r="A4" s="24"/>
      <c r="B4" s="31" t="s">
        <v>2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21"/>
    </row>
    <row r="5" spans="1:13" ht="15" customHeight="1" x14ac:dyDescent="0.25">
      <c r="A5" s="3"/>
      <c r="B5" s="27" t="s">
        <v>3</v>
      </c>
      <c r="C5" s="27" t="s">
        <v>4</v>
      </c>
      <c r="D5" s="27" t="s">
        <v>5</v>
      </c>
      <c r="E5" s="27" t="s">
        <v>6</v>
      </c>
      <c r="F5" s="27" t="s">
        <v>7</v>
      </c>
      <c r="G5" s="27" t="s">
        <v>8</v>
      </c>
      <c r="H5" s="27" t="s">
        <v>9</v>
      </c>
      <c r="I5" s="27" t="s">
        <v>10</v>
      </c>
      <c r="J5" s="27" t="s">
        <v>11</v>
      </c>
      <c r="K5" s="27" t="s">
        <v>12</v>
      </c>
      <c r="L5" s="27" t="s">
        <v>13</v>
      </c>
    </row>
    <row r="6" spans="1:13" x14ac:dyDescent="0.25">
      <c r="A6" s="3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3" x14ac:dyDescent="0.25">
      <c r="A7" s="3"/>
      <c r="B7" s="4" t="s">
        <v>14</v>
      </c>
      <c r="C7" s="5">
        <v>112164</v>
      </c>
      <c r="D7" s="5">
        <v>325013</v>
      </c>
      <c r="E7" s="5">
        <v>83402</v>
      </c>
      <c r="F7" s="5">
        <v>92009</v>
      </c>
      <c r="G7" s="5">
        <v>975</v>
      </c>
      <c r="H7" s="5">
        <v>1887</v>
      </c>
      <c r="I7" s="5">
        <v>29921</v>
      </c>
      <c r="J7" s="5">
        <v>2410</v>
      </c>
      <c r="K7" s="5">
        <v>31718</v>
      </c>
      <c r="L7" s="6">
        <f t="shared" ref="L7:L31" si="0">+SUM(C7:K7)</f>
        <v>679499</v>
      </c>
    </row>
    <row r="8" spans="1:13" x14ac:dyDescent="0.25">
      <c r="A8" s="3"/>
      <c r="B8" s="7" t="s">
        <v>15</v>
      </c>
      <c r="C8" s="8">
        <v>36275</v>
      </c>
      <c r="D8" s="8">
        <v>83335</v>
      </c>
      <c r="E8" s="8">
        <v>41100</v>
      </c>
      <c r="F8" s="8">
        <v>33029</v>
      </c>
      <c r="G8" s="8">
        <v>0</v>
      </c>
      <c r="H8" s="8">
        <v>1495</v>
      </c>
      <c r="I8" s="8">
        <v>22721</v>
      </c>
      <c r="J8" s="8">
        <v>3902</v>
      </c>
      <c r="K8" s="8">
        <v>8150</v>
      </c>
      <c r="L8" s="9">
        <f t="shared" si="0"/>
        <v>230007</v>
      </c>
    </row>
    <row r="9" spans="1:13" x14ac:dyDescent="0.25">
      <c r="A9" s="18" t="s">
        <v>41</v>
      </c>
      <c r="B9" s="7" t="s">
        <v>16</v>
      </c>
      <c r="C9" s="8">
        <v>44409</v>
      </c>
      <c r="D9" s="20"/>
      <c r="E9" s="20"/>
      <c r="F9" s="20"/>
      <c r="G9" s="20"/>
      <c r="H9" s="20"/>
      <c r="I9" s="20"/>
      <c r="J9" s="20"/>
      <c r="K9" s="20"/>
      <c r="L9" s="9">
        <f t="shared" si="0"/>
        <v>44409</v>
      </c>
    </row>
    <row r="10" spans="1:13" x14ac:dyDescent="0.25">
      <c r="A10" s="3"/>
      <c r="B10" s="7" t="s">
        <v>17</v>
      </c>
      <c r="C10" s="8">
        <v>15539</v>
      </c>
      <c r="D10" s="8">
        <v>36160</v>
      </c>
      <c r="E10" s="8">
        <v>11327</v>
      </c>
      <c r="F10" s="8">
        <v>8932</v>
      </c>
      <c r="G10" s="8">
        <v>983</v>
      </c>
      <c r="H10" s="8">
        <v>117</v>
      </c>
      <c r="I10" s="8">
        <v>693</v>
      </c>
      <c r="J10" s="8">
        <v>2230</v>
      </c>
      <c r="K10" s="8">
        <v>4142</v>
      </c>
      <c r="L10" s="9">
        <f t="shared" si="0"/>
        <v>80123</v>
      </c>
    </row>
    <row r="11" spans="1:13" x14ac:dyDescent="0.25">
      <c r="A11" s="3"/>
      <c r="B11" s="7" t="s">
        <v>18</v>
      </c>
      <c r="C11" s="8">
        <v>3517</v>
      </c>
      <c r="D11" s="8">
        <v>19964</v>
      </c>
      <c r="E11" s="8">
        <v>6498</v>
      </c>
      <c r="F11" s="8">
        <v>5794</v>
      </c>
      <c r="G11" s="8">
        <v>610</v>
      </c>
      <c r="H11" s="8">
        <v>74</v>
      </c>
      <c r="I11" s="8">
        <v>7543</v>
      </c>
      <c r="J11" s="8">
        <v>351</v>
      </c>
      <c r="K11" s="8">
        <v>1900</v>
      </c>
      <c r="L11" s="9">
        <f t="shared" si="0"/>
        <v>46251</v>
      </c>
    </row>
    <row r="12" spans="1:13" x14ac:dyDescent="0.25">
      <c r="A12" s="3"/>
      <c r="B12" s="7" t="s">
        <v>19</v>
      </c>
      <c r="C12" s="8">
        <v>16042</v>
      </c>
      <c r="D12" s="8">
        <v>61150</v>
      </c>
      <c r="E12" s="8">
        <v>13297</v>
      </c>
      <c r="F12" s="8">
        <v>25519</v>
      </c>
      <c r="G12" s="8">
        <v>282</v>
      </c>
      <c r="H12" s="8">
        <v>198</v>
      </c>
      <c r="I12" s="8">
        <v>1177</v>
      </c>
      <c r="J12" s="8">
        <v>1559</v>
      </c>
      <c r="K12" s="8">
        <v>8455</v>
      </c>
      <c r="L12" s="9">
        <f t="shared" si="0"/>
        <v>127679</v>
      </c>
    </row>
    <row r="13" spans="1:13" x14ac:dyDescent="0.25">
      <c r="A13" s="3"/>
      <c r="B13" s="7" t="s">
        <v>20</v>
      </c>
      <c r="C13" s="8">
        <v>6597</v>
      </c>
      <c r="D13" s="8">
        <v>32706</v>
      </c>
      <c r="E13" s="8">
        <v>7517</v>
      </c>
      <c r="F13" s="8">
        <v>10175</v>
      </c>
      <c r="G13" s="8">
        <v>360</v>
      </c>
      <c r="H13" s="8">
        <v>555</v>
      </c>
      <c r="I13" s="8">
        <v>82</v>
      </c>
      <c r="J13" s="8">
        <v>2555</v>
      </c>
      <c r="K13" s="8">
        <v>2745</v>
      </c>
      <c r="L13" s="9">
        <f t="shared" si="0"/>
        <v>63292</v>
      </c>
    </row>
    <row r="14" spans="1:13" x14ac:dyDescent="0.25">
      <c r="A14" s="3"/>
      <c r="B14" s="7" t="s">
        <v>21</v>
      </c>
      <c r="C14" s="8">
        <v>25410</v>
      </c>
      <c r="D14" s="8">
        <v>38293</v>
      </c>
      <c r="E14" s="8">
        <v>10281</v>
      </c>
      <c r="F14" s="8">
        <v>11859</v>
      </c>
      <c r="G14" s="8">
        <v>1736</v>
      </c>
      <c r="H14" s="8">
        <v>678</v>
      </c>
      <c r="I14" s="8">
        <v>378</v>
      </c>
      <c r="J14" s="8">
        <v>538</v>
      </c>
      <c r="K14" s="8">
        <v>2617</v>
      </c>
      <c r="L14" s="9">
        <f t="shared" si="0"/>
        <v>91790</v>
      </c>
    </row>
    <row r="15" spans="1:13" x14ac:dyDescent="0.25">
      <c r="A15" s="3"/>
      <c r="B15" s="7" t="s">
        <v>22</v>
      </c>
      <c r="C15" s="8">
        <v>9806</v>
      </c>
      <c r="D15" s="8">
        <v>14351.866666666667</v>
      </c>
      <c r="E15" s="8">
        <v>6621</v>
      </c>
      <c r="F15" s="8">
        <v>6587</v>
      </c>
      <c r="G15" s="8">
        <v>323</v>
      </c>
      <c r="H15" s="8">
        <v>197</v>
      </c>
      <c r="I15" s="8">
        <v>498</v>
      </c>
      <c r="J15" s="8">
        <v>1419</v>
      </c>
      <c r="K15" s="8">
        <v>1853</v>
      </c>
      <c r="L15" s="9">
        <f t="shared" si="0"/>
        <v>41655.866666666669</v>
      </c>
    </row>
    <row r="16" spans="1:13" x14ac:dyDescent="0.25">
      <c r="A16" s="3"/>
      <c r="B16" s="7" t="s">
        <v>23</v>
      </c>
      <c r="C16" s="8">
        <v>14021</v>
      </c>
      <c r="D16" s="8">
        <v>26464</v>
      </c>
      <c r="E16" s="8">
        <v>12729</v>
      </c>
      <c r="F16" s="8">
        <v>8998</v>
      </c>
      <c r="G16" s="8">
        <v>478</v>
      </c>
      <c r="H16" s="8">
        <v>517</v>
      </c>
      <c r="I16" s="8">
        <v>1041</v>
      </c>
      <c r="J16" s="8">
        <v>1010</v>
      </c>
      <c r="K16" s="8">
        <v>1993</v>
      </c>
      <c r="L16" s="9">
        <f t="shared" si="0"/>
        <v>67251</v>
      </c>
    </row>
    <row r="17" spans="1:12" x14ac:dyDescent="0.25">
      <c r="A17" s="10" t="s">
        <v>24</v>
      </c>
      <c r="B17" s="7" t="s">
        <v>25</v>
      </c>
      <c r="C17" s="8">
        <v>6740</v>
      </c>
      <c r="D17" s="8">
        <v>11021</v>
      </c>
      <c r="E17" s="8">
        <v>4374</v>
      </c>
      <c r="F17" s="8">
        <v>2867</v>
      </c>
      <c r="G17" s="8">
        <v>546</v>
      </c>
      <c r="H17" s="8">
        <v>367</v>
      </c>
      <c r="I17" s="8">
        <v>334</v>
      </c>
      <c r="J17" s="8">
        <v>423</v>
      </c>
      <c r="K17" s="8">
        <v>1356</v>
      </c>
      <c r="L17" s="9">
        <f t="shared" si="0"/>
        <v>28028</v>
      </c>
    </row>
    <row r="18" spans="1:12" x14ac:dyDescent="0.25">
      <c r="A18" s="3"/>
      <c r="B18" s="7" t="s">
        <v>26</v>
      </c>
      <c r="C18" s="8">
        <v>11055</v>
      </c>
      <c r="D18" s="8">
        <v>16290</v>
      </c>
      <c r="E18" s="8">
        <v>7146</v>
      </c>
      <c r="F18" s="8">
        <v>4557</v>
      </c>
      <c r="G18" s="8">
        <v>622</v>
      </c>
      <c r="H18" s="8">
        <v>1905</v>
      </c>
      <c r="I18" s="8">
        <v>716</v>
      </c>
      <c r="J18" s="8">
        <v>1089</v>
      </c>
      <c r="K18" s="8">
        <v>1467</v>
      </c>
      <c r="L18" s="9">
        <f t="shared" si="0"/>
        <v>44847</v>
      </c>
    </row>
    <row r="19" spans="1:12" x14ac:dyDescent="0.25">
      <c r="A19" s="3"/>
      <c r="B19" s="7" t="s">
        <v>27</v>
      </c>
      <c r="C19" s="8">
        <v>15577.800000000001</v>
      </c>
      <c r="D19" s="8">
        <v>42295.433333333334</v>
      </c>
      <c r="E19" s="8">
        <v>15809.366666666669</v>
      </c>
      <c r="F19" s="8">
        <v>12015.166666666666</v>
      </c>
      <c r="G19" s="8">
        <v>806.4666666666667</v>
      </c>
      <c r="H19" s="8">
        <v>316.33333333333337</v>
      </c>
      <c r="I19" s="8">
        <v>798.97500000000002</v>
      </c>
      <c r="J19" s="8">
        <v>1148</v>
      </c>
      <c r="K19" s="8">
        <v>5145.6333333333332</v>
      </c>
      <c r="L19" s="9">
        <f t="shared" si="0"/>
        <v>93913.175000000003</v>
      </c>
    </row>
    <row r="20" spans="1:12" x14ac:dyDescent="0.25">
      <c r="A20" s="3"/>
      <c r="B20" s="7" t="s">
        <v>28</v>
      </c>
      <c r="C20" s="8">
        <v>9159</v>
      </c>
      <c r="D20" s="8">
        <v>32056</v>
      </c>
      <c r="E20" s="8">
        <v>7603</v>
      </c>
      <c r="F20" s="8">
        <v>12999</v>
      </c>
      <c r="G20" s="8">
        <v>531</v>
      </c>
      <c r="H20" s="8">
        <v>216</v>
      </c>
      <c r="I20" s="8">
        <v>17</v>
      </c>
      <c r="J20" s="8">
        <v>1189</v>
      </c>
      <c r="K20" s="8">
        <v>4470</v>
      </c>
      <c r="L20" s="9">
        <f t="shared" si="0"/>
        <v>68240</v>
      </c>
    </row>
    <row r="21" spans="1:12" x14ac:dyDescent="0.25">
      <c r="A21" s="3"/>
      <c r="B21" s="7" t="s">
        <v>29</v>
      </c>
      <c r="C21" s="8">
        <v>3879</v>
      </c>
      <c r="D21" s="8">
        <v>29341</v>
      </c>
      <c r="E21" s="8">
        <v>10918</v>
      </c>
      <c r="F21" s="8">
        <v>7162</v>
      </c>
      <c r="G21" s="8">
        <v>596</v>
      </c>
      <c r="H21" s="8">
        <v>1885</v>
      </c>
      <c r="I21" s="8">
        <v>15561</v>
      </c>
      <c r="J21" s="8">
        <v>738</v>
      </c>
      <c r="K21" s="8">
        <v>2227</v>
      </c>
      <c r="L21" s="9">
        <f t="shared" si="0"/>
        <v>72307</v>
      </c>
    </row>
    <row r="22" spans="1:12" x14ac:dyDescent="0.25">
      <c r="A22" s="3"/>
      <c r="B22" s="7" t="s">
        <v>30</v>
      </c>
      <c r="C22" s="8">
        <v>13337</v>
      </c>
      <c r="D22" s="8">
        <v>28447</v>
      </c>
      <c r="E22" s="8">
        <v>7558</v>
      </c>
      <c r="F22" s="8">
        <v>8259</v>
      </c>
      <c r="G22" s="8">
        <v>420</v>
      </c>
      <c r="H22" s="8">
        <v>319</v>
      </c>
      <c r="I22" s="8">
        <v>446</v>
      </c>
      <c r="J22" s="8">
        <v>815</v>
      </c>
      <c r="K22" s="8">
        <v>2464</v>
      </c>
      <c r="L22" s="9">
        <f t="shared" si="0"/>
        <v>62065</v>
      </c>
    </row>
    <row r="23" spans="1:12" x14ac:dyDescent="0.25">
      <c r="A23" s="18" t="s">
        <v>41</v>
      </c>
      <c r="B23" s="7" t="s">
        <v>31</v>
      </c>
      <c r="C23" s="8">
        <v>70364</v>
      </c>
      <c r="D23" s="20"/>
      <c r="E23" s="20"/>
      <c r="F23" s="20"/>
      <c r="G23" s="20"/>
      <c r="H23" s="20"/>
      <c r="I23" s="20"/>
      <c r="J23" s="20"/>
      <c r="K23" s="20"/>
      <c r="L23" s="9">
        <f t="shared" si="0"/>
        <v>70364</v>
      </c>
    </row>
    <row r="24" spans="1:12" x14ac:dyDescent="0.25">
      <c r="A24" s="3"/>
      <c r="B24" s="7" t="s">
        <v>32</v>
      </c>
      <c r="C24" s="8">
        <v>10238</v>
      </c>
      <c r="D24" s="8">
        <v>20585</v>
      </c>
      <c r="E24" s="8">
        <v>9990</v>
      </c>
      <c r="F24" s="8">
        <v>6938</v>
      </c>
      <c r="G24" s="8">
        <v>292</v>
      </c>
      <c r="H24" s="8">
        <v>581</v>
      </c>
      <c r="I24" s="8">
        <v>346</v>
      </c>
      <c r="J24" s="8">
        <v>301</v>
      </c>
      <c r="K24" s="8">
        <v>1863</v>
      </c>
      <c r="L24" s="9">
        <f t="shared" si="0"/>
        <v>51134</v>
      </c>
    </row>
    <row r="25" spans="1:12" x14ac:dyDescent="0.25">
      <c r="A25" s="10" t="s">
        <v>24</v>
      </c>
      <c r="B25" s="7" t="s">
        <v>33</v>
      </c>
      <c r="C25" s="8">
        <v>11139</v>
      </c>
      <c r="D25" s="8">
        <v>11884</v>
      </c>
      <c r="E25" s="8">
        <v>4905</v>
      </c>
      <c r="F25" s="8">
        <v>4449</v>
      </c>
      <c r="G25" s="8">
        <v>49</v>
      </c>
      <c r="H25" s="8">
        <v>930</v>
      </c>
      <c r="I25" s="8">
        <v>38</v>
      </c>
      <c r="J25" s="8">
        <v>205</v>
      </c>
      <c r="K25" s="8">
        <v>1398</v>
      </c>
      <c r="L25" s="9">
        <f t="shared" si="0"/>
        <v>34997</v>
      </c>
    </row>
    <row r="26" spans="1:12" x14ac:dyDescent="0.25">
      <c r="A26" s="3"/>
      <c r="B26" s="7" t="s">
        <v>34</v>
      </c>
      <c r="C26" s="8">
        <v>7993</v>
      </c>
      <c r="D26" s="8">
        <v>13917</v>
      </c>
      <c r="E26" s="8">
        <v>3990</v>
      </c>
      <c r="F26" s="8">
        <v>5930</v>
      </c>
      <c r="G26" s="8">
        <v>815</v>
      </c>
      <c r="H26" s="8">
        <v>857</v>
      </c>
      <c r="I26" s="8">
        <v>877</v>
      </c>
      <c r="J26" s="8">
        <v>748</v>
      </c>
      <c r="K26" s="8">
        <v>1397</v>
      </c>
      <c r="L26" s="9">
        <f t="shared" si="0"/>
        <v>36524</v>
      </c>
    </row>
    <row r="27" spans="1:12" x14ac:dyDescent="0.25">
      <c r="A27" s="3"/>
      <c r="B27" s="7" t="s">
        <v>35</v>
      </c>
      <c r="C27" s="8">
        <v>160994</v>
      </c>
      <c r="D27" s="8">
        <v>61248</v>
      </c>
      <c r="E27" s="8">
        <v>10046</v>
      </c>
      <c r="F27" s="8">
        <v>25541</v>
      </c>
      <c r="G27" s="8">
        <v>1074</v>
      </c>
      <c r="H27" s="8">
        <v>535</v>
      </c>
      <c r="I27" s="8">
        <v>1555</v>
      </c>
      <c r="J27" s="8">
        <v>1878</v>
      </c>
      <c r="K27" s="8">
        <v>4781</v>
      </c>
      <c r="L27" s="9">
        <f t="shared" si="0"/>
        <v>267652</v>
      </c>
    </row>
    <row r="28" spans="1:12" x14ac:dyDescent="0.25">
      <c r="A28" s="3"/>
      <c r="B28" s="7" t="s">
        <v>36</v>
      </c>
      <c r="C28" s="8">
        <v>14422</v>
      </c>
      <c r="D28" s="8">
        <v>25108</v>
      </c>
      <c r="E28" s="8">
        <v>6499</v>
      </c>
      <c r="F28" s="8">
        <v>8869</v>
      </c>
      <c r="G28" s="8">
        <v>774</v>
      </c>
      <c r="H28" s="8">
        <v>512</v>
      </c>
      <c r="I28" s="8">
        <v>3055</v>
      </c>
      <c r="J28" s="8">
        <v>440</v>
      </c>
      <c r="K28" s="8">
        <v>2846</v>
      </c>
      <c r="L28" s="9">
        <f t="shared" si="0"/>
        <v>62525</v>
      </c>
    </row>
    <row r="29" spans="1:12" x14ac:dyDescent="0.25">
      <c r="A29" s="3"/>
      <c r="B29" s="7" t="s">
        <v>37</v>
      </c>
      <c r="C29" s="8">
        <v>4864</v>
      </c>
      <c r="D29" s="8">
        <v>9716</v>
      </c>
      <c r="E29" s="8">
        <v>2701</v>
      </c>
      <c r="F29" s="8">
        <v>2536</v>
      </c>
      <c r="G29" s="8">
        <v>152</v>
      </c>
      <c r="H29" s="8">
        <v>412</v>
      </c>
      <c r="I29" s="8">
        <v>1305</v>
      </c>
      <c r="J29" s="8">
        <v>398</v>
      </c>
      <c r="K29" s="8">
        <v>745</v>
      </c>
      <c r="L29" s="9">
        <f t="shared" si="0"/>
        <v>22829</v>
      </c>
    </row>
    <row r="30" spans="1:12" x14ac:dyDescent="0.25">
      <c r="A30" s="3"/>
      <c r="B30" s="11" t="s">
        <v>38</v>
      </c>
      <c r="C30" s="12">
        <v>15009</v>
      </c>
      <c r="D30" s="12">
        <v>31266</v>
      </c>
      <c r="E30" s="12">
        <v>25038</v>
      </c>
      <c r="F30" s="12">
        <v>11973</v>
      </c>
      <c r="G30" s="12">
        <v>1291</v>
      </c>
      <c r="H30" s="12">
        <v>194</v>
      </c>
      <c r="I30" s="12">
        <v>1563</v>
      </c>
      <c r="J30" s="12">
        <v>7988</v>
      </c>
      <c r="K30" s="12">
        <v>5334</v>
      </c>
      <c r="L30" s="13">
        <f t="shared" si="0"/>
        <v>99656</v>
      </c>
    </row>
    <row r="31" spans="1:12" x14ac:dyDescent="0.25">
      <c r="A31" s="3"/>
      <c r="B31" s="25" t="s">
        <v>39</v>
      </c>
      <c r="C31" s="14">
        <f t="shared" ref="C31:K31" si="1">SUM(C7:C30)</f>
        <v>638550.80000000005</v>
      </c>
      <c r="D31" s="14">
        <f t="shared" si="1"/>
        <v>970611.3</v>
      </c>
      <c r="E31" s="14">
        <f t="shared" si="1"/>
        <v>309349.3666666667</v>
      </c>
      <c r="F31" s="14">
        <f t="shared" si="1"/>
        <v>316997.16666666663</v>
      </c>
      <c r="G31" s="14">
        <f t="shared" si="1"/>
        <v>13715.466666666667</v>
      </c>
      <c r="H31" s="14">
        <f t="shared" si="1"/>
        <v>14747.333333333334</v>
      </c>
      <c r="I31" s="14">
        <f t="shared" si="1"/>
        <v>90665.975000000006</v>
      </c>
      <c r="J31" s="14">
        <f t="shared" si="1"/>
        <v>33334</v>
      </c>
      <c r="K31" s="14">
        <f t="shared" si="1"/>
        <v>99066.633333333331</v>
      </c>
      <c r="L31" s="14">
        <f t="shared" si="0"/>
        <v>2487038.041666667</v>
      </c>
    </row>
    <row r="32" spans="1:12" x14ac:dyDescent="0.25">
      <c r="A32" s="3"/>
      <c r="B32" s="15" t="s">
        <v>40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x14ac:dyDescent="0.25">
      <c r="A33" s="3"/>
      <c r="B33" s="15" t="s">
        <v>43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25">
      <c r="B34" s="19" t="s">
        <v>42</v>
      </c>
    </row>
    <row r="35" spans="1:12" x14ac:dyDescent="0.25">
      <c r="B35" s="26" t="s">
        <v>44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</row>
  </sheetData>
  <mergeCells count="15">
    <mergeCell ref="A2:L2"/>
    <mergeCell ref="B3:L3"/>
    <mergeCell ref="B4:L4"/>
    <mergeCell ref="B5:B6"/>
    <mergeCell ref="C5:C6"/>
    <mergeCell ref="D5:D6"/>
    <mergeCell ref="E5:E6"/>
    <mergeCell ref="F5:F6"/>
    <mergeCell ref="G5:G6"/>
    <mergeCell ref="H5:H6"/>
    <mergeCell ref="B35:L35"/>
    <mergeCell ref="I5:I6"/>
    <mergeCell ref="J5:J6"/>
    <mergeCell ref="K5:K6"/>
    <mergeCell ref="L5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2021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2026-09-22T15:42:48Z</dcterms:created>
  <dcterms:modified xsi:type="dcterms:W3CDTF">2026-10-14T17:40:38Z</dcterms:modified>
</cp:coreProperties>
</file>