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1C01E62F-531A-40AF-852B-FB2D60B1F34A}" xr6:coauthVersionLast="47" xr6:coauthVersionMax="47" xr10:uidLastSave="{00000000-0000-0000-0000-000000000000}"/>
  <bookViews>
    <workbookView xWindow="-120" yWindow="-120" windowWidth="29040" windowHeight="15840" xr2:uid="{0A2507D7-4E7E-46C8-8D75-17C279459571}"/>
  </bookViews>
  <sheets>
    <sheet name="2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L14" i="1"/>
  <c r="L26" i="1"/>
  <c r="L13" i="1"/>
  <c r="L25" i="1"/>
  <c r="L28" i="1"/>
  <c r="L16" i="1"/>
  <c r="L21" i="1"/>
  <c r="L7" i="1"/>
  <c r="C31" i="1"/>
  <c r="E31" i="1"/>
  <c r="L12" i="1"/>
  <c r="L24" i="1"/>
  <c r="L8" i="1"/>
  <c r="L20" i="1"/>
  <c r="L23" i="1"/>
  <c r="L19" i="1"/>
  <c r="D31" i="1"/>
  <c r="F31" i="1"/>
  <c r="L18" i="1"/>
  <c r="L30" i="1"/>
  <c r="L11" i="1"/>
  <c r="G31" i="1"/>
  <c r="L17" i="1"/>
  <c r="L29" i="1"/>
  <c r="H31" i="1"/>
  <c r="I31" i="1"/>
  <c r="L10" i="1"/>
  <c r="L22" i="1"/>
  <c r="J31" i="1"/>
  <c r="K31" i="1"/>
  <c r="L15" i="1"/>
  <c r="L27" i="1"/>
  <c r="L31" i="1" l="1"/>
</calcChain>
</file>

<file path=xl/sharedStrings.xml><?xml version="1.0" encoding="utf-8"?>
<sst xmlns="http://schemas.openxmlformats.org/spreadsheetml/2006/main" count="44" uniqueCount="43">
  <si>
    <t>PLANTA DE LA ADMINISTRACIÓN PÚBLICA PROVINCIAL NO FINANCIERA POR ESCALAFÓN - 24 JURISDICCIONES</t>
  </si>
  <si>
    <t>CARGOS OCUPADOS CON LIQUIDACIÓN DE HABERES</t>
  </si>
  <si>
    <t>A DICIEMBRE DE 2018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</si>
  <si>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</si>
  <si>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</si>
  <si>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</si>
  <si>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</si>
  <si>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</si>
  <si>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</si>
  <si>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</si>
  <si>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</si>
  <si>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</si>
  <si>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</si>
  <si>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</si>
  <si>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</si>
  <si>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</si>
  <si>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</si>
  <si>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</si>
  <si>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</si>
  <si>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</si>
  <si>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</si>
  <si>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</si>
  <si>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</si>
  <si>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</si>
  <si>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</si>
  <si>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</si>
  <si>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</si>
  <si>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</si>
  <si>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</si>
  <si>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</si>
  <si>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</si>
  <si>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</si>
  <si>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</si>
  <si>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</si>
  <si>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</si>
  <si>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</si>
  <si>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</si>
  <si>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</si>
  <si>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</si>
  <si>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</si>
  <si>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</si>
  <si>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Incluye contratos, becas y pasantías, y personal de programas.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</si>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</sst>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b/>
      <sz val="11"/>
      <name val="Roboto"/>
    </font>
    <font>
      <sz val="11"/>
      <name val="Roboto"/>
    </font>
    <font>
      <b/>
      <sz val="12"/>
      <color theme="1"/>
      <name val="Roboto"/>
    </font>
    <font>
      <b/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1">
    <xf numFmtId="0" fontId="0" fillId="0" borderId="0" xfId="0"/>
    <xf numFmtId="0" fontId="3" fillId="0" borderId="0" xfId="2"/>
    <xf numFmtId="0" fontId="4" fillId="0" borderId="0" xfId="2" applyFont="1"/>
    <xf numFmtId="0" fontId="0" fillId="0" borderId="0" xfId="0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7" fillId="0" borderId="1" xfId="1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3" fillId="0" borderId="0" xfId="0" quotePrefix="1" applyFont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64" fontId="7" fillId="0" borderId="2" xfId="1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8" fillId="0" borderId="0" xfId="0" quotePrefix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0" borderId="0" xfId="2" applyFont="1"/>
    <xf numFmtId="164" fontId="7" fillId="0" borderId="3" xfId="1" applyNumberFormat="1" applyFont="1" applyFill="1" applyBorder="1" applyAlignment="1">
      <alignment vertical="center"/>
    </xf>
    <xf numFmtId="0" fontId="10" fillId="0" borderId="0" xfId="2" applyFont="1"/>
    <xf numFmtId="0" fontId="9" fillId="0" borderId="0" xfId="2" applyFont="1"/>
    <xf numFmtId="0" fontId="5" fillId="0" borderId="0" xfId="0" applyFont="1"/>
    <xf numFmtId="0" fontId="5" fillId="0" borderId="0" xfId="0" applyFont="1" applyAlignment="1">
      <alignment horizontal="right" vertical="center"/>
    </xf>
    <xf numFmtId="2" fontId="12" fillId="2" borderId="7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2" fontId="12" fillId="2" borderId="5" xfId="0" applyNumberFormat="1" applyFont="1" applyFill="1" applyBorder="1" applyAlignment="1">
      <alignment horizontal="center" vertical="center" wrapText="1"/>
    </xf>
    <xf numFmtId="2" fontId="12" fillId="2" borderId="6" xfId="0" applyNumberFormat="1" applyFont="1" applyFill="1" applyBorder="1" applyAlignment="1">
      <alignment horizontal="center" vertical="center" wrapText="1"/>
    </xf>
    <xf numFmtId="0" fontId="10" fillId="0" borderId="0" xfId="2" applyFont="1" applyAlignment="1">
      <alignment horizontal="left"/>
    </xf>
  </cellXfs>
  <cellStyles count="3">
    <cellStyle name="Millares" xfId="1" builtinId="3"/>
    <cellStyle name="Normal" xfId="0" builtinId="0"/>
    <cellStyle name="Normal 2" xfId="2" xr:uid="{47AF0257-74E2-4580-B949-FE464441C5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CE976A-B692-400F-8206-4B0678578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E0B4-08D9-4005-BBC5-D6ECCF2DE378}">
  <dimension ref="A1:M35"/>
  <sheetViews>
    <sheetView tabSelected="1" workbookViewId="0">
      <selection activeCell="A2" sqref="A2:L2"/>
    </sheetView>
  </sheetViews>
  <sheetFormatPr baseColWidth="10" defaultRowHeight="15" x14ac:dyDescent="0.25"/>
  <cols>
    <col min="1" max="1" width="4.7109375" style="1" customWidth="1"/>
    <col min="2" max="2" width="24.28515625" style="1" customWidth="1"/>
    <col min="3" max="11" width="11.42578125" style="1"/>
    <col min="12" max="12" width="11.42578125" style="2"/>
    <col min="13" max="13" width="11.42578125" style="1"/>
  </cols>
  <sheetData>
    <row r="1" spans="1:13" s="22" customForma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0"/>
    </row>
    <row r="2" spans="1:13" s="22" customFormat="1" ht="15.75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0"/>
    </row>
    <row r="3" spans="1:13" s="22" customFormat="1" x14ac:dyDescent="0.25">
      <c r="A3" s="23"/>
      <c r="B3" s="26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0"/>
    </row>
    <row r="4" spans="1:13" s="22" customFormat="1" x14ac:dyDescent="0.25">
      <c r="A4" s="23"/>
      <c r="B4" s="27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0"/>
    </row>
    <row r="5" spans="1:13" ht="15" customHeight="1" x14ac:dyDescent="0.25">
      <c r="A5" s="3"/>
      <c r="B5" s="28" t="s">
        <v>3</v>
      </c>
      <c r="C5" s="28" t="s">
        <v>4</v>
      </c>
      <c r="D5" s="28" t="s">
        <v>5</v>
      </c>
      <c r="E5" s="28" t="s">
        <v>6</v>
      </c>
      <c r="F5" s="28" t="s">
        <v>7</v>
      </c>
      <c r="G5" s="28" t="s">
        <v>8</v>
      </c>
      <c r="H5" s="28" t="s">
        <v>9</v>
      </c>
      <c r="I5" s="28" t="s">
        <v>10</v>
      </c>
      <c r="J5" s="28" t="s">
        <v>11</v>
      </c>
      <c r="K5" s="28" t="s">
        <v>12</v>
      </c>
      <c r="L5" s="28" t="s">
        <v>13</v>
      </c>
    </row>
    <row r="6" spans="1:13" x14ac:dyDescent="0.25">
      <c r="A6" s="3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3" x14ac:dyDescent="0.25">
      <c r="A7" s="3"/>
      <c r="B7" s="4" t="s">
        <v>14</v>
      </c>
      <c r="C7" s="5">
        <v>119879</v>
      </c>
      <c r="D7" s="5">
        <v>326930</v>
      </c>
      <c r="E7" s="5">
        <v>55359</v>
      </c>
      <c r="F7" s="5">
        <v>92407</v>
      </c>
      <c r="G7" s="5">
        <v>966</v>
      </c>
      <c r="H7" s="5">
        <v>1286</v>
      </c>
      <c r="I7" s="5">
        <v>29312</v>
      </c>
      <c r="J7" s="5">
        <v>2569</v>
      </c>
      <c r="K7" s="5">
        <v>31364</v>
      </c>
      <c r="L7" s="6">
        <f t="shared" ref="L7:L31" si="0">+SUM(C7:K7)</f>
        <v>660072</v>
      </c>
    </row>
    <row r="8" spans="1:13" x14ac:dyDescent="0.25">
      <c r="A8" s="3"/>
      <c r="B8" s="7" t="s">
        <v>15</v>
      </c>
      <c r="C8" s="8">
        <v>38084</v>
      </c>
      <c r="D8" s="8">
        <v>75099</v>
      </c>
      <c r="E8" s="8">
        <v>34791</v>
      </c>
      <c r="F8" s="8">
        <v>30313</v>
      </c>
      <c r="G8" s="8">
        <v>0</v>
      </c>
      <c r="H8" s="8">
        <v>1336</v>
      </c>
      <c r="I8" s="8">
        <v>20148</v>
      </c>
      <c r="J8" s="8">
        <v>4018</v>
      </c>
      <c r="K8" s="8">
        <v>7123</v>
      </c>
      <c r="L8" s="9">
        <f t="shared" si="0"/>
        <v>210912</v>
      </c>
    </row>
    <row r="9" spans="1:13" x14ac:dyDescent="0.25">
      <c r="A9" s="3"/>
      <c r="B9" s="7" t="s">
        <v>16</v>
      </c>
      <c r="C9" s="8">
        <v>10987</v>
      </c>
      <c r="D9" s="8">
        <v>17703</v>
      </c>
      <c r="E9" s="8">
        <v>5858</v>
      </c>
      <c r="F9" s="8">
        <v>3905</v>
      </c>
      <c r="G9" s="8">
        <v>1093</v>
      </c>
      <c r="H9" s="8">
        <v>1167</v>
      </c>
      <c r="I9" s="8">
        <v>357</v>
      </c>
      <c r="J9" s="8">
        <v>2388</v>
      </c>
      <c r="K9" s="8">
        <v>1751</v>
      </c>
      <c r="L9" s="9">
        <f t="shared" si="0"/>
        <v>45209</v>
      </c>
    </row>
    <row r="10" spans="1:13" x14ac:dyDescent="0.25">
      <c r="A10" s="3"/>
      <c r="B10" s="7" t="s">
        <v>17</v>
      </c>
      <c r="C10" s="8">
        <v>15289</v>
      </c>
      <c r="D10" s="8">
        <v>38704</v>
      </c>
      <c r="E10" s="8">
        <v>10441</v>
      </c>
      <c r="F10" s="8">
        <v>9286</v>
      </c>
      <c r="G10" s="8">
        <v>840</v>
      </c>
      <c r="H10" s="8">
        <v>151</v>
      </c>
      <c r="I10" s="8">
        <v>12025</v>
      </c>
      <c r="J10" s="8">
        <v>1846</v>
      </c>
      <c r="K10" s="8">
        <v>4053</v>
      </c>
      <c r="L10" s="9">
        <f t="shared" si="0"/>
        <v>92635</v>
      </c>
    </row>
    <row r="11" spans="1:13" x14ac:dyDescent="0.25">
      <c r="A11" s="3"/>
      <c r="B11" s="7" t="s">
        <v>18</v>
      </c>
      <c r="C11" s="8">
        <v>3887</v>
      </c>
      <c r="D11" s="8">
        <v>19771</v>
      </c>
      <c r="E11" s="8">
        <v>6458</v>
      </c>
      <c r="F11" s="8">
        <v>5223</v>
      </c>
      <c r="G11" s="8">
        <v>713</v>
      </c>
      <c r="H11" s="8">
        <v>61</v>
      </c>
      <c r="I11" s="8">
        <v>6364</v>
      </c>
      <c r="J11" s="8">
        <v>355</v>
      </c>
      <c r="K11" s="8">
        <v>1802</v>
      </c>
      <c r="L11" s="9">
        <f t="shared" si="0"/>
        <v>44634</v>
      </c>
    </row>
    <row r="12" spans="1:13" x14ac:dyDescent="0.25">
      <c r="A12" s="3"/>
      <c r="B12" s="7" t="s">
        <v>19</v>
      </c>
      <c r="C12" s="8">
        <v>17962</v>
      </c>
      <c r="D12" s="8">
        <v>61398</v>
      </c>
      <c r="E12" s="8">
        <v>11676</v>
      </c>
      <c r="F12" s="8">
        <v>25189</v>
      </c>
      <c r="G12" s="8">
        <v>336</v>
      </c>
      <c r="H12" s="8">
        <v>188</v>
      </c>
      <c r="I12" s="8">
        <v>1385</v>
      </c>
      <c r="J12" s="8">
        <v>1616</v>
      </c>
      <c r="K12" s="8">
        <v>8268</v>
      </c>
      <c r="L12" s="9">
        <f t="shared" si="0"/>
        <v>128018</v>
      </c>
    </row>
    <row r="13" spans="1:13" x14ac:dyDescent="0.25">
      <c r="A13" s="3"/>
      <c r="B13" s="7" t="s">
        <v>20</v>
      </c>
      <c r="C13" s="8">
        <v>7075</v>
      </c>
      <c r="D13" s="8">
        <v>32729</v>
      </c>
      <c r="E13" s="8">
        <v>7252</v>
      </c>
      <c r="F13" s="8">
        <v>9312</v>
      </c>
      <c r="G13" s="8">
        <v>411</v>
      </c>
      <c r="H13" s="8">
        <v>454</v>
      </c>
      <c r="I13" s="8">
        <v>107</v>
      </c>
      <c r="J13" s="8">
        <v>2561</v>
      </c>
      <c r="K13" s="8">
        <v>2638</v>
      </c>
      <c r="L13" s="9">
        <f t="shared" si="0"/>
        <v>62539</v>
      </c>
    </row>
    <row r="14" spans="1:13" x14ac:dyDescent="0.25">
      <c r="A14" s="3"/>
      <c r="B14" s="7" t="s">
        <v>21</v>
      </c>
      <c r="C14" s="8">
        <v>25074</v>
      </c>
      <c r="D14" s="8">
        <v>36567</v>
      </c>
      <c r="E14" s="8">
        <v>10035</v>
      </c>
      <c r="F14" s="8">
        <v>11965</v>
      </c>
      <c r="G14" s="8">
        <v>1913</v>
      </c>
      <c r="H14" s="8">
        <v>705</v>
      </c>
      <c r="I14" s="8">
        <v>359</v>
      </c>
      <c r="J14" s="8">
        <v>518</v>
      </c>
      <c r="K14" s="8">
        <v>2493</v>
      </c>
      <c r="L14" s="9">
        <f t="shared" si="0"/>
        <v>89629</v>
      </c>
    </row>
    <row r="15" spans="1:13" x14ac:dyDescent="0.25">
      <c r="A15" s="3"/>
      <c r="B15" s="7" t="s">
        <v>22</v>
      </c>
      <c r="C15" s="8">
        <v>9782</v>
      </c>
      <c r="D15" s="8">
        <v>15736</v>
      </c>
      <c r="E15" s="8">
        <v>6369</v>
      </c>
      <c r="F15" s="19">
        <v>5011</v>
      </c>
      <c r="G15" s="19">
        <v>381</v>
      </c>
      <c r="H15" s="19">
        <v>486</v>
      </c>
      <c r="I15" s="19">
        <v>482</v>
      </c>
      <c r="J15" s="19">
        <v>1409</v>
      </c>
      <c r="K15" s="19">
        <v>1733</v>
      </c>
      <c r="L15" s="9">
        <f t="shared" si="0"/>
        <v>41389</v>
      </c>
    </row>
    <row r="16" spans="1:13" x14ac:dyDescent="0.25">
      <c r="A16" s="3"/>
      <c r="B16" s="7" t="s">
        <v>23</v>
      </c>
      <c r="C16" s="8">
        <v>13101</v>
      </c>
      <c r="D16" s="8">
        <v>26660</v>
      </c>
      <c r="E16" s="8">
        <v>9606</v>
      </c>
      <c r="F16" s="8">
        <v>8761</v>
      </c>
      <c r="G16" s="8">
        <v>498</v>
      </c>
      <c r="H16" s="8">
        <v>513</v>
      </c>
      <c r="I16" s="8">
        <v>1077</v>
      </c>
      <c r="J16" s="8">
        <v>951</v>
      </c>
      <c r="K16" s="8">
        <v>1774</v>
      </c>
      <c r="L16" s="9">
        <f t="shared" si="0"/>
        <v>62941</v>
      </c>
    </row>
    <row r="17" spans="1:12" x14ac:dyDescent="0.25">
      <c r="A17" s="10" t="s">
        <v>24</v>
      </c>
      <c r="B17" s="7" t="s">
        <v>25</v>
      </c>
      <c r="C17" s="8">
        <v>6996</v>
      </c>
      <c r="D17" s="8">
        <v>10888</v>
      </c>
      <c r="E17" s="8">
        <v>4234</v>
      </c>
      <c r="F17" s="8">
        <v>2817</v>
      </c>
      <c r="G17" s="8">
        <v>545</v>
      </c>
      <c r="H17" s="8">
        <v>311</v>
      </c>
      <c r="I17" s="8">
        <v>336</v>
      </c>
      <c r="J17" s="8">
        <v>412</v>
      </c>
      <c r="K17" s="8">
        <v>1301</v>
      </c>
      <c r="L17" s="9">
        <f t="shared" si="0"/>
        <v>27840</v>
      </c>
    </row>
    <row r="18" spans="1:12" x14ac:dyDescent="0.25">
      <c r="A18" s="3"/>
      <c r="B18" s="7" t="s">
        <v>26</v>
      </c>
      <c r="C18" s="8">
        <v>11122</v>
      </c>
      <c r="D18" s="8">
        <v>15565</v>
      </c>
      <c r="E18" s="8">
        <v>5693</v>
      </c>
      <c r="F18" s="8">
        <v>4322</v>
      </c>
      <c r="G18" s="8">
        <v>393</v>
      </c>
      <c r="H18" s="8">
        <v>911</v>
      </c>
      <c r="I18" s="8">
        <v>622</v>
      </c>
      <c r="J18" s="8">
        <v>887</v>
      </c>
      <c r="K18" s="8">
        <v>1203</v>
      </c>
      <c r="L18" s="9">
        <f t="shared" si="0"/>
        <v>40718</v>
      </c>
    </row>
    <row r="19" spans="1:12" x14ac:dyDescent="0.25">
      <c r="A19" s="3"/>
      <c r="B19" s="7" t="s">
        <v>27</v>
      </c>
      <c r="C19" s="8">
        <v>14619.191666666666</v>
      </c>
      <c r="D19" s="8">
        <v>42784.533333333333</v>
      </c>
      <c r="E19" s="8">
        <v>15746.933333333331</v>
      </c>
      <c r="F19" s="8">
        <v>11958.4</v>
      </c>
      <c r="G19" s="8">
        <v>953.73333333333335</v>
      </c>
      <c r="H19" s="8">
        <v>296</v>
      </c>
      <c r="I19" s="8">
        <v>859</v>
      </c>
      <c r="J19" s="8">
        <v>1014</v>
      </c>
      <c r="K19" s="8">
        <v>5273.0333333333338</v>
      </c>
      <c r="L19" s="9">
        <f t="shared" si="0"/>
        <v>93504.824999999997</v>
      </c>
    </row>
    <row r="20" spans="1:12" x14ac:dyDescent="0.25">
      <c r="A20" s="3"/>
      <c r="B20" s="7" t="s">
        <v>28</v>
      </c>
      <c r="C20" s="8">
        <v>7293</v>
      </c>
      <c r="D20" s="8">
        <v>30363</v>
      </c>
      <c r="E20" s="8">
        <v>5191</v>
      </c>
      <c r="F20" s="8">
        <v>11308</v>
      </c>
      <c r="G20" s="8">
        <v>584</v>
      </c>
      <c r="H20" s="8">
        <v>177</v>
      </c>
      <c r="I20" s="8">
        <v>0</v>
      </c>
      <c r="J20" s="8">
        <v>1216</v>
      </c>
      <c r="K20" s="8">
        <v>3691</v>
      </c>
      <c r="L20" s="9">
        <f t="shared" si="0"/>
        <v>59823</v>
      </c>
    </row>
    <row r="21" spans="1:12" x14ac:dyDescent="0.25">
      <c r="A21" s="3"/>
      <c r="B21" s="7" t="s">
        <v>29</v>
      </c>
      <c r="C21" s="8">
        <v>4072</v>
      </c>
      <c r="D21" s="8">
        <v>26633</v>
      </c>
      <c r="E21" s="8">
        <v>9020</v>
      </c>
      <c r="F21" s="8">
        <v>6632</v>
      </c>
      <c r="G21" s="8">
        <v>565</v>
      </c>
      <c r="H21" s="8">
        <v>1736</v>
      </c>
      <c r="I21" s="8">
        <v>13795</v>
      </c>
      <c r="J21" s="8">
        <v>732</v>
      </c>
      <c r="K21" s="8">
        <v>2129</v>
      </c>
      <c r="L21" s="9">
        <f t="shared" si="0"/>
        <v>65314</v>
      </c>
    </row>
    <row r="22" spans="1:12" x14ac:dyDescent="0.25">
      <c r="A22" s="3"/>
      <c r="B22" s="7" t="s">
        <v>30</v>
      </c>
      <c r="C22" s="8">
        <v>12019</v>
      </c>
      <c r="D22" s="8">
        <v>26111</v>
      </c>
      <c r="E22" s="8">
        <v>6472</v>
      </c>
      <c r="F22" s="8">
        <v>8384</v>
      </c>
      <c r="G22" s="8">
        <v>420</v>
      </c>
      <c r="H22" s="8">
        <v>244</v>
      </c>
      <c r="I22" s="8">
        <v>355</v>
      </c>
      <c r="J22" s="8">
        <v>812</v>
      </c>
      <c r="K22" s="8">
        <v>2291</v>
      </c>
      <c r="L22" s="9">
        <f t="shared" si="0"/>
        <v>57108</v>
      </c>
    </row>
    <row r="23" spans="1:12" x14ac:dyDescent="0.25">
      <c r="A23" s="3"/>
      <c r="B23" s="7" t="s">
        <v>31</v>
      </c>
      <c r="C23" s="8">
        <v>12310</v>
      </c>
      <c r="D23" s="8">
        <v>34317</v>
      </c>
      <c r="E23" s="8">
        <v>9463</v>
      </c>
      <c r="F23" s="8">
        <v>13991</v>
      </c>
      <c r="G23" s="8">
        <v>595</v>
      </c>
      <c r="H23" s="8">
        <v>53</v>
      </c>
      <c r="I23" s="8">
        <v>137</v>
      </c>
      <c r="J23" s="8">
        <v>1136</v>
      </c>
      <c r="K23" s="8">
        <v>4072</v>
      </c>
      <c r="L23" s="9">
        <f t="shared" si="0"/>
        <v>76074</v>
      </c>
    </row>
    <row r="24" spans="1:12" x14ac:dyDescent="0.25">
      <c r="A24" s="3"/>
      <c r="B24" s="7" t="s">
        <v>32</v>
      </c>
      <c r="C24" s="8">
        <v>10846</v>
      </c>
      <c r="D24" s="8">
        <v>17752</v>
      </c>
      <c r="E24" s="8">
        <v>7821</v>
      </c>
      <c r="F24" s="8">
        <v>5747</v>
      </c>
      <c r="G24" s="8">
        <v>296</v>
      </c>
      <c r="H24" s="8">
        <v>567</v>
      </c>
      <c r="I24" s="8">
        <v>328</v>
      </c>
      <c r="J24" s="8">
        <v>347</v>
      </c>
      <c r="K24" s="8">
        <v>1433</v>
      </c>
      <c r="L24" s="9">
        <f t="shared" si="0"/>
        <v>45137</v>
      </c>
    </row>
    <row r="25" spans="1:12" x14ac:dyDescent="0.25">
      <c r="A25" s="10" t="s">
        <v>24</v>
      </c>
      <c r="B25" s="7" t="s">
        <v>33</v>
      </c>
      <c r="C25" s="8">
        <v>6450</v>
      </c>
      <c r="D25" s="8">
        <v>11544</v>
      </c>
      <c r="E25" s="8">
        <v>4409</v>
      </c>
      <c r="F25" s="8">
        <v>3984</v>
      </c>
      <c r="G25" s="8">
        <v>94</v>
      </c>
      <c r="H25" s="8">
        <v>764</v>
      </c>
      <c r="I25" s="8">
        <v>43</v>
      </c>
      <c r="J25" s="8">
        <v>212</v>
      </c>
      <c r="K25" s="8">
        <v>1349</v>
      </c>
      <c r="L25" s="9">
        <f t="shared" si="0"/>
        <v>28849</v>
      </c>
    </row>
    <row r="26" spans="1:12" x14ac:dyDescent="0.25">
      <c r="A26" s="3"/>
      <c r="B26" s="7" t="s">
        <v>34</v>
      </c>
      <c r="C26" s="8">
        <v>8094</v>
      </c>
      <c r="D26" s="8">
        <v>13123</v>
      </c>
      <c r="E26" s="8">
        <v>3179</v>
      </c>
      <c r="F26" s="8">
        <v>5722</v>
      </c>
      <c r="G26" s="8">
        <v>796</v>
      </c>
      <c r="H26" s="8">
        <v>786</v>
      </c>
      <c r="I26" s="8">
        <v>840</v>
      </c>
      <c r="J26" s="8">
        <v>767</v>
      </c>
      <c r="K26" s="8">
        <v>1303</v>
      </c>
      <c r="L26" s="9">
        <f t="shared" si="0"/>
        <v>34610</v>
      </c>
    </row>
    <row r="27" spans="1:12" x14ac:dyDescent="0.25">
      <c r="A27" s="3"/>
      <c r="B27" s="7" t="s">
        <v>35</v>
      </c>
      <c r="C27" s="8">
        <v>150152</v>
      </c>
      <c r="D27" s="8">
        <v>61235</v>
      </c>
      <c r="E27" s="8">
        <v>8605</v>
      </c>
      <c r="F27" s="8">
        <v>25583</v>
      </c>
      <c r="G27" s="8">
        <v>1242</v>
      </c>
      <c r="H27" s="8">
        <v>1027</v>
      </c>
      <c r="I27" s="8">
        <v>1804</v>
      </c>
      <c r="J27" s="8">
        <v>1559</v>
      </c>
      <c r="K27" s="8">
        <v>4642</v>
      </c>
      <c r="L27" s="9">
        <f t="shared" si="0"/>
        <v>255849</v>
      </c>
    </row>
    <row r="28" spans="1:12" x14ac:dyDescent="0.25">
      <c r="A28" s="3"/>
      <c r="B28" s="7" t="s">
        <v>36</v>
      </c>
      <c r="C28" s="8">
        <v>13861</v>
      </c>
      <c r="D28" s="8">
        <v>27152</v>
      </c>
      <c r="E28" s="8">
        <v>8598</v>
      </c>
      <c r="F28" s="8">
        <v>7568</v>
      </c>
      <c r="G28" s="8">
        <v>897</v>
      </c>
      <c r="H28" s="8">
        <v>521</v>
      </c>
      <c r="I28" s="8">
        <v>3402</v>
      </c>
      <c r="J28" s="8">
        <v>369</v>
      </c>
      <c r="K28" s="8">
        <v>2831</v>
      </c>
      <c r="L28" s="9">
        <f t="shared" si="0"/>
        <v>65199</v>
      </c>
    </row>
    <row r="29" spans="1:12" x14ac:dyDescent="0.25">
      <c r="A29" s="3"/>
      <c r="B29" s="7" t="s">
        <v>37</v>
      </c>
      <c r="C29" s="8">
        <v>4326</v>
      </c>
      <c r="D29" s="8">
        <v>7977</v>
      </c>
      <c r="E29" s="8">
        <v>2375</v>
      </c>
      <c r="F29" s="8">
        <v>2269</v>
      </c>
      <c r="G29" s="8">
        <v>144</v>
      </c>
      <c r="H29" s="8">
        <v>267</v>
      </c>
      <c r="I29" s="8">
        <v>1062</v>
      </c>
      <c r="J29" s="8">
        <v>342</v>
      </c>
      <c r="K29" s="8">
        <v>654</v>
      </c>
      <c r="L29" s="9">
        <f t="shared" si="0"/>
        <v>19416</v>
      </c>
    </row>
    <row r="30" spans="1:12" x14ac:dyDescent="0.25">
      <c r="A30" s="3"/>
      <c r="B30" s="11" t="s">
        <v>38</v>
      </c>
      <c r="C30" s="12">
        <v>15914</v>
      </c>
      <c r="D30" s="12">
        <v>31199</v>
      </c>
      <c r="E30" s="12">
        <v>25048</v>
      </c>
      <c r="F30" s="12">
        <v>11318</v>
      </c>
      <c r="G30" s="12">
        <v>1301</v>
      </c>
      <c r="H30" s="12">
        <v>179</v>
      </c>
      <c r="I30" s="12">
        <v>1472</v>
      </c>
      <c r="J30" s="12">
        <v>5227</v>
      </c>
      <c r="K30" s="12">
        <v>4159</v>
      </c>
      <c r="L30" s="13">
        <f t="shared" si="0"/>
        <v>95817</v>
      </c>
    </row>
    <row r="31" spans="1:12" x14ac:dyDescent="0.25">
      <c r="A31" s="3"/>
      <c r="B31" s="24" t="s">
        <v>39</v>
      </c>
      <c r="C31" s="14">
        <f t="shared" ref="C31:K31" si="1">SUM(C7:C30)</f>
        <v>539194.19166666665</v>
      </c>
      <c r="D31" s="14">
        <f t="shared" si="1"/>
        <v>1007940.5333333333</v>
      </c>
      <c r="E31" s="14">
        <f t="shared" si="1"/>
        <v>273699.93333333335</v>
      </c>
      <c r="F31" s="14">
        <f t="shared" si="1"/>
        <v>322975.40000000002</v>
      </c>
      <c r="G31" s="14">
        <f t="shared" si="1"/>
        <v>15976.733333333334</v>
      </c>
      <c r="H31" s="14">
        <f t="shared" si="1"/>
        <v>14186</v>
      </c>
      <c r="I31" s="14">
        <f t="shared" si="1"/>
        <v>96671</v>
      </c>
      <c r="J31" s="14">
        <f t="shared" si="1"/>
        <v>33263</v>
      </c>
      <c r="K31" s="14">
        <f t="shared" si="1"/>
        <v>99330.03333333334</v>
      </c>
      <c r="L31" s="14">
        <f t="shared" si="0"/>
        <v>2403236.8250000002</v>
      </c>
    </row>
    <row r="32" spans="1:12" x14ac:dyDescent="0.25">
      <c r="A32" s="3"/>
      <c r="B32" s="15" t="s">
        <v>40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x14ac:dyDescent="0.25">
      <c r="A33" s="3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8" t="s">
        <v>41</v>
      </c>
    </row>
    <row r="35" spans="1:12" x14ac:dyDescent="0.25">
      <c r="B35" s="30" t="s">
        <v>42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</row>
  </sheetData>
  <mergeCells count="15">
    <mergeCell ref="B35:L35"/>
    <mergeCell ref="I5:I6"/>
    <mergeCell ref="J5:J6"/>
    <mergeCell ref="K5:K6"/>
    <mergeCell ref="L5:L6"/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2026-09-22T15:44:39Z</dcterms:created>
  <dcterms:modified xsi:type="dcterms:W3CDTF">2026-10-14T17:41:33Z</dcterms:modified>
</cp:coreProperties>
</file>