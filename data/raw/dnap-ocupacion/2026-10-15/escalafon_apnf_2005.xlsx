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AF37B260-76A3-454C-AA6B-F39B4AAFEC23}" xr6:coauthVersionLast="47" xr6:coauthVersionMax="47" xr10:uidLastSave="{00000000-0000-0000-0000-000000000000}"/>
  <bookViews>
    <workbookView xWindow="-120" yWindow="-120" windowWidth="29040" windowHeight="15840" xr2:uid="{104381B2-7D94-4E54-822E-2C2F00B1E340}"/>
  </bookViews>
  <sheets>
    <sheet name="12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1" l="1"/>
  <c r="L28" i="1"/>
  <c r="L9" i="1"/>
  <c r="L21" i="1"/>
  <c r="L14" i="1"/>
  <c r="L26" i="1"/>
  <c r="L27" i="1"/>
  <c r="L18" i="1"/>
  <c r="L30" i="1"/>
  <c r="L19" i="1"/>
  <c r="L12" i="1"/>
  <c r="K31" i="1"/>
  <c r="L8" i="1"/>
  <c r="L20" i="1"/>
  <c r="L25" i="1"/>
  <c r="C31" i="1"/>
  <c r="L7" i="1"/>
  <c r="L15" i="1"/>
  <c r="L23" i="1"/>
  <c r="L16" i="1"/>
  <c r="D31" i="1"/>
  <c r="E31" i="1"/>
  <c r="L24" i="1"/>
  <c r="F31" i="1"/>
  <c r="G31" i="1"/>
  <c r="L17" i="1"/>
  <c r="L29" i="1"/>
  <c r="H31" i="1"/>
  <c r="L11" i="1"/>
  <c r="I31" i="1"/>
  <c r="L10" i="1"/>
  <c r="L22" i="1"/>
  <c r="J31" i="1"/>
  <c r="L31" i="1" l="1"/>
</calcChain>
</file>

<file path=xl/sharedStrings.xml><?xml version="1.0" encoding="utf-8"?>
<sst xmlns="http://schemas.openxmlformats.org/spreadsheetml/2006/main" count="48" uniqueCount="47">
  <si>
    <t>PLANTA DE LA ADMINISTRACIÓN PÚBLICA PROVINCIAL NO FINANCIERA POR ESCALAFÓN - 24 JURISDICCIONES</t>
  </si>
  <si>
    <t>Jurisdicción</t>
  </si>
  <si>
    <t>General</t>
  </si>
  <si>
    <t>Docente</t>
  </si>
  <si>
    <t>Salud</t>
  </si>
  <si>
    <t>Seguridad</t>
  </si>
  <si>
    <t>Vial</t>
  </si>
  <si>
    <t>Autoridades Superiores</t>
  </si>
  <si>
    <t>Resto</t>
  </si>
  <si>
    <t>Legislativo</t>
  </si>
  <si>
    <t>Justicia</t>
  </si>
  <si>
    <t>Total General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</si>
  <si>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</si>
  <si>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</si>
  <si>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</si>
  <si>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</si>
  <si>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</si>
  <si>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</si>
  <si>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</si>
  <si>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</si>
  <si>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</si>
  <si>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</si>
  <si>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</si>
  <si>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</si>
  <si>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</si>
  <si>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</si>
  <si>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</si>
  <si>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</si>
  <si>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</si>
  <si>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</si>
  <si>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</si>
  <si>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</si>
  <si>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</si>
  <si>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</si>
  <si>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</si>
  <si>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</si>
  <si>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</si>
  <si>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Total</t>
  </si>
  <si>
    <t>(*): Sólo cargos presupuestados para el ejercicio según ley de presupuesto anual. La Pampa no incluye cargos del ISS.</t>
  </si>
  <si>
    <t>(**)</t>
  </si>
  <si>
    <t>Incluye contratos, becas y pasantías, y personal de programas.</t>
  </si>
  <si>
    <t>(**): Sólo cargos totales. Detalle no informado por la jurisdicción</t>
  </si>
  <si>
    <t>A DICIEMBRE DE 2005</t>
  </si>
  <si>
    <t>(1): Cargos Ocupados con y sin remuneración, informado por las jurisdicciones sin discriminar.</t>
  </si>
  <si>
    <r>
      <t>Nota</t>
    </r>
    <r>
      <rPr>
        <sz val="10"/>
        <rFont val="Roboto"/>
      </rPr>
      <t xml:space="preserve">: La información suministrada hasta 2016 cuantifica al Personal Ocupado en la Administración Pública No Financiera, según especificación del Anexo III, Art. 7° (Reglamentado por Decreto 1731/2004). A partir de los cambios metodológicos informados por el Consejo Federal de Responsabilidad Fiscal, de aplicación a partir de Diciembre 2017, la misma no es comparable con la información suministrada por las jurisdicciones a partir de 2017 y ejercicios posteriores. </t>
    </r>
  </si>
  <si>
    <r>
      <t>CARGOS OCUPADOS</t>
    </r>
    <r>
      <rPr>
        <vertAlign val="superscript"/>
        <sz val="11"/>
        <color theme="1"/>
        <rFont val="Roboto"/>
      </rPr>
      <t>(1)</t>
    </r>
    <r>
      <rPr>
        <sz val="11"/>
        <color theme="1"/>
        <rFont val="Roboto"/>
      </rPr>
      <t xml:space="preserve"> POR JURISDICCIÓN  - 24 JURISDICCIONES</t>
    </r>
  </si>
  <si>
    <r>
      <rPr>
        <b/>
        <sz val="11"/>
        <rFont val="Roboto"/>
      </rPr>
      <t>Fuente</t>
    </r>
    <r>
      <rPr>
        <sz val="11"/>
        <rFont val="Roboto"/>
      </rPr>
      <t>: Subsecretaría de Coordinación Fiscal Provincial, en base a datos informados por las jurisdicciones.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</si>
</sst>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3"/>
      <color theme="1"/>
      <name val="Roboto"/>
    </font>
    <font>
      <sz val="11"/>
      <color theme="1"/>
      <name val="Roboto"/>
    </font>
    <font>
      <b/>
      <sz val="10"/>
      <name val="Roboto"/>
    </font>
    <font>
      <sz val="10"/>
      <name val="Roboto"/>
    </font>
    <font>
      <sz val="10"/>
      <color theme="1"/>
      <name val="Roboto"/>
    </font>
    <font>
      <sz val="11"/>
      <name val="Roboto"/>
    </font>
    <font>
      <b/>
      <sz val="11"/>
      <color theme="1"/>
      <name val="Roboto"/>
    </font>
    <font>
      <b/>
      <sz val="11"/>
      <name val="Roboto"/>
    </font>
    <font>
      <b/>
      <sz val="12"/>
      <color theme="1"/>
      <name val="Roboto"/>
    </font>
    <font>
      <vertAlign val="superscript"/>
      <sz val="11"/>
      <color theme="1"/>
      <name val="Roboto"/>
    </font>
    <font>
      <b/>
      <sz val="10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242C4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0">
    <xf numFmtId="0" fontId="0" fillId="0" borderId="0" xfId="0"/>
    <xf numFmtId="0" fontId="6" fillId="0" borderId="2" xfId="0" applyFont="1" applyBorder="1" applyAlignment="1">
      <alignment horizontal="left" vertical="center"/>
    </xf>
    <xf numFmtId="164" fontId="6" fillId="0" borderId="2" xfId="1" applyNumberFormat="1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164" fontId="6" fillId="0" borderId="1" xfId="1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7" fillId="0" borderId="0" xfId="0" quotePrefix="1" applyFont="1" applyAlignment="1">
      <alignment vertical="center"/>
    </xf>
    <xf numFmtId="0" fontId="8" fillId="0" borderId="0" xfId="2" applyFont="1"/>
    <xf numFmtId="0" fontId="4" fillId="0" borderId="0" xfId="0" applyFont="1"/>
    <xf numFmtId="0" fontId="4" fillId="0" borderId="0" xfId="0" applyFont="1" applyAlignment="1">
      <alignment horizontal="right" vertical="center"/>
    </xf>
    <xf numFmtId="0" fontId="8" fillId="0" borderId="0" xfId="0" quotePrefix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2" applyFont="1"/>
    <xf numFmtId="0" fontId="6" fillId="0" borderId="0" xfId="2" applyFont="1"/>
    <xf numFmtId="164" fontId="6" fillId="2" borderId="2" xfId="1" applyNumberFormat="1" applyFont="1" applyFill="1" applyBorder="1" applyAlignment="1">
      <alignment vertical="center"/>
    </xf>
    <xf numFmtId="0" fontId="5" fillId="0" borderId="0" xfId="2" applyFont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0" fontId="8" fillId="0" borderId="0" xfId="2" applyFont="1" applyAlignment="1">
      <alignment horizontal="left"/>
    </xf>
    <xf numFmtId="2" fontId="6" fillId="0" borderId="4" xfId="0" quotePrefix="1" applyNumberFormat="1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top"/>
    </xf>
    <xf numFmtId="2" fontId="13" fillId="3" borderId="6" xfId="0" applyNumberFormat="1" applyFont="1" applyFill="1" applyBorder="1" applyAlignment="1">
      <alignment horizontal="center" vertical="center" wrapText="1"/>
    </xf>
    <xf numFmtId="2" fontId="13" fillId="3" borderId="7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vertical="center"/>
    </xf>
    <xf numFmtId="2" fontId="6" fillId="0" borderId="0" xfId="0" quotePrefix="1" applyNumberFormat="1" applyFont="1" applyBorder="1" applyAlignment="1">
      <alignment horizontal="left" vertical="center" wrapText="1"/>
    </xf>
    <xf numFmtId="2" fontId="13" fillId="3" borderId="5" xfId="0" applyNumberFormat="1" applyFont="1" applyFill="1" applyBorder="1" applyAlignment="1">
      <alignment horizontal="left" vertical="center" wrapText="1"/>
    </xf>
  </cellXfs>
  <cellStyles count="3">
    <cellStyle name="Millares" xfId="1" builtinId="3"/>
    <cellStyle name="Normal" xfId="0" builtinId="0"/>
    <cellStyle name="Normal 2" xfId="2" xr:uid="{6CB7E954-1178-4C6E-85E9-F8776CA2F84C}"/>
  </cellStyles>
  <dxfs count="0"/>
  <tableStyles count="0" defaultTableStyle="TableStyleMedium2" defaultPivotStyle="PivotStyleLight16"/>
  <colors>
    <mruColors>
      <color rgb="FF242C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514350</xdr:colOff>
      <xdr:row>3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C7A9F7-D8F4-4094-8E5B-3CC68B893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B1063-1A3A-4C4C-BB67-B84459A5D0EE}">
  <dimension ref="A2:M39"/>
  <sheetViews>
    <sheetView tabSelected="1" workbookViewId="0">
      <selection activeCell="B2" sqref="B2:L2"/>
    </sheetView>
  </sheetViews>
  <sheetFormatPr baseColWidth="10" defaultRowHeight="15" x14ac:dyDescent="0.25"/>
  <cols>
    <col min="1" max="1" width="4.28515625" style="8" customWidth="1"/>
    <col min="2" max="2" width="20.5703125" style="8" customWidth="1"/>
    <col min="3" max="11" width="11.42578125" style="8"/>
    <col min="12" max="12" width="11.42578125" style="14"/>
    <col min="13" max="13" width="11.42578125" style="8"/>
    <col min="14" max="16384" width="11.42578125" style="9"/>
  </cols>
  <sheetData>
    <row r="2" spans="1:12" ht="16.5" x14ac:dyDescent="0.25">
      <c r="A2" s="21"/>
      <c r="B2" s="22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ht="15.75" customHeight="1" x14ac:dyDescent="0.25">
      <c r="A3" s="10"/>
      <c r="B3" s="23" t="s">
        <v>45</v>
      </c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x14ac:dyDescent="0.25">
      <c r="A4" s="10"/>
      <c r="B4" s="24" t="s">
        <v>42</v>
      </c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 x14ac:dyDescent="0.25">
      <c r="A5" s="10"/>
      <c r="B5" s="25" t="s">
        <v>1</v>
      </c>
      <c r="C5" s="25" t="s">
        <v>2</v>
      </c>
      <c r="D5" s="25" t="s">
        <v>3</v>
      </c>
      <c r="E5" s="25" t="s">
        <v>4</v>
      </c>
      <c r="F5" s="25" t="s">
        <v>5</v>
      </c>
      <c r="G5" s="25" t="s">
        <v>6</v>
      </c>
      <c r="H5" s="25" t="s">
        <v>7</v>
      </c>
      <c r="I5" s="25" t="s">
        <v>8</v>
      </c>
      <c r="J5" s="25" t="s">
        <v>9</v>
      </c>
      <c r="K5" s="25" t="s">
        <v>10</v>
      </c>
      <c r="L5" s="25" t="s">
        <v>11</v>
      </c>
    </row>
    <row r="6" spans="1:12" x14ac:dyDescent="0.25">
      <c r="A6" s="10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</row>
    <row r="7" spans="1:12" x14ac:dyDescent="0.25">
      <c r="A7" s="10"/>
      <c r="B7" s="1" t="s">
        <v>12</v>
      </c>
      <c r="C7" s="2">
        <v>101979</v>
      </c>
      <c r="D7" s="2">
        <v>262109</v>
      </c>
      <c r="E7" s="2">
        <v>10344</v>
      </c>
      <c r="F7" s="2">
        <v>63413</v>
      </c>
      <c r="G7" s="2">
        <v>1509</v>
      </c>
      <c r="H7" s="2">
        <v>162</v>
      </c>
      <c r="I7" s="2">
        <v>7972</v>
      </c>
      <c r="J7" s="2">
        <v>5205</v>
      </c>
      <c r="K7" s="2">
        <v>16560</v>
      </c>
      <c r="L7" s="3">
        <f t="shared" ref="L7:L31" si="0">+SUM(C7:K7)</f>
        <v>469253</v>
      </c>
    </row>
    <row r="8" spans="1:12" x14ac:dyDescent="0.25">
      <c r="A8" s="10"/>
      <c r="B8" s="1" t="s">
        <v>13</v>
      </c>
      <c r="C8" s="2">
        <v>26357</v>
      </c>
      <c r="D8" s="2">
        <v>55176</v>
      </c>
      <c r="E8" s="2">
        <v>26608</v>
      </c>
      <c r="F8" s="2">
        <v>1767</v>
      </c>
      <c r="G8" s="2">
        <v>0</v>
      </c>
      <c r="H8" s="2">
        <v>476</v>
      </c>
      <c r="I8" s="2">
        <v>13893</v>
      </c>
      <c r="J8" s="2">
        <v>0</v>
      </c>
      <c r="K8" s="2">
        <v>0</v>
      </c>
      <c r="L8" s="3">
        <f t="shared" si="0"/>
        <v>124277</v>
      </c>
    </row>
    <row r="9" spans="1:12" x14ac:dyDescent="0.25">
      <c r="A9" s="10"/>
      <c r="B9" s="1" t="s">
        <v>14</v>
      </c>
      <c r="C9" s="2">
        <v>8172</v>
      </c>
      <c r="D9" s="2">
        <v>9689</v>
      </c>
      <c r="E9" s="2">
        <v>2631</v>
      </c>
      <c r="F9" s="2">
        <v>2699</v>
      </c>
      <c r="G9" s="2">
        <v>1123</v>
      </c>
      <c r="H9" s="2">
        <v>477</v>
      </c>
      <c r="I9" s="2">
        <v>190</v>
      </c>
      <c r="J9" s="2">
        <v>880</v>
      </c>
      <c r="K9" s="2">
        <v>1201</v>
      </c>
      <c r="L9" s="3">
        <f t="shared" si="0"/>
        <v>27062</v>
      </c>
    </row>
    <row r="10" spans="1:12" x14ac:dyDescent="0.25">
      <c r="A10" s="10"/>
      <c r="B10" s="1" t="s">
        <v>15</v>
      </c>
      <c r="C10" s="2">
        <v>7954</v>
      </c>
      <c r="D10" s="2">
        <v>25059</v>
      </c>
      <c r="E10" s="2">
        <v>5459</v>
      </c>
      <c r="F10" s="2">
        <v>4226</v>
      </c>
      <c r="G10" s="2">
        <v>625</v>
      </c>
      <c r="H10" s="2">
        <v>120</v>
      </c>
      <c r="I10" s="2">
        <v>432</v>
      </c>
      <c r="J10" s="2">
        <v>1052</v>
      </c>
      <c r="K10" s="2">
        <v>2260</v>
      </c>
      <c r="L10" s="3">
        <f t="shared" si="0"/>
        <v>47187</v>
      </c>
    </row>
    <row r="11" spans="1:12" x14ac:dyDescent="0.25">
      <c r="A11" s="10"/>
      <c r="B11" s="1" t="s">
        <v>16</v>
      </c>
      <c r="C11" s="2">
        <v>4627</v>
      </c>
      <c r="D11" s="2">
        <v>12348</v>
      </c>
      <c r="E11" s="2">
        <v>3173</v>
      </c>
      <c r="F11" s="2">
        <v>3637</v>
      </c>
      <c r="G11" s="2">
        <v>720</v>
      </c>
      <c r="H11" s="2">
        <v>205</v>
      </c>
      <c r="I11" s="2">
        <v>1398</v>
      </c>
      <c r="J11" s="2">
        <v>206</v>
      </c>
      <c r="K11" s="2">
        <v>1136</v>
      </c>
      <c r="L11" s="3">
        <f t="shared" si="0"/>
        <v>27450</v>
      </c>
    </row>
    <row r="12" spans="1:12" x14ac:dyDescent="0.25">
      <c r="A12" s="10"/>
      <c r="B12" s="1" t="s">
        <v>17</v>
      </c>
      <c r="C12" s="2">
        <v>13139</v>
      </c>
      <c r="D12" s="2">
        <v>42663</v>
      </c>
      <c r="E12" s="2">
        <v>13407</v>
      </c>
      <c r="F12" s="2">
        <v>14889</v>
      </c>
      <c r="G12" s="2">
        <v>317</v>
      </c>
      <c r="H12" s="2">
        <v>89</v>
      </c>
      <c r="I12" s="2">
        <v>3033</v>
      </c>
      <c r="J12" s="2">
        <v>989</v>
      </c>
      <c r="K12" s="2">
        <v>7566</v>
      </c>
      <c r="L12" s="3">
        <f t="shared" si="0"/>
        <v>96092</v>
      </c>
    </row>
    <row r="13" spans="1:12" x14ac:dyDescent="0.25">
      <c r="A13" s="10"/>
      <c r="B13" s="1" t="s">
        <v>18</v>
      </c>
      <c r="C13" s="2">
        <v>7337</v>
      </c>
      <c r="D13" s="2">
        <v>26095</v>
      </c>
      <c r="E13" s="2">
        <v>5956</v>
      </c>
      <c r="F13" s="2">
        <v>4822</v>
      </c>
      <c r="G13" s="2">
        <v>636</v>
      </c>
      <c r="H13" s="2">
        <v>114</v>
      </c>
      <c r="I13" s="2">
        <v>549</v>
      </c>
      <c r="J13" s="2">
        <v>1110</v>
      </c>
      <c r="K13" s="2">
        <v>1757</v>
      </c>
      <c r="L13" s="3">
        <f t="shared" si="0"/>
        <v>48376</v>
      </c>
    </row>
    <row r="14" spans="1:12" x14ac:dyDescent="0.25">
      <c r="A14" s="10"/>
      <c r="B14" s="1" t="s">
        <v>19</v>
      </c>
      <c r="C14" s="2">
        <v>17432</v>
      </c>
      <c r="D14" s="2">
        <v>26747</v>
      </c>
      <c r="E14" s="2">
        <v>6485</v>
      </c>
      <c r="F14" s="2">
        <v>9598</v>
      </c>
      <c r="G14" s="2">
        <v>1546</v>
      </c>
      <c r="H14" s="2">
        <v>383</v>
      </c>
      <c r="I14" s="2">
        <v>170</v>
      </c>
      <c r="J14" s="2">
        <v>357</v>
      </c>
      <c r="K14" s="2">
        <v>1587</v>
      </c>
      <c r="L14" s="3">
        <f t="shared" si="0"/>
        <v>64305</v>
      </c>
    </row>
    <row r="15" spans="1:12" x14ac:dyDescent="0.25">
      <c r="A15" s="10"/>
      <c r="B15" s="1" t="s">
        <v>20</v>
      </c>
      <c r="C15" s="2">
        <v>10355</v>
      </c>
      <c r="D15" s="2">
        <v>13602</v>
      </c>
      <c r="E15" s="2">
        <v>4282</v>
      </c>
      <c r="F15" s="2">
        <v>3383</v>
      </c>
      <c r="G15" s="2">
        <v>678</v>
      </c>
      <c r="H15" s="2">
        <v>351</v>
      </c>
      <c r="I15" s="2">
        <v>100</v>
      </c>
      <c r="J15" s="2">
        <v>2077</v>
      </c>
      <c r="K15" s="2">
        <v>1135</v>
      </c>
      <c r="L15" s="3">
        <f t="shared" si="0"/>
        <v>35963</v>
      </c>
    </row>
    <row r="16" spans="1:12" x14ac:dyDescent="0.25">
      <c r="A16" s="10"/>
      <c r="B16" s="1" t="s">
        <v>21</v>
      </c>
      <c r="C16" s="2">
        <v>5237</v>
      </c>
      <c r="D16" s="2">
        <v>18471</v>
      </c>
      <c r="E16" s="2">
        <v>5828</v>
      </c>
      <c r="F16" s="2">
        <v>4272</v>
      </c>
      <c r="G16" s="2">
        <v>417</v>
      </c>
      <c r="H16" s="2">
        <v>168</v>
      </c>
      <c r="I16" s="2">
        <v>1052</v>
      </c>
      <c r="J16" s="2">
        <v>842</v>
      </c>
      <c r="K16" s="2">
        <v>926</v>
      </c>
      <c r="L16" s="3">
        <f t="shared" si="0"/>
        <v>37213</v>
      </c>
    </row>
    <row r="17" spans="1:12" x14ac:dyDescent="0.25">
      <c r="A17" s="11" t="s">
        <v>22</v>
      </c>
      <c r="B17" s="1" t="s">
        <v>23</v>
      </c>
      <c r="C17" s="2">
        <v>16554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3">
        <f t="shared" si="0"/>
        <v>16554</v>
      </c>
    </row>
    <row r="18" spans="1:12" x14ac:dyDescent="0.25">
      <c r="A18" s="10"/>
      <c r="B18" s="1" t="s">
        <v>24</v>
      </c>
      <c r="C18" s="2">
        <v>3801</v>
      </c>
      <c r="D18" s="2">
        <v>9934</v>
      </c>
      <c r="E18" s="2">
        <v>3629</v>
      </c>
      <c r="F18" s="2">
        <v>2843</v>
      </c>
      <c r="G18" s="2">
        <v>548</v>
      </c>
      <c r="H18" s="2">
        <v>158</v>
      </c>
      <c r="I18" s="2">
        <v>616</v>
      </c>
      <c r="J18" s="2">
        <v>426</v>
      </c>
      <c r="K18" s="2">
        <v>740</v>
      </c>
      <c r="L18" s="3">
        <f t="shared" si="0"/>
        <v>22695</v>
      </c>
    </row>
    <row r="19" spans="1:12" x14ac:dyDescent="0.25">
      <c r="A19" s="10"/>
      <c r="B19" s="1" t="s">
        <v>25</v>
      </c>
      <c r="C19" s="2">
        <v>10105</v>
      </c>
      <c r="D19" s="2">
        <v>32117</v>
      </c>
      <c r="E19" s="2">
        <v>13636</v>
      </c>
      <c r="F19" s="2">
        <v>7903</v>
      </c>
      <c r="G19" s="2">
        <v>927</v>
      </c>
      <c r="H19" s="2">
        <v>279</v>
      </c>
      <c r="I19" s="2">
        <v>1239</v>
      </c>
      <c r="J19" s="2">
        <v>427</v>
      </c>
      <c r="K19" s="2">
        <v>3460</v>
      </c>
      <c r="L19" s="3">
        <f t="shared" si="0"/>
        <v>70093</v>
      </c>
    </row>
    <row r="20" spans="1:12" x14ac:dyDescent="0.25">
      <c r="A20" s="10"/>
      <c r="B20" s="1" t="s">
        <v>26</v>
      </c>
      <c r="C20" s="2">
        <v>8105</v>
      </c>
      <c r="D20" s="2">
        <v>21054</v>
      </c>
      <c r="E20" s="2">
        <v>2023</v>
      </c>
      <c r="F20" s="2">
        <v>5009</v>
      </c>
      <c r="G20" s="2">
        <v>559</v>
      </c>
      <c r="H20" s="2">
        <v>254</v>
      </c>
      <c r="I20" s="2">
        <v>324</v>
      </c>
      <c r="J20" s="2">
        <v>1031</v>
      </c>
      <c r="K20" s="2">
        <v>1686</v>
      </c>
      <c r="L20" s="3">
        <f t="shared" si="0"/>
        <v>40045</v>
      </c>
    </row>
    <row r="21" spans="1:12" x14ac:dyDescent="0.25">
      <c r="A21" s="10"/>
      <c r="B21" s="1" t="s">
        <v>27</v>
      </c>
      <c r="C21" s="2">
        <v>7533</v>
      </c>
      <c r="D21" s="2">
        <v>20436</v>
      </c>
      <c r="E21" s="2">
        <v>5524</v>
      </c>
      <c r="F21" s="2">
        <v>4953</v>
      </c>
      <c r="G21" s="2">
        <v>588</v>
      </c>
      <c r="H21" s="2">
        <v>141</v>
      </c>
      <c r="I21" s="2">
        <v>0</v>
      </c>
      <c r="J21" s="2">
        <v>424</v>
      </c>
      <c r="K21" s="2">
        <v>1315</v>
      </c>
      <c r="L21" s="3">
        <f t="shared" si="0"/>
        <v>40914</v>
      </c>
    </row>
    <row r="22" spans="1:12" x14ac:dyDescent="0.25">
      <c r="A22" s="10"/>
      <c r="B22" s="1" t="s">
        <v>28</v>
      </c>
      <c r="C22" s="2">
        <v>7088</v>
      </c>
      <c r="D22" s="2">
        <v>17895</v>
      </c>
      <c r="E22" s="2">
        <v>5025</v>
      </c>
      <c r="F22" s="2">
        <v>4537</v>
      </c>
      <c r="G22" s="2">
        <v>0</v>
      </c>
      <c r="H22" s="2">
        <v>348</v>
      </c>
      <c r="I22" s="2">
        <v>233</v>
      </c>
      <c r="J22" s="2">
        <v>794</v>
      </c>
      <c r="K22" s="2">
        <v>1243</v>
      </c>
      <c r="L22" s="3">
        <f t="shared" si="0"/>
        <v>37163</v>
      </c>
    </row>
    <row r="23" spans="1:12" x14ac:dyDescent="0.25">
      <c r="A23" s="10"/>
      <c r="B23" s="1" t="s">
        <v>29</v>
      </c>
      <c r="C23" s="2">
        <v>5612</v>
      </c>
      <c r="D23" s="2">
        <v>16612</v>
      </c>
      <c r="E23" s="2">
        <v>7991</v>
      </c>
      <c r="F23" s="2">
        <v>7147</v>
      </c>
      <c r="G23" s="2">
        <v>397</v>
      </c>
      <c r="H23" s="2">
        <v>257</v>
      </c>
      <c r="I23" s="2">
        <v>29</v>
      </c>
      <c r="J23" s="2">
        <v>900</v>
      </c>
      <c r="K23" s="2">
        <v>2242</v>
      </c>
      <c r="L23" s="3">
        <f t="shared" si="0"/>
        <v>41187</v>
      </c>
    </row>
    <row r="24" spans="1:12" x14ac:dyDescent="0.25">
      <c r="A24" s="10"/>
      <c r="B24" s="1" t="s">
        <v>30</v>
      </c>
      <c r="C24" s="2">
        <v>7281</v>
      </c>
      <c r="D24" s="2">
        <v>12375</v>
      </c>
      <c r="E24" s="2">
        <v>4569</v>
      </c>
      <c r="F24" s="2">
        <v>3235</v>
      </c>
      <c r="G24" s="2">
        <v>367</v>
      </c>
      <c r="H24" s="2">
        <v>370</v>
      </c>
      <c r="I24" s="2">
        <v>243</v>
      </c>
      <c r="J24" s="2">
        <v>415</v>
      </c>
      <c r="K24" s="2">
        <v>800</v>
      </c>
      <c r="L24" s="3">
        <f t="shared" si="0"/>
        <v>29655</v>
      </c>
    </row>
    <row r="25" spans="1:12" x14ac:dyDescent="0.25">
      <c r="A25" s="11" t="s">
        <v>22</v>
      </c>
      <c r="B25" s="1" t="s">
        <v>31</v>
      </c>
      <c r="C25" s="2">
        <v>16209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3">
        <f t="shared" si="0"/>
        <v>16209</v>
      </c>
    </row>
    <row r="26" spans="1:12" x14ac:dyDescent="0.25">
      <c r="A26" s="10" t="s">
        <v>39</v>
      </c>
      <c r="B26" s="1" t="s">
        <v>32</v>
      </c>
      <c r="C26" s="2">
        <v>18386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3">
        <f t="shared" si="0"/>
        <v>18386</v>
      </c>
    </row>
    <row r="27" spans="1:12" x14ac:dyDescent="0.25">
      <c r="A27" s="10"/>
      <c r="B27" s="1" t="s">
        <v>33</v>
      </c>
      <c r="C27" s="2">
        <v>26314</v>
      </c>
      <c r="D27" s="2">
        <v>45941</v>
      </c>
      <c r="E27" s="2">
        <v>3638</v>
      </c>
      <c r="F27" s="2">
        <v>17104</v>
      </c>
      <c r="G27" s="2">
        <v>1147</v>
      </c>
      <c r="H27" s="2">
        <v>263</v>
      </c>
      <c r="I27" s="2">
        <v>3228</v>
      </c>
      <c r="J27" s="2">
        <v>1007</v>
      </c>
      <c r="K27" s="2">
        <v>2979</v>
      </c>
      <c r="L27" s="3">
        <f t="shared" si="0"/>
        <v>101621</v>
      </c>
    </row>
    <row r="28" spans="1:12" x14ac:dyDescent="0.25">
      <c r="A28" s="10"/>
      <c r="B28" s="1" t="s">
        <v>34</v>
      </c>
      <c r="C28" s="2">
        <v>11206</v>
      </c>
      <c r="D28" s="2">
        <v>16697</v>
      </c>
      <c r="E28" s="2">
        <v>3764</v>
      </c>
      <c r="F28" s="2">
        <v>4388</v>
      </c>
      <c r="G28" s="2">
        <v>1035</v>
      </c>
      <c r="H28" s="2">
        <v>261</v>
      </c>
      <c r="I28" s="2">
        <v>3127</v>
      </c>
      <c r="J28" s="2">
        <v>320</v>
      </c>
      <c r="K28" s="2">
        <v>1300</v>
      </c>
      <c r="L28" s="3">
        <f t="shared" si="0"/>
        <v>42098</v>
      </c>
    </row>
    <row r="29" spans="1:12" x14ac:dyDescent="0.25">
      <c r="A29" s="10"/>
      <c r="B29" s="1" t="s">
        <v>35</v>
      </c>
      <c r="C29" s="2">
        <v>4967</v>
      </c>
      <c r="D29" s="2">
        <v>3507</v>
      </c>
      <c r="E29" s="2">
        <v>1621</v>
      </c>
      <c r="F29" s="2">
        <v>1130</v>
      </c>
      <c r="G29" s="2">
        <v>94</v>
      </c>
      <c r="H29" s="2">
        <v>56</v>
      </c>
      <c r="I29" s="2">
        <v>329</v>
      </c>
      <c r="J29" s="2">
        <v>129</v>
      </c>
      <c r="K29" s="2">
        <v>356</v>
      </c>
      <c r="L29" s="3">
        <f t="shared" si="0"/>
        <v>12189</v>
      </c>
    </row>
    <row r="30" spans="1:12" x14ac:dyDescent="0.25">
      <c r="A30" s="10"/>
      <c r="B30" s="1" t="s">
        <v>36</v>
      </c>
      <c r="C30" s="4">
        <v>11310</v>
      </c>
      <c r="D30" s="4">
        <v>22954</v>
      </c>
      <c r="E30" s="4">
        <v>9385</v>
      </c>
      <c r="F30" s="4">
        <v>8337</v>
      </c>
      <c r="G30" s="4">
        <v>1494</v>
      </c>
      <c r="H30" s="4">
        <v>103</v>
      </c>
      <c r="I30" s="4">
        <v>1001</v>
      </c>
      <c r="J30" s="4">
        <v>6328</v>
      </c>
      <c r="K30" s="4">
        <v>2302</v>
      </c>
      <c r="L30" s="5">
        <f t="shared" si="0"/>
        <v>63214</v>
      </c>
    </row>
    <row r="31" spans="1:12" x14ac:dyDescent="0.25">
      <c r="A31" s="10"/>
      <c r="B31" s="29" t="s">
        <v>37</v>
      </c>
      <c r="C31" s="27">
        <f t="shared" ref="C31:K31" si="1">SUM(C7:C30)</f>
        <v>357060</v>
      </c>
      <c r="D31" s="6">
        <f t="shared" si="1"/>
        <v>711481</v>
      </c>
      <c r="E31" s="6">
        <f t="shared" si="1"/>
        <v>144978</v>
      </c>
      <c r="F31" s="6">
        <f t="shared" si="1"/>
        <v>179292</v>
      </c>
      <c r="G31" s="6">
        <f t="shared" si="1"/>
        <v>14727</v>
      </c>
      <c r="H31" s="6">
        <f t="shared" si="1"/>
        <v>5035</v>
      </c>
      <c r="I31" s="6">
        <f t="shared" si="1"/>
        <v>39158</v>
      </c>
      <c r="J31" s="6">
        <f t="shared" si="1"/>
        <v>24919</v>
      </c>
      <c r="K31" s="6">
        <f t="shared" si="1"/>
        <v>52551</v>
      </c>
      <c r="L31" s="6">
        <f t="shared" si="0"/>
        <v>1529201</v>
      </c>
    </row>
    <row r="32" spans="1:12" x14ac:dyDescent="0.25">
      <c r="A32" s="10"/>
      <c r="B32" s="28" t="s">
        <v>43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</row>
    <row r="33" spans="1:12" x14ac:dyDescent="0.25">
      <c r="A33" s="10"/>
      <c r="B33" s="7" t="s">
        <v>38</v>
      </c>
      <c r="C33" s="12"/>
      <c r="D33" s="12"/>
      <c r="E33" s="12"/>
      <c r="F33" s="12"/>
      <c r="G33" s="12"/>
      <c r="H33" s="12"/>
      <c r="I33" s="12"/>
      <c r="J33" s="12"/>
      <c r="K33" s="12"/>
      <c r="L33" s="13"/>
    </row>
    <row r="34" spans="1:12" x14ac:dyDescent="0.25">
      <c r="B34" s="7" t="s">
        <v>41</v>
      </c>
      <c r="C34" s="12"/>
      <c r="D34" s="12"/>
      <c r="E34" s="12"/>
      <c r="F34" s="12"/>
      <c r="G34" s="12"/>
      <c r="H34" s="12"/>
      <c r="I34" s="12"/>
      <c r="J34" s="12"/>
      <c r="K34" s="12"/>
      <c r="L34" s="13"/>
    </row>
    <row r="35" spans="1:12" x14ac:dyDescent="0.25">
      <c r="B35" s="15" t="s">
        <v>40</v>
      </c>
    </row>
    <row r="36" spans="1:12" ht="15" customHeight="1" x14ac:dyDescent="0.25">
      <c r="B36" s="17" t="s">
        <v>44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</row>
    <row r="37" spans="1:12" x14ac:dyDescent="0.25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</row>
    <row r="38" spans="1:12" x14ac:dyDescent="0.25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spans="1:12" x14ac:dyDescent="0.25">
      <c r="B39" s="19" t="s">
        <v>46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</row>
  </sheetData>
  <mergeCells count="17">
    <mergeCell ref="B3:L3"/>
    <mergeCell ref="B4:L4"/>
    <mergeCell ref="B5:B6"/>
    <mergeCell ref="C5:C6"/>
    <mergeCell ref="D5:D6"/>
    <mergeCell ref="E5:E6"/>
    <mergeCell ref="F5:F6"/>
    <mergeCell ref="G5:G6"/>
    <mergeCell ref="H5:H6"/>
    <mergeCell ref="B2:L2"/>
    <mergeCell ref="B36:L38"/>
    <mergeCell ref="B39:L39"/>
    <mergeCell ref="I5:I6"/>
    <mergeCell ref="J5:J6"/>
    <mergeCell ref="K5:K6"/>
    <mergeCell ref="L5:L6"/>
    <mergeCell ref="B32:L3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1205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2026-09-22T15:41:25Z</dcterms:created>
  <dcterms:modified xsi:type="dcterms:W3CDTF">2026-10-06T21:02:31Z</dcterms:modified>
</cp:coreProperties>
</file>