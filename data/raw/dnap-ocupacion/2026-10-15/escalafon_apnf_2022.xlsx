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NCFP\PERSONAL\VARIOS\SALIDAS\Cargos SPNF\"/>
    </mc:Choice>
  </mc:AlternateContent>
  <xr:revisionPtr revIDLastSave="0" documentId="13_ncr:1_{B83EF341-1636-46E3-97B0-B08CF7C484E2}" xr6:coauthVersionLast="47" xr6:coauthVersionMax="47" xr10:uidLastSave="{00000000-0000-0000-0000-000000000000}"/>
  <bookViews>
    <workbookView xWindow="-120" yWindow="-120" windowWidth="29040" windowHeight="15840" xr2:uid="{F041AF8E-36FF-4A86-9078-146C3D82DA13}"/>
  </bookViews>
  <sheets>
    <sheet name="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0" i="1" l="1"/>
  <c r="L26" i="1"/>
  <c r="L7" i="1"/>
  <c r="C31" i="1"/>
  <c r="L18" i="1"/>
  <c r="L11" i="1"/>
  <c r="L9" i="1"/>
  <c r="L21" i="1"/>
  <c r="L14" i="1"/>
  <c r="L12" i="1"/>
  <c r="L24" i="1"/>
  <c r="G31" i="1"/>
  <c r="L17" i="1"/>
  <c r="L29" i="1"/>
  <c r="L16" i="1"/>
  <c r="L28" i="1"/>
  <c r="L19" i="1"/>
  <c r="D31" i="1"/>
  <c r="H31" i="1"/>
  <c r="L13" i="1"/>
  <c r="L25" i="1"/>
  <c r="L23" i="1"/>
  <c r="E31" i="1"/>
  <c r="F31" i="1"/>
  <c r="I31" i="1"/>
  <c r="L10" i="1"/>
  <c r="L22" i="1"/>
  <c r="L8" i="1"/>
  <c r="L20" i="1"/>
  <c r="J31" i="1"/>
  <c r="K31" i="1"/>
  <c r="L15" i="1"/>
  <c r="L27" i="1"/>
  <c r="L31" i="1" l="1"/>
</calcChain>
</file>

<file path=xl/sharedStrings.xml><?xml version="1.0" encoding="utf-8"?>
<sst xmlns="http://schemas.openxmlformats.org/spreadsheetml/2006/main" count="46" uniqueCount="45">
  <si>
    <t>PLANTA DE LA ADMINISTRACIÓN PÚBLICA PROVINCIAL NO FINANCIERA POR ESCALAFÓN - 24 JURISDICCIONES</t>
  </si>
  <si>
    <t>CARGOS OCUPADOS CON LIQUIDACIÓN DE HABERES</t>
  </si>
  <si>
    <t>A DICIEMBRE DE 2022</t>
  </si>
  <si>
    <t>Jurisdicción</t>
  </si>
  <si>
    <t>General</t>
  </si>
  <si>
    <t>Docente</t>
  </si>
  <si>
    <t>Salud</t>
  </si>
  <si>
    <t>Seguridad</t>
  </si>
  <si>
    <t>Vial</t>
  </si>
  <si>
    <t>Autoridades Superiores</t>
  </si>
  <si>
    <t>Resto</t>
  </si>
  <si>
    <t>Legislativo</t>
  </si>
  <si>
    <t>Justicia</t>
  </si>
  <si>
    <t>Total General</t>
  </si>
  <si>
    <t>Buenos Aires</t>
  </si>
  <si>
    <t>CABA</t>
  </si>
  <si>
    <t>Catamarca</t>
  </si>
  <si>
    <t>Chaco</t>
  </si>
  <si>
    <t>Chubut</t>
  </si>
  <si>
    <t>Córdoba</t>
  </si>
  <si>
    <t>Corrientes</t>
  </si>
  <si>
    <t>Entre Ríos</t>
  </si>
  <si>
    <t>Formosa</t>
  </si>
  <si>
    <t>Jujuy</t>
  </si>
  <si>
    <t>(*)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</si>
  <si>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</si>
  <si>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</si>
  <si>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</si>
  <si>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</si>
  <si>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</si>
  <si>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</si>
  <si>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</si>
  <si>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</si>
  <si>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</si>
  <si>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</si>
  <si>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</si>
  <si>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</si>
  <si>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</si>
  <si>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</si>
  <si>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Total</t>
  </si>
  <si>
    <t>(*): Sólo cargos presupuestados para el ejercicio según ley de presupuesto anual. La Pampa no incluye cargos del ISS.</t>
  </si>
  <si>
    <t>(**)</t>
  </si>
  <si>
    <t>Incluye contratos, becas y pasantías, y personal de programas.</t>
  </si>
  <si>
    <t>(**): Sólo cargos totales. Detalle no informado por la jurisdicción</t>
  </si>
  <si>
    <r>
      <rPr>
        <b/>
        <sz val="11"/>
        <rFont val="Roboto"/>
      </rPr>
      <t>Fuente</t>
    </r>
    <r>
      <rPr>
        <sz val="11"/>
        <rFont val="Roboto"/>
      </rPr>
      <t>: Subsecretaría de Coordinación Fiscal Provincial, en base a datos informados por las jurisdicciones.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</si>
</sst>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Roboto"/>
    </font>
    <font>
      <b/>
      <sz val="10"/>
      <name val="Roboto"/>
    </font>
    <font>
      <sz val="10"/>
      <name val="Roboto"/>
    </font>
    <font>
      <sz val="10"/>
      <color theme="1"/>
      <name val="Roboto"/>
    </font>
    <font>
      <sz val="11"/>
      <name val="Roboto"/>
    </font>
    <font>
      <b/>
      <sz val="11"/>
      <color theme="1"/>
      <name val="Roboto"/>
    </font>
    <font>
      <b/>
      <sz val="11"/>
      <name val="Roboto"/>
    </font>
    <font>
      <b/>
      <sz val="12"/>
      <color theme="1"/>
      <name val="Roboto"/>
    </font>
    <font>
      <b/>
      <sz val="10"/>
      <color theme="0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42C4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8">
    <xf numFmtId="0" fontId="0" fillId="0" borderId="0" xfId="0"/>
    <xf numFmtId="0" fontId="5" fillId="0" borderId="1" xfId="0" applyFont="1" applyBorder="1" applyAlignment="1">
      <alignment horizontal="left" vertical="center"/>
    </xf>
    <xf numFmtId="164" fontId="5" fillId="0" borderId="1" xfId="1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164" fontId="5" fillId="0" borderId="3" xfId="1" applyNumberFormat="1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164" fontId="5" fillId="0" borderId="2" xfId="1" applyNumberFormat="1" applyFont="1" applyBorder="1" applyAlignment="1">
      <alignment vertical="center"/>
    </xf>
    <xf numFmtId="164" fontId="4" fillId="0" borderId="2" xfId="0" applyNumberFormat="1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0" fontId="6" fillId="0" borderId="0" xfId="0" quotePrefix="1" applyFont="1" applyAlignment="1">
      <alignment vertical="center"/>
    </xf>
    <xf numFmtId="0" fontId="7" fillId="0" borderId="0" xfId="2" applyFont="1"/>
    <xf numFmtId="0" fontId="3" fillId="0" borderId="0" xfId="0" applyFont="1"/>
    <xf numFmtId="0" fontId="3" fillId="0" borderId="0" xfId="0" applyFont="1" applyAlignment="1">
      <alignment horizontal="right" vertical="center"/>
    </xf>
    <xf numFmtId="0" fontId="7" fillId="0" borderId="0" xfId="0" quotePrefix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2" applyFont="1"/>
    <xf numFmtId="0" fontId="5" fillId="0" borderId="0" xfId="2" applyFont="1"/>
    <xf numFmtId="164" fontId="5" fillId="2" borderId="3" xfId="1" applyNumberFormat="1" applyFont="1" applyFill="1" applyBorder="1" applyAlignment="1">
      <alignment vertical="center"/>
    </xf>
    <xf numFmtId="2" fontId="11" fillId="3" borderId="7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/>
    </xf>
    <xf numFmtId="2" fontId="11" fillId="3" borderId="5" xfId="0" applyNumberFormat="1" applyFont="1" applyFill="1" applyBorder="1" applyAlignment="1">
      <alignment horizontal="center" vertical="center" wrapText="1"/>
    </xf>
    <xf numFmtId="2" fontId="11" fillId="3" borderId="6" xfId="0" applyNumberFormat="1" applyFont="1" applyFill="1" applyBorder="1" applyAlignment="1">
      <alignment horizontal="center" vertical="center" wrapText="1"/>
    </xf>
    <xf numFmtId="0" fontId="7" fillId="0" borderId="0" xfId="2" applyFont="1" applyAlignment="1">
      <alignment horizontal="left"/>
    </xf>
  </cellXfs>
  <cellStyles count="3">
    <cellStyle name="Millares" xfId="1" builtinId="3"/>
    <cellStyle name="Normal" xfId="0" builtinId="0"/>
    <cellStyle name="Normal 2" xfId="2" xr:uid="{9C45505C-093D-45D8-805F-77944CCA89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485775</xdr:colOff>
      <xdr:row>3</xdr:row>
      <xdr:rowOff>37827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84119E-48F3-4DC8-9276-7A936C0A0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0100" cy="637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58605-66F9-45E4-B455-28DD998275C6}">
  <dimension ref="A2:M35"/>
  <sheetViews>
    <sheetView tabSelected="1" workbookViewId="0">
      <selection activeCell="B33" sqref="B33"/>
    </sheetView>
  </sheetViews>
  <sheetFormatPr baseColWidth="10" defaultRowHeight="15" x14ac:dyDescent="0.25"/>
  <cols>
    <col min="1" max="1" width="4.7109375" style="12" customWidth="1"/>
    <col min="2" max="2" width="24.28515625" style="12" customWidth="1"/>
    <col min="3" max="11" width="11.42578125" style="12"/>
    <col min="12" max="12" width="11.42578125" style="18"/>
    <col min="13" max="13" width="11.42578125" style="12"/>
    <col min="14" max="16384" width="11.42578125" style="13"/>
  </cols>
  <sheetData>
    <row r="2" spans="1:12" ht="15.75" x14ac:dyDescent="0.25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x14ac:dyDescent="0.25">
      <c r="A3" s="14"/>
      <c r="B3" s="23" t="s">
        <v>1</v>
      </c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x14ac:dyDescent="0.25">
      <c r="A4" s="14"/>
      <c r="B4" s="24" t="s">
        <v>2</v>
      </c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ht="15" customHeight="1" x14ac:dyDescent="0.25">
      <c r="A5" s="14"/>
      <c r="B5" s="25" t="s">
        <v>3</v>
      </c>
      <c r="C5" s="25" t="s">
        <v>4</v>
      </c>
      <c r="D5" s="25" t="s">
        <v>5</v>
      </c>
      <c r="E5" s="25" t="s">
        <v>6</v>
      </c>
      <c r="F5" s="25" t="s">
        <v>7</v>
      </c>
      <c r="G5" s="25" t="s">
        <v>8</v>
      </c>
      <c r="H5" s="25" t="s">
        <v>9</v>
      </c>
      <c r="I5" s="25" t="s">
        <v>10</v>
      </c>
      <c r="J5" s="25" t="s">
        <v>11</v>
      </c>
      <c r="K5" s="25" t="s">
        <v>12</v>
      </c>
      <c r="L5" s="25" t="s">
        <v>13</v>
      </c>
    </row>
    <row r="6" spans="1:12" x14ac:dyDescent="0.25">
      <c r="A6" s="14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spans="1:12" x14ac:dyDescent="0.25">
      <c r="A7" s="14"/>
      <c r="B7" s="1" t="s">
        <v>14</v>
      </c>
      <c r="C7" s="2">
        <v>114565</v>
      </c>
      <c r="D7" s="2">
        <v>326157</v>
      </c>
      <c r="E7" s="2">
        <v>57088</v>
      </c>
      <c r="F7" s="2">
        <v>93182</v>
      </c>
      <c r="G7" s="2">
        <v>959</v>
      </c>
      <c r="H7" s="2">
        <v>2373</v>
      </c>
      <c r="I7" s="2">
        <v>31763</v>
      </c>
      <c r="J7" s="2">
        <v>2391</v>
      </c>
      <c r="K7" s="2">
        <v>47595</v>
      </c>
      <c r="L7" s="3">
        <f t="shared" ref="L7:L31" si="0">+SUM(C7:K7)</f>
        <v>676073</v>
      </c>
    </row>
    <row r="8" spans="1:12" x14ac:dyDescent="0.25">
      <c r="A8" s="14"/>
      <c r="B8" s="4" t="s">
        <v>15</v>
      </c>
      <c r="C8" s="5">
        <v>33768</v>
      </c>
      <c r="D8" s="5">
        <v>86179</v>
      </c>
      <c r="E8" s="5">
        <v>36838</v>
      </c>
      <c r="F8" s="5">
        <v>32831</v>
      </c>
      <c r="G8" s="5">
        <v>0</v>
      </c>
      <c r="H8" s="5">
        <v>1773</v>
      </c>
      <c r="I8" s="5">
        <v>24638</v>
      </c>
      <c r="J8" s="5">
        <v>4607</v>
      </c>
      <c r="K8" s="5">
        <v>9381</v>
      </c>
      <c r="L8" s="6">
        <f t="shared" si="0"/>
        <v>230015</v>
      </c>
    </row>
    <row r="9" spans="1:12" x14ac:dyDescent="0.25">
      <c r="A9" s="15" t="s">
        <v>41</v>
      </c>
      <c r="B9" s="4" t="s">
        <v>16</v>
      </c>
      <c r="C9" s="5">
        <v>44187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6">
        <f t="shared" si="0"/>
        <v>44187</v>
      </c>
    </row>
    <row r="10" spans="1:12" x14ac:dyDescent="0.25">
      <c r="A10" s="14"/>
      <c r="B10" s="4" t="s">
        <v>17</v>
      </c>
      <c r="C10" s="5">
        <v>15372</v>
      </c>
      <c r="D10" s="5">
        <v>38808</v>
      </c>
      <c r="E10" s="5">
        <v>11690</v>
      </c>
      <c r="F10" s="5">
        <v>8568</v>
      </c>
      <c r="G10" s="5">
        <v>948</v>
      </c>
      <c r="H10" s="5">
        <v>127</v>
      </c>
      <c r="I10" s="5">
        <v>746</v>
      </c>
      <c r="J10" s="5">
        <v>2010</v>
      </c>
      <c r="K10" s="5">
        <v>4142</v>
      </c>
      <c r="L10" s="6">
        <f t="shared" si="0"/>
        <v>82411</v>
      </c>
    </row>
    <row r="11" spans="1:12" x14ac:dyDescent="0.25">
      <c r="A11" s="14"/>
      <c r="B11" s="4" t="s">
        <v>18</v>
      </c>
      <c r="C11" s="5">
        <v>3379</v>
      </c>
      <c r="D11" s="5">
        <v>19607</v>
      </c>
      <c r="E11" s="5">
        <v>6510</v>
      </c>
      <c r="F11" s="5">
        <v>5802</v>
      </c>
      <c r="G11" s="5">
        <v>571</v>
      </c>
      <c r="H11" s="5">
        <v>82</v>
      </c>
      <c r="I11" s="5">
        <v>7600</v>
      </c>
      <c r="J11" s="5">
        <v>366</v>
      </c>
      <c r="K11" s="5">
        <v>1957</v>
      </c>
      <c r="L11" s="6">
        <f t="shared" si="0"/>
        <v>45874</v>
      </c>
    </row>
    <row r="12" spans="1:12" x14ac:dyDescent="0.25">
      <c r="A12" s="14"/>
      <c r="B12" s="4" t="s">
        <v>19</v>
      </c>
      <c r="C12" s="5">
        <v>15098</v>
      </c>
      <c r="D12" s="5">
        <v>62404</v>
      </c>
      <c r="E12" s="5">
        <v>12742</v>
      </c>
      <c r="F12" s="5">
        <v>25763</v>
      </c>
      <c r="G12" s="5">
        <v>281</v>
      </c>
      <c r="H12" s="5">
        <v>211</v>
      </c>
      <c r="I12" s="5">
        <v>1102</v>
      </c>
      <c r="J12" s="5">
        <v>1563</v>
      </c>
      <c r="K12" s="5">
        <v>8658</v>
      </c>
      <c r="L12" s="6">
        <f t="shared" si="0"/>
        <v>127822</v>
      </c>
    </row>
    <row r="13" spans="1:12" x14ac:dyDescent="0.25">
      <c r="A13" s="14"/>
      <c r="B13" s="4" t="s">
        <v>20</v>
      </c>
      <c r="C13" s="5">
        <v>6381</v>
      </c>
      <c r="D13" s="5">
        <v>31899</v>
      </c>
      <c r="E13" s="5">
        <v>7548</v>
      </c>
      <c r="F13" s="5">
        <v>10502</v>
      </c>
      <c r="G13" s="5">
        <v>335</v>
      </c>
      <c r="H13" s="5">
        <v>571</v>
      </c>
      <c r="I13" s="5">
        <v>77</v>
      </c>
      <c r="J13" s="5">
        <v>2919</v>
      </c>
      <c r="K13" s="5">
        <v>2826</v>
      </c>
      <c r="L13" s="6">
        <f t="shared" si="0"/>
        <v>63058</v>
      </c>
    </row>
    <row r="14" spans="1:12" x14ac:dyDescent="0.25">
      <c r="A14" s="14"/>
      <c r="B14" s="4" t="s">
        <v>21</v>
      </c>
      <c r="C14" s="5">
        <v>24326</v>
      </c>
      <c r="D14" s="5">
        <v>34180</v>
      </c>
      <c r="E14" s="5">
        <v>10399</v>
      </c>
      <c r="F14" s="5">
        <v>11796</v>
      </c>
      <c r="G14" s="5">
        <v>1696</v>
      </c>
      <c r="H14" s="5">
        <v>687</v>
      </c>
      <c r="I14" s="5">
        <v>378</v>
      </c>
      <c r="J14" s="5">
        <v>542</v>
      </c>
      <c r="K14" s="5">
        <v>2700</v>
      </c>
      <c r="L14" s="6">
        <f t="shared" si="0"/>
        <v>86704</v>
      </c>
    </row>
    <row r="15" spans="1:12" x14ac:dyDescent="0.25">
      <c r="A15" s="14"/>
      <c r="B15" s="4" t="s">
        <v>22</v>
      </c>
      <c r="C15" s="5">
        <v>9342</v>
      </c>
      <c r="D15" s="5">
        <v>15097</v>
      </c>
      <c r="E15" s="5">
        <v>7202</v>
      </c>
      <c r="F15" s="5">
        <v>6992</v>
      </c>
      <c r="G15" s="5">
        <v>345</v>
      </c>
      <c r="H15" s="5">
        <v>180</v>
      </c>
      <c r="I15" s="5">
        <v>493</v>
      </c>
      <c r="J15" s="5">
        <v>1434</v>
      </c>
      <c r="K15" s="5">
        <v>1941</v>
      </c>
      <c r="L15" s="6">
        <f t="shared" si="0"/>
        <v>43026</v>
      </c>
    </row>
    <row r="16" spans="1:12" x14ac:dyDescent="0.25">
      <c r="A16" s="14"/>
      <c r="B16" s="4" t="s">
        <v>23</v>
      </c>
      <c r="C16" s="5">
        <v>14123</v>
      </c>
      <c r="D16" s="5">
        <v>25294</v>
      </c>
      <c r="E16" s="5">
        <v>12341</v>
      </c>
      <c r="F16" s="5">
        <v>9255</v>
      </c>
      <c r="G16" s="5">
        <v>463</v>
      </c>
      <c r="H16" s="5">
        <v>561</v>
      </c>
      <c r="I16" s="5">
        <v>1075</v>
      </c>
      <c r="J16" s="5">
        <v>1055</v>
      </c>
      <c r="K16" s="5">
        <v>2165</v>
      </c>
      <c r="L16" s="6">
        <f t="shared" si="0"/>
        <v>66332</v>
      </c>
    </row>
    <row r="17" spans="1:12" x14ac:dyDescent="0.25">
      <c r="A17" s="15" t="s">
        <v>24</v>
      </c>
      <c r="B17" s="4" t="s">
        <v>25</v>
      </c>
      <c r="C17" s="5">
        <v>6677</v>
      </c>
      <c r="D17" s="5">
        <v>11091</v>
      </c>
      <c r="E17" s="5">
        <v>4372</v>
      </c>
      <c r="F17" s="5">
        <v>2907</v>
      </c>
      <c r="G17" s="5">
        <v>546</v>
      </c>
      <c r="H17" s="5">
        <v>366</v>
      </c>
      <c r="I17" s="5">
        <v>331</v>
      </c>
      <c r="J17" s="5">
        <v>440</v>
      </c>
      <c r="K17" s="5">
        <v>1384</v>
      </c>
      <c r="L17" s="6">
        <f t="shared" si="0"/>
        <v>28114</v>
      </c>
    </row>
    <row r="18" spans="1:12" x14ac:dyDescent="0.25">
      <c r="A18" s="14"/>
      <c r="B18" s="4" t="s">
        <v>26</v>
      </c>
      <c r="C18" s="5">
        <v>10915</v>
      </c>
      <c r="D18" s="5">
        <v>16778</v>
      </c>
      <c r="E18" s="5">
        <v>7233</v>
      </c>
      <c r="F18" s="5">
        <v>4314</v>
      </c>
      <c r="G18" s="5">
        <v>603</v>
      </c>
      <c r="H18" s="5">
        <v>2114</v>
      </c>
      <c r="I18" s="5">
        <v>735</v>
      </c>
      <c r="J18" s="5">
        <v>1121</v>
      </c>
      <c r="K18" s="5">
        <v>1569</v>
      </c>
      <c r="L18" s="6">
        <f t="shared" si="0"/>
        <v>45382</v>
      </c>
    </row>
    <row r="19" spans="1:12" x14ac:dyDescent="0.25">
      <c r="A19" s="14"/>
      <c r="B19" s="4" t="s">
        <v>27</v>
      </c>
      <c r="C19" s="5">
        <v>14666.858333333337</v>
      </c>
      <c r="D19" s="5">
        <v>43666.333333333307</v>
      </c>
      <c r="E19" s="5">
        <v>15740.883333333337</v>
      </c>
      <c r="F19" s="5">
        <v>11927.233333333301</v>
      </c>
      <c r="G19" s="5">
        <v>755.4</v>
      </c>
      <c r="H19" s="5">
        <v>318.26666666666665</v>
      </c>
      <c r="I19" s="5">
        <v>762.85833333333335</v>
      </c>
      <c r="J19" s="5">
        <v>1121</v>
      </c>
      <c r="K19" s="5">
        <v>5122.2000000000007</v>
      </c>
      <c r="L19" s="6">
        <f t="shared" si="0"/>
        <v>94081.033333333282</v>
      </c>
    </row>
    <row r="20" spans="1:12" x14ac:dyDescent="0.25">
      <c r="A20" s="14"/>
      <c r="B20" s="4" t="s">
        <v>28</v>
      </c>
      <c r="C20" s="5">
        <v>8685</v>
      </c>
      <c r="D20" s="5">
        <v>32377</v>
      </c>
      <c r="E20" s="5">
        <v>7460</v>
      </c>
      <c r="F20" s="5">
        <v>13202</v>
      </c>
      <c r="G20" s="5">
        <v>616</v>
      </c>
      <c r="H20" s="5">
        <v>185</v>
      </c>
      <c r="I20" s="5">
        <v>0</v>
      </c>
      <c r="J20" s="5">
        <v>1166</v>
      </c>
      <c r="K20" s="5">
        <v>4519</v>
      </c>
      <c r="L20" s="6">
        <f t="shared" si="0"/>
        <v>68210</v>
      </c>
    </row>
    <row r="21" spans="1:12" x14ac:dyDescent="0.25">
      <c r="A21" s="14"/>
      <c r="B21" s="4" t="s">
        <v>29</v>
      </c>
      <c r="C21" s="5">
        <v>3824</v>
      </c>
      <c r="D21" s="5">
        <v>29935</v>
      </c>
      <c r="E21" s="5">
        <v>11336</v>
      </c>
      <c r="F21" s="5">
        <v>7639</v>
      </c>
      <c r="G21" s="5">
        <v>610</v>
      </c>
      <c r="H21" s="5">
        <v>1867</v>
      </c>
      <c r="I21" s="5">
        <v>17050</v>
      </c>
      <c r="J21" s="5">
        <v>798</v>
      </c>
      <c r="K21" s="5">
        <v>2340</v>
      </c>
      <c r="L21" s="6">
        <f t="shared" si="0"/>
        <v>75399</v>
      </c>
    </row>
    <row r="22" spans="1:12" x14ac:dyDescent="0.25">
      <c r="A22" s="14"/>
      <c r="B22" s="4" t="s">
        <v>30</v>
      </c>
      <c r="C22" s="5">
        <v>12999</v>
      </c>
      <c r="D22" s="5">
        <v>28765</v>
      </c>
      <c r="E22" s="5">
        <v>7438</v>
      </c>
      <c r="F22" s="5">
        <v>8292</v>
      </c>
      <c r="G22" s="5">
        <v>403</v>
      </c>
      <c r="H22" s="5">
        <v>340</v>
      </c>
      <c r="I22" s="5">
        <v>382</v>
      </c>
      <c r="J22" s="5">
        <v>805</v>
      </c>
      <c r="K22" s="5">
        <v>2542</v>
      </c>
      <c r="L22" s="6">
        <f t="shared" si="0"/>
        <v>61966</v>
      </c>
    </row>
    <row r="23" spans="1:12" x14ac:dyDescent="0.25">
      <c r="A23" s="14"/>
      <c r="B23" s="4" t="s">
        <v>31</v>
      </c>
      <c r="C23" s="5">
        <v>10379</v>
      </c>
      <c r="D23" s="5">
        <v>29648</v>
      </c>
      <c r="E23" s="5">
        <v>12166</v>
      </c>
      <c r="F23" s="5">
        <v>14510</v>
      </c>
      <c r="G23" s="5">
        <v>1587</v>
      </c>
      <c r="H23" s="5">
        <v>756</v>
      </c>
      <c r="I23" s="5">
        <v>0</v>
      </c>
      <c r="J23" s="5">
        <v>1238</v>
      </c>
      <c r="K23" s="5">
        <v>4301</v>
      </c>
      <c r="L23" s="6">
        <f t="shared" si="0"/>
        <v>74585</v>
      </c>
    </row>
    <row r="24" spans="1:12" x14ac:dyDescent="0.25">
      <c r="A24" s="14"/>
      <c r="B24" s="4" t="s">
        <v>32</v>
      </c>
      <c r="C24" s="5">
        <v>10242</v>
      </c>
      <c r="D24" s="5">
        <v>20835</v>
      </c>
      <c r="E24" s="5">
        <v>9446</v>
      </c>
      <c r="F24" s="5">
        <v>7376</v>
      </c>
      <c r="G24" s="5">
        <v>300</v>
      </c>
      <c r="H24" s="5">
        <v>598</v>
      </c>
      <c r="I24" s="5">
        <v>362</v>
      </c>
      <c r="J24" s="5">
        <v>288</v>
      </c>
      <c r="K24" s="5">
        <v>1953</v>
      </c>
      <c r="L24" s="6">
        <f t="shared" si="0"/>
        <v>51400</v>
      </c>
    </row>
    <row r="25" spans="1:12" x14ac:dyDescent="0.25">
      <c r="A25" s="15" t="s">
        <v>24</v>
      </c>
      <c r="B25" s="4" t="s">
        <v>33</v>
      </c>
      <c r="C25" s="5">
        <v>11007</v>
      </c>
      <c r="D25" s="5">
        <v>13176</v>
      </c>
      <c r="E25" s="5">
        <v>4864</v>
      </c>
      <c r="F25" s="5">
        <v>5251</v>
      </c>
      <c r="G25" s="5">
        <v>37</v>
      </c>
      <c r="H25" s="5">
        <v>1061</v>
      </c>
      <c r="I25" s="5">
        <v>35</v>
      </c>
      <c r="J25" s="5">
        <v>204</v>
      </c>
      <c r="K25" s="5">
        <v>1408</v>
      </c>
      <c r="L25" s="6">
        <f t="shared" si="0"/>
        <v>37043</v>
      </c>
    </row>
    <row r="26" spans="1:12" x14ac:dyDescent="0.25">
      <c r="A26" s="14"/>
      <c r="B26" s="4" t="s">
        <v>34</v>
      </c>
      <c r="C26" s="5">
        <v>7941</v>
      </c>
      <c r="D26" s="5">
        <v>14516</v>
      </c>
      <c r="E26" s="5">
        <v>4084</v>
      </c>
      <c r="F26" s="5">
        <v>6388</v>
      </c>
      <c r="G26" s="5">
        <v>818</v>
      </c>
      <c r="H26" s="5">
        <v>1029</v>
      </c>
      <c r="I26" s="5">
        <v>866</v>
      </c>
      <c r="J26" s="5">
        <v>759</v>
      </c>
      <c r="K26" s="5">
        <v>1464</v>
      </c>
      <c r="L26" s="6">
        <f t="shared" si="0"/>
        <v>37865</v>
      </c>
    </row>
    <row r="27" spans="1:12" x14ac:dyDescent="0.25">
      <c r="A27" s="14"/>
      <c r="B27" s="4" t="s">
        <v>35</v>
      </c>
      <c r="C27" s="5">
        <v>117891</v>
      </c>
      <c r="D27" s="5">
        <v>61904</v>
      </c>
      <c r="E27" s="5">
        <v>9948</v>
      </c>
      <c r="F27" s="5">
        <v>26071</v>
      </c>
      <c r="G27" s="5">
        <v>1075</v>
      </c>
      <c r="H27" s="5">
        <v>575</v>
      </c>
      <c r="I27" s="5">
        <v>1635</v>
      </c>
      <c r="J27" s="5">
        <v>1899</v>
      </c>
      <c r="K27" s="5">
        <v>4763</v>
      </c>
      <c r="L27" s="6">
        <f t="shared" si="0"/>
        <v>225761</v>
      </c>
    </row>
    <row r="28" spans="1:12" x14ac:dyDescent="0.25">
      <c r="A28" s="14"/>
      <c r="B28" s="4" t="s">
        <v>36</v>
      </c>
      <c r="C28" s="5">
        <v>10983</v>
      </c>
      <c r="D28" s="5">
        <v>24572</v>
      </c>
      <c r="E28" s="5">
        <v>6475</v>
      </c>
      <c r="F28" s="5">
        <v>9259</v>
      </c>
      <c r="G28" s="5">
        <v>823</v>
      </c>
      <c r="H28" s="5">
        <v>544</v>
      </c>
      <c r="I28" s="5">
        <v>3002</v>
      </c>
      <c r="J28" s="5">
        <v>321</v>
      </c>
      <c r="K28" s="5">
        <v>2864</v>
      </c>
      <c r="L28" s="6">
        <f t="shared" si="0"/>
        <v>58843</v>
      </c>
    </row>
    <row r="29" spans="1:12" x14ac:dyDescent="0.25">
      <c r="A29" s="14"/>
      <c r="B29" s="4" t="s">
        <v>37</v>
      </c>
      <c r="C29" s="5">
        <v>4889</v>
      </c>
      <c r="D29" s="5">
        <v>11498</v>
      </c>
      <c r="E29" s="5">
        <v>2848</v>
      </c>
      <c r="F29" s="5">
        <v>2603</v>
      </c>
      <c r="G29" s="5">
        <v>152</v>
      </c>
      <c r="H29" s="5">
        <v>696</v>
      </c>
      <c r="I29" s="5">
        <v>1063</v>
      </c>
      <c r="J29" s="5">
        <v>409</v>
      </c>
      <c r="K29" s="5">
        <v>813</v>
      </c>
      <c r="L29" s="6">
        <f t="shared" si="0"/>
        <v>24971</v>
      </c>
    </row>
    <row r="30" spans="1:12" x14ac:dyDescent="0.25">
      <c r="A30" s="14"/>
      <c r="B30" s="7" t="s">
        <v>38</v>
      </c>
      <c r="C30" s="8">
        <v>14585</v>
      </c>
      <c r="D30" s="8">
        <v>32481</v>
      </c>
      <c r="E30" s="8">
        <v>24571</v>
      </c>
      <c r="F30" s="8">
        <v>12585</v>
      </c>
      <c r="G30" s="8">
        <v>1293</v>
      </c>
      <c r="H30" s="8">
        <v>217</v>
      </c>
      <c r="I30" s="8">
        <v>1588</v>
      </c>
      <c r="J30" s="8">
        <v>8628</v>
      </c>
      <c r="K30" s="8">
        <v>5638</v>
      </c>
      <c r="L30" s="9">
        <f t="shared" si="0"/>
        <v>101586</v>
      </c>
    </row>
    <row r="31" spans="1:12" x14ac:dyDescent="0.25">
      <c r="A31" s="14"/>
      <c r="B31" s="21" t="s">
        <v>39</v>
      </c>
      <c r="C31" s="10">
        <f t="shared" ref="C31:K31" si="1">SUM(C7:C30)</f>
        <v>526224.8583333334</v>
      </c>
      <c r="D31" s="10">
        <f t="shared" si="1"/>
        <v>1010867.3333333333</v>
      </c>
      <c r="E31" s="10">
        <f t="shared" si="1"/>
        <v>290339.8833333333</v>
      </c>
      <c r="F31" s="10">
        <f t="shared" si="1"/>
        <v>337015.23333333328</v>
      </c>
      <c r="G31" s="10">
        <f t="shared" si="1"/>
        <v>15216.4</v>
      </c>
      <c r="H31" s="10">
        <f t="shared" si="1"/>
        <v>17231.266666666666</v>
      </c>
      <c r="I31" s="10">
        <f t="shared" si="1"/>
        <v>95683.858333333337</v>
      </c>
      <c r="J31" s="10">
        <f t="shared" si="1"/>
        <v>36084</v>
      </c>
      <c r="K31" s="10">
        <f t="shared" si="1"/>
        <v>122045.2</v>
      </c>
      <c r="L31" s="10">
        <f t="shared" si="0"/>
        <v>2450708.0333333332</v>
      </c>
    </row>
    <row r="32" spans="1:12" x14ac:dyDescent="0.25">
      <c r="A32" s="14"/>
      <c r="B32" s="11" t="s">
        <v>40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x14ac:dyDescent="0.25">
      <c r="A33" s="14"/>
      <c r="B33" s="11" t="s">
        <v>43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x14ac:dyDescent="0.25">
      <c r="B34" s="19" t="s">
        <v>42</v>
      </c>
    </row>
    <row r="35" spans="1:12" x14ac:dyDescent="0.25">
      <c r="B35" s="27" t="s">
        <v>44</v>
      </c>
      <c r="C35" s="27"/>
      <c r="D35" s="27"/>
      <c r="E35" s="27"/>
      <c r="F35" s="27"/>
      <c r="G35" s="27"/>
      <c r="H35" s="27"/>
      <c r="I35" s="27"/>
      <c r="J35" s="27"/>
      <c r="K35" s="27"/>
      <c r="L35" s="27"/>
    </row>
  </sheetData>
  <mergeCells count="15">
    <mergeCell ref="B35:L35"/>
    <mergeCell ref="I5:I6"/>
    <mergeCell ref="J5:J6"/>
    <mergeCell ref="K5:K6"/>
    <mergeCell ref="L5:L6"/>
    <mergeCell ref="A2:L2"/>
    <mergeCell ref="B3:L3"/>
    <mergeCell ref="B4:L4"/>
    <mergeCell ref="B5:B6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2022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ftomas@provincias.mecon.ar</dc:creator>
  <cp:lastModifiedBy>ftomas@provincias.mecon.ar</cp:lastModifiedBy>
  <dcterms:created xsi:type="dcterms:W3CDTF">2026-09-22T15:42:06Z</dcterms:created>
  <dcterms:modified xsi:type="dcterms:W3CDTF">2026-10-14T17:41:58Z</dcterms:modified>
</cp:coreProperties>
</file>