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E8A54671-C56E-4E52-A5E7-B8ADCEF5B00D}" xr6:coauthVersionLast="47" xr6:coauthVersionMax="47" xr10:uidLastSave="{00000000-0000-0000-0000-000000000000}"/>
  <bookViews>
    <workbookView xWindow="-120" yWindow="-120" windowWidth="29040" windowHeight="15840" xr2:uid="{104381B2-7D94-4E54-822E-2C2F00B1E340}"/>
  </bookViews>
  <sheets>
    <sheet name="12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28" i="1"/>
  <c r="L9" i="1"/>
  <c r="L21" i="1"/>
  <c r="L14" i="1"/>
  <c r="L26" i="1"/>
  <c r="L27" i="1"/>
  <c r="L18" i="1"/>
  <c r="L30" i="1"/>
  <c r="L19" i="1"/>
  <c r="L12" i="1"/>
  <c r="K31" i="1"/>
  <c r="L8" i="1"/>
  <c r="L20" i="1"/>
  <c r="L25" i="1"/>
  <c r="C31" i="1"/>
  <c r="L7" i="1"/>
  <c r="L15" i="1"/>
  <c r="L23" i="1"/>
  <c r="L16" i="1"/>
  <c r="D31" i="1"/>
  <c r="E31" i="1"/>
  <c r="L24" i="1"/>
  <c r="F31" i="1"/>
  <c r="G31" i="1"/>
  <c r="L17" i="1"/>
  <c r="L29" i="1"/>
  <c r="H31" i="1"/>
  <c r="L11" i="1"/>
  <c r="I31" i="1"/>
  <c r="L10" i="1"/>
  <c r="L22" i="1"/>
  <c r="J31" i="1"/>
  <c r="L31" i="1" l="1"/>
</calcChain>
</file>

<file path=xl/sharedStrings.xml><?xml version="1.0" encoding="utf-8"?>
<sst xmlns="http://schemas.openxmlformats.org/spreadsheetml/2006/main" count="48" uniqueCount="47">
  <si>
    <t>PLANTA DE LA ADMINISTRACIÓN PÚBLICA PROVINCIAL NO FINANCIERA POR ESCALAFÓN - 24 JURISDICCIONES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</si>
  <si>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</si>
  <si>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</si>
  <si>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</si>
  <si>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</si>
  <si>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</si>
  <si>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</si>
  <si>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</si>
  <si>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</si>
  <si>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</si>
  <si>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</si>
  <si>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</si>
  <si>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</si>
  <si>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</si>
  <si>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</si>
  <si>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</si>
  <si>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</si>
  <si>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</si>
  <si>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</si>
  <si>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</si>
  <si>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</si>
  <si>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</si>
  <si>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</si>
  <si>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</si>
  <si>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</si>
  <si>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</si>
  <si>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</si>
  <si>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</si>
  <si>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</si>
  <si>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</si>
  <si>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</si>
  <si>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</si>
  <si>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</si>
  <si>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</si>
  <si>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</si>
  <si>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</si>
  <si>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</si>
  <si>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</si>
  <si>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</si>
  <si>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(**)</t>
  </si>
  <si>
    <t>Incluye contratos, becas y pasantías, y personal de programas.</t>
  </si>
  <si>
    <t>(**): Sólo cargos totales. Detalle no informado por la jurisdicción</t>
  </si>
  <si>
    <t>(1): Cargos Ocupados con y sin remuneración, informado por las jurisdicciones sin discriminar.</t>
  </si>
  <si>
    <t>A DICIEMBRE DE 2009</t>
  </si>
  <si>
    <r>
      <t>Nota</t>
    </r>
    <r>
      <rPr>
        <sz val="10"/>
        <rFont val="Roboto"/>
      </rPr>
      <t xml:space="preserve">: La información suministrada hasta 2016 cuantifica al Personal Ocupado en la Administración Pública No Financiera, según especificación del Anexo III, Art. 7° (Reglamentado por Decreto 1731/2004). A partir de los cambios metodológicos informados por el Consejo Federal de Responsabilidad Fiscal, de aplicación a partir de Diciembre 2017, la misma no es comparable con la información suministrada por las jurisdicciones a partir de 2017 y ejercicios posteriores. </t>
    </r>
  </si>
  <si>
    <r>
      <t>CARGOS OCUPADOS</t>
    </r>
    <r>
      <rPr>
        <vertAlign val="superscript"/>
        <sz val="11"/>
        <color theme="1"/>
        <rFont val="Roboto"/>
      </rPr>
      <t>(1)</t>
    </r>
    <r>
      <rPr>
        <sz val="11"/>
        <color theme="1"/>
        <rFont val="Roboto"/>
      </rPr>
      <t xml:space="preserve"> POR JURISDICCIÓN  - 24 JURISDICCIONES</t>
    </r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</si>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</sst>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3"/>
      <color theme="1"/>
      <name val="Roboto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2"/>
      <color theme="1"/>
      <name val="Roboto"/>
    </font>
    <font>
      <vertAlign val="superscript"/>
      <sz val="11"/>
      <color theme="1"/>
      <name val="Roboto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6" fillId="0" borderId="1" xfId="0" applyFont="1" applyBorder="1" applyAlignment="1">
      <alignment horizontal="left" vertical="center"/>
    </xf>
    <xf numFmtId="164" fontId="6" fillId="0" borderId="1" xfId="1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164" fontId="6" fillId="0" borderId="3" xfId="1" applyNumberFormat="1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4" fontId="6" fillId="0" borderId="2" xfId="1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8" fillId="0" borderId="0" xfId="0" quotePrefix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2" applyFont="1"/>
    <xf numFmtId="0" fontId="6" fillId="0" borderId="0" xfId="2" applyFont="1"/>
    <xf numFmtId="164" fontId="6" fillId="2" borderId="3" xfId="1" applyNumberFormat="1" applyFont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/>
    </xf>
    <xf numFmtId="2" fontId="6" fillId="0" borderId="5" xfId="0" quotePrefix="1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2" fontId="13" fillId="3" borderId="7" xfId="0" applyNumberFormat="1" applyFont="1" applyFill="1" applyBorder="1" applyAlignment="1">
      <alignment horizontal="left" vertical="center" wrapText="1"/>
    </xf>
    <xf numFmtId="2" fontId="13" fillId="3" borderId="8" xfId="0" applyNumberFormat="1" applyFont="1" applyFill="1" applyBorder="1" applyAlignment="1">
      <alignment horizontal="center" vertical="center" wrapText="1"/>
    </xf>
    <xf numFmtId="2" fontId="13" fillId="3" borderId="9" xfId="0" applyNumberFormat="1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Normal 2" xfId="2" xr:uid="{6CB7E954-1178-4C6E-85E9-F8776CA2F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9252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6B3DF6-46F0-4773-8030-9F22BA551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1063-1A3A-4C4C-BB67-B84459A5D0EE}">
  <dimension ref="A2:M39"/>
  <sheetViews>
    <sheetView tabSelected="1" workbookViewId="0">
      <selection activeCell="N7" sqref="N7"/>
    </sheetView>
  </sheetViews>
  <sheetFormatPr baseColWidth="10" defaultRowHeight="15" x14ac:dyDescent="0.25"/>
  <cols>
    <col min="1" max="1" width="4.7109375" style="12" customWidth="1"/>
    <col min="2" max="2" width="20.42578125" style="12" customWidth="1"/>
    <col min="3" max="11" width="11.42578125" style="12"/>
    <col min="12" max="12" width="11.42578125" style="18"/>
    <col min="13" max="13" width="11.42578125" style="12"/>
    <col min="14" max="16384" width="11.42578125" style="13"/>
  </cols>
  <sheetData>
    <row r="2" spans="1:12" ht="16.5" x14ac:dyDescent="0.25">
      <c r="A2" s="26"/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5.75" customHeight="1" x14ac:dyDescent="0.25">
      <c r="A3" s="14"/>
      <c r="B3" s="28" t="s">
        <v>45</v>
      </c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x14ac:dyDescent="0.25">
      <c r="A4" s="14"/>
      <c r="B4" s="29" t="s">
        <v>43</v>
      </c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ht="15" customHeight="1" x14ac:dyDescent="0.25">
      <c r="A5" s="14"/>
      <c r="B5" s="31" t="s">
        <v>1</v>
      </c>
      <c r="C5" s="31" t="s">
        <v>2</v>
      </c>
      <c r="D5" s="31" t="s">
        <v>3</v>
      </c>
      <c r="E5" s="31" t="s">
        <v>4</v>
      </c>
      <c r="F5" s="31" t="s">
        <v>5</v>
      </c>
      <c r="G5" s="31" t="s">
        <v>6</v>
      </c>
      <c r="H5" s="31" t="s">
        <v>7</v>
      </c>
      <c r="I5" s="31" t="s">
        <v>8</v>
      </c>
      <c r="J5" s="31" t="s">
        <v>9</v>
      </c>
      <c r="K5" s="31" t="s">
        <v>10</v>
      </c>
      <c r="L5" s="31" t="s">
        <v>11</v>
      </c>
    </row>
    <row r="6" spans="1:12" x14ac:dyDescent="0.25">
      <c r="A6" s="14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x14ac:dyDescent="0.25">
      <c r="A7" s="14"/>
      <c r="B7" s="1" t="s">
        <v>12</v>
      </c>
      <c r="C7" s="2">
        <v>118479</v>
      </c>
      <c r="D7" s="2">
        <v>344927</v>
      </c>
      <c r="E7" s="2">
        <v>11815</v>
      </c>
      <c r="F7" s="2">
        <v>73923</v>
      </c>
      <c r="G7" s="2">
        <v>1367</v>
      </c>
      <c r="H7" s="2">
        <v>152</v>
      </c>
      <c r="I7" s="2">
        <v>8999</v>
      </c>
      <c r="J7" s="2">
        <v>4012</v>
      </c>
      <c r="K7" s="2">
        <v>20415</v>
      </c>
      <c r="L7" s="3">
        <f t="shared" ref="L7:L31" si="0">+SUM(C7:K7)</f>
        <v>584089</v>
      </c>
    </row>
    <row r="8" spans="1:12" x14ac:dyDescent="0.25">
      <c r="A8" s="21" t="s">
        <v>39</v>
      </c>
      <c r="B8" s="4" t="s">
        <v>13</v>
      </c>
      <c r="C8" s="5">
        <v>139832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6">
        <f t="shared" si="0"/>
        <v>139832</v>
      </c>
    </row>
    <row r="9" spans="1:12" x14ac:dyDescent="0.25">
      <c r="A9" s="14"/>
      <c r="B9" s="4" t="s">
        <v>14</v>
      </c>
      <c r="C9" s="5">
        <v>7942</v>
      </c>
      <c r="D9" s="5">
        <v>14123</v>
      </c>
      <c r="E9" s="5">
        <v>4871</v>
      </c>
      <c r="F9" s="5">
        <v>3147</v>
      </c>
      <c r="G9" s="5">
        <v>1094</v>
      </c>
      <c r="H9" s="5">
        <v>580</v>
      </c>
      <c r="I9" s="5">
        <v>2867</v>
      </c>
      <c r="J9" s="5">
        <v>1141</v>
      </c>
      <c r="K9" s="5">
        <v>1386</v>
      </c>
      <c r="L9" s="6">
        <f t="shared" si="0"/>
        <v>37151</v>
      </c>
    </row>
    <row r="10" spans="1:12" x14ac:dyDescent="0.25">
      <c r="A10" s="14"/>
      <c r="B10" s="4" t="s">
        <v>15</v>
      </c>
      <c r="C10" s="5">
        <v>7923</v>
      </c>
      <c r="D10" s="5">
        <v>31483</v>
      </c>
      <c r="E10" s="5">
        <v>5202</v>
      </c>
      <c r="F10" s="5">
        <v>5641</v>
      </c>
      <c r="G10" s="5">
        <v>618</v>
      </c>
      <c r="H10" s="5">
        <v>130</v>
      </c>
      <c r="I10" s="5">
        <v>453</v>
      </c>
      <c r="J10" s="5">
        <v>1036</v>
      </c>
      <c r="K10" s="5">
        <v>2938</v>
      </c>
      <c r="L10" s="6">
        <f t="shared" si="0"/>
        <v>55424</v>
      </c>
    </row>
    <row r="11" spans="1:12" x14ac:dyDescent="0.25">
      <c r="A11" s="14"/>
      <c r="B11" s="4" t="s">
        <v>16</v>
      </c>
      <c r="C11" s="5">
        <v>9323</v>
      </c>
      <c r="D11" s="5">
        <v>14744</v>
      </c>
      <c r="E11" s="5">
        <v>3128</v>
      </c>
      <c r="F11" s="5">
        <v>3884</v>
      </c>
      <c r="G11" s="5">
        <v>757</v>
      </c>
      <c r="H11" s="5">
        <v>257</v>
      </c>
      <c r="I11" s="5">
        <v>1166</v>
      </c>
      <c r="J11" s="5">
        <v>205</v>
      </c>
      <c r="K11" s="5">
        <v>1405</v>
      </c>
      <c r="L11" s="6">
        <f t="shared" si="0"/>
        <v>34869</v>
      </c>
    </row>
    <row r="12" spans="1:12" x14ac:dyDescent="0.25">
      <c r="A12" s="14"/>
      <c r="B12" s="4" t="s">
        <v>17</v>
      </c>
      <c r="C12" s="5">
        <v>20710</v>
      </c>
      <c r="D12" s="5">
        <v>47478</v>
      </c>
      <c r="E12" s="5">
        <v>9427</v>
      </c>
      <c r="F12" s="5">
        <v>22118</v>
      </c>
      <c r="G12" s="5">
        <v>344</v>
      </c>
      <c r="H12" s="5">
        <v>164</v>
      </c>
      <c r="I12" s="5">
        <v>1711</v>
      </c>
      <c r="J12" s="5">
        <v>1137</v>
      </c>
      <c r="K12" s="5">
        <v>5749</v>
      </c>
      <c r="L12" s="6">
        <f t="shared" si="0"/>
        <v>108838</v>
      </c>
    </row>
    <row r="13" spans="1:12" x14ac:dyDescent="0.25">
      <c r="A13" s="14"/>
      <c r="B13" s="4" t="s">
        <v>18</v>
      </c>
      <c r="C13" s="5">
        <v>9419</v>
      </c>
      <c r="D13" s="5">
        <v>28978</v>
      </c>
      <c r="E13" s="5">
        <v>6840</v>
      </c>
      <c r="F13" s="5">
        <v>5745</v>
      </c>
      <c r="G13" s="5">
        <v>608</v>
      </c>
      <c r="H13" s="5">
        <v>180</v>
      </c>
      <c r="I13" s="5">
        <v>887</v>
      </c>
      <c r="J13" s="5">
        <v>1287</v>
      </c>
      <c r="K13" s="5">
        <v>1944</v>
      </c>
      <c r="L13" s="6">
        <f t="shared" si="0"/>
        <v>55888</v>
      </c>
    </row>
    <row r="14" spans="1:12" x14ac:dyDescent="0.25">
      <c r="A14" s="14"/>
      <c r="B14" s="4" t="s">
        <v>19</v>
      </c>
      <c r="C14" s="5">
        <v>19274</v>
      </c>
      <c r="D14" s="5">
        <v>30966</v>
      </c>
      <c r="E14" s="5">
        <v>7055</v>
      </c>
      <c r="F14" s="5">
        <v>10760</v>
      </c>
      <c r="G14" s="5">
        <v>1740</v>
      </c>
      <c r="H14" s="5">
        <v>429</v>
      </c>
      <c r="I14" s="5">
        <v>180</v>
      </c>
      <c r="J14" s="5">
        <v>334</v>
      </c>
      <c r="K14" s="5">
        <v>1875</v>
      </c>
      <c r="L14" s="6">
        <f t="shared" si="0"/>
        <v>72613</v>
      </c>
    </row>
    <row r="15" spans="1:12" x14ac:dyDescent="0.25">
      <c r="A15" s="14"/>
      <c r="B15" s="4" t="s">
        <v>20</v>
      </c>
      <c r="C15" s="5">
        <v>8813</v>
      </c>
      <c r="D15" s="5">
        <v>14854</v>
      </c>
      <c r="E15" s="5">
        <v>4006</v>
      </c>
      <c r="F15" s="5">
        <v>3918</v>
      </c>
      <c r="G15" s="5">
        <v>577</v>
      </c>
      <c r="H15" s="5">
        <v>359</v>
      </c>
      <c r="I15" s="5">
        <v>265</v>
      </c>
      <c r="J15" s="5">
        <v>2124</v>
      </c>
      <c r="K15" s="5">
        <v>1221</v>
      </c>
      <c r="L15" s="6">
        <f t="shared" si="0"/>
        <v>36137</v>
      </c>
    </row>
    <row r="16" spans="1:12" x14ac:dyDescent="0.25">
      <c r="A16" s="14"/>
      <c r="B16" s="4" t="s">
        <v>21</v>
      </c>
      <c r="C16" s="5">
        <v>6604</v>
      </c>
      <c r="D16" s="5">
        <v>24340</v>
      </c>
      <c r="E16" s="5">
        <v>6306</v>
      </c>
      <c r="F16" s="5">
        <v>6145</v>
      </c>
      <c r="G16" s="5">
        <v>417</v>
      </c>
      <c r="H16" s="5">
        <v>199</v>
      </c>
      <c r="I16" s="5">
        <v>1652</v>
      </c>
      <c r="J16" s="5">
        <v>944</v>
      </c>
      <c r="K16" s="5">
        <v>978</v>
      </c>
      <c r="L16" s="6">
        <f t="shared" si="0"/>
        <v>47585</v>
      </c>
    </row>
    <row r="17" spans="1:12" x14ac:dyDescent="0.25">
      <c r="A17" s="15" t="s">
        <v>22</v>
      </c>
      <c r="B17" s="4" t="s">
        <v>23</v>
      </c>
      <c r="C17" s="5">
        <v>5848</v>
      </c>
      <c r="D17" s="5">
        <v>8031</v>
      </c>
      <c r="E17" s="5">
        <v>3914</v>
      </c>
      <c r="F17" s="5">
        <v>2209</v>
      </c>
      <c r="G17" s="5">
        <v>546</v>
      </c>
      <c r="H17" s="5">
        <v>204</v>
      </c>
      <c r="I17" s="5">
        <v>337</v>
      </c>
      <c r="J17" s="5">
        <v>367</v>
      </c>
      <c r="K17" s="5">
        <v>841</v>
      </c>
      <c r="L17" s="6">
        <f t="shared" si="0"/>
        <v>22297</v>
      </c>
    </row>
    <row r="18" spans="1:12" x14ac:dyDescent="0.25">
      <c r="A18" s="14"/>
      <c r="B18" s="4" t="s">
        <v>24</v>
      </c>
      <c r="C18" s="5">
        <v>6847</v>
      </c>
      <c r="D18" s="5">
        <v>12271</v>
      </c>
      <c r="E18" s="5">
        <v>3917</v>
      </c>
      <c r="F18" s="5">
        <v>3370</v>
      </c>
      <c r="G18" s="5">
        <v>531</v>
      </c>
      <c r="H18" s="5">
        <v>223</v>
      </c>
      <c r="I18" s="5">
        <v>628</v>
      </c>
      <c r="J18" s="5">
        <v>601</v>
      </c>
      <c r="K18" s="5">
        <v>833</v>
      </c>
      <c r="L18" s="6">
        <f t="shared" si="0"/>
        <v>29221</v>
      </c>
    </row>
    <row r="19" spans="1:12" x14ac:dyDescent="0.25">
      <c r="A19" s="14"/>
      <c r="B19" s="4" t="s">
        <v>25</v>
      </c>
      <c r="C19" s="5">
        <v>12484</v>
      </c>
      <c r="D19" s="5">
        <v>36059</v>
      </c>
      <c r="E19" s="5">
        <v>14770</v>
      </c>
      <c r="F19" s="5">
        <v>9987</v>
      </c>
      <c r="G19" s="5">
        <v>1169</v>
      </c>
      <c r="H19" s="5">
        <v>361</v>
      </c>
      <c r="I19" s="5">
        <v>2311</v>
      </c>
      <c r="J19" s="5">
        <v>188</v>
      </c>
      <c r="K19" s="5">
        <v>4375</v>
      </c>
      <c r="L19" s="6">
        <f t="shared" si="0"/>
        <v>81704</v>
      </c>
    </row>
    <row r="20" spans="1:12" x14ac:dyDescent="0.25">
      <c r="A20" s="14"/>
      <c r="B20" s="4" t="s">
        <v>26</v>
      </c>
      <c r="C20" s="5">
        <v>5605</v>
      </c>
      <c r="D20" s="5">
        <v>26654</v>
      </c>
      <c r="E20" s="5">
        <v>5085</v>
      </c>
      <c r="F20" s="5">
        <v>6764</v>
      </c>
      <c r="G20" s="5">
        <v>567</v>
      </c>
      <c r="H20" s="5">
        <v>255</v>
      </c>
      <c r="I20" s="5">
        <v>305</v>
      </c>
      <c r="J20" s="5">
        <v>1194</v>
      </c>
      <c r="K20" s="5">
        <v>2280</v>
      </c>
      <c r="L20" s="6">
        <f t="shared" si="0"/>
        <v>48709</v>
      </c>
    </row>
    <row r="21" spans="1:12" x14ac:dyDescent="0.25">
      <c r="A21" s="14"/>
      <c r="B21" s="4" t="s">
        <v>27</v>
      </c>
      <c r="C21" s="5">
        <v>15141</v>
      </c>
      <c r="D21" s="5">
        <v>24278</v>
      </c>
      <c r="E21" s="5">
        <v>6286</v>
      </c>
      <c r="F21" s="5">
        <v>5232</v>
      </c>
      <c r="G21" s="5">
        <v>652</v>
      </c>
      <c r="H21" s="5">
        <v>195</v>
      </c>
      <c r="I21" s="5">
        <v>229</v>
      </c>
      <c r="J21" s="5">
        <v>537</v>
      </c>
      <c r="K21" s="5">
        <v>1568</v>
      </c>
      <c r="L21" s="6">
        <f t="shared" si="0"/>
        <v>54118</v>
      </c>
    </row>
    <row r="22" spans="1:12" x14ac:dyDescent="0.25">
      <c r="A22" s="14"/>
      <c r="B22" s="4" t="s">
        <v>28</v>
      </c>
      <c r="C22" s="5">
        <v>8628</v>
      </c>
      <c r="D22" s="5">
        <v>19451</v>
      </c>
      <c r="E22" s="5">
        <v>5698</v>
      </c>
      <c r="F22" s="5">
        <v>5135</v>
      </c>
      <c r="G22" s="5">
        <v>0</v>
      </c>
      <c r="H22" s="5">
        <v>376</v>
      </c>
      <c r="I22" s="5">
        <v>282</v>
      </c>
      <c r="J22" s="5">
        <v>866</v>
      </c>
      <c r="K22" s="5">
        <v>1394</v>
      </c>
      <c r="L22" s="6">
        <f t="shared" si="0"/>
        <v>41830</v>
      </c>
    </row>
    <row r="23" spans="1:12" x14ac:dyDescent="0.25">
      <c r="A23" s="14"/>
      <c r="B23" s="4" t="s">
        <v>29</v>
      </c>
      <c r="C23" s="5">
        <v>8249</v>
      </c>
      <c r="D23" s="5">
        <v>23113</v>
      </c>
      <c r="E23" s="5">
        <v>10692</v>
      </c>
      <c r="F23" s="5">
        <v>9672</v>
      </c>
      <c r="G23" s="5">
        <v>382</v>
      </c>
      <c r="H23" s="5">
        <v>566</v>
      </c>
      <c r="I23" s="5">
        <v>0</v>
      </c>
      <c r="J23" s="5">
        <v>950</v>
      </c>
      <c r="K23" s="5">
        <v>2743</v>
      </c>
      <c r="L23" s="6">
        <f t="shared" si="0"/>
        <v>56367</v>
      </c>
    </row>
    <row r="24" spans="1:12" x14ac:dyDescent="0.25">
      <c r="A24" s="14"/>
      <c r="B24" s="4" t="s">
        <v>30</v>
      </c>
      <c r="C24" s="5">
        <v>6637</v>
      </c>
      <c r="D24" s="5">
        <v>13172</v>
      </c>
      <c r="E24" s="5">
        <v>4556</v>
      </c>
      <c r="F24" s="5">
        <v>3644</v>
      </c>
      <c r="G24" s="5">
        <v>299</v>
      </c>
      <c r="H24" s="5">
        <v>470</v>
      </c>
      <c r="I24" s="5">
        <v>4904</v>
      </c>
      <c r="J24" s="5">
        <v>388</v>
      </c>
      <c r="K24" s="5">
        <v>1009</v>
      </c>
      <c r="L24" s="6">
        <f t="shared" si="0"/>
        <v>35079</v>
      </c>
    </row>
    <row r="25" spans="1:12" x14ac:dyDescent="0.25">
      <c r="A25" s="15" t="s">
        <v>22</v>
      </c>
      <c r="B25" s="4" t="s">
        <v>31</v>
      </c>
      <c r="C25" s="5">
        <v>19737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6">
        <f t="shared" si="0"/>
        <v>19737</v>
      </c>
    </row>
    <row r="26" spans="1:12" x14ac:dyDescent="0.25">
      <c r="A26" s="14"/>
      <c r="B26" s="4" t="s">
        <v>32</v>
      </c>
      <c r="C26" s="5">
        <v>6057</v>
      </c>
      <c r="D26" s="5">
        <v>9708</v>
      </c>
      <c r="E26" s="5">
        <v>2341</v>
      </c>
      <c r="F26" s="5">
        <v>4134</v>
      </c>
      <c r="G26" s="5">
        <v>869</v>
      </c>
      <c r="H26" s="5">
        <v>0</v>
      </c>
      <c r="I26" s="5">
        <v>434</v>
      </c>
      <c r="J26" s="5">
        <v>591</v>
      </c>
      <c r="K26" s="5">
        <v>829</v>
      </c>
      <c r="L26" s="6">
        <f t="shared" si="0"/>
        <v>24963</v>
      </c>
    </row>
    <row r="27" spans="1:12" x14ac:dyDescent="0.25">
      <c r="A27" s="14"/>
      <c r="B27" s="4" t="s">
        <v>33</v>
      </c>
      <c r="C27" s="5">
        <v>46521</v>
      </c>
      <c r="D27" s="5">
        <v>48735</v>
      </c>
      <c r="E27" s="5">
        <v>4816</v>
      </c>
      <c r="F27" s="5">
        <v>1994</v>
      </c>
      <c r="G27" s="5">
        <v>1125</v>
      </c>
      <c r="H27" s="5">
        <v>700</v>
      </c>
      <c r="I27" s="5">
        <v>1272</v>
      </c>
      <c r="J27" s="5">
        <v>1451</v>
      </c>
      <c r="K27" s="5">
        <v>3076</v>
      </c>
      <c r="L27" s="6">
        <f t="shared" si="0"/>
        <v>109690</v>
      </c>
    </row>
    <row r="28" spans="1:12" x14ac:dyDescent="0.25">
      <c r="A28" s="14"/>
      <c r="B28" s="4" t="s">
        <v>34</v>
      </c>
      <c r="C28" s="5">
        <v>10590</v>
      </c>
      <c r="D28" s="5">
        <v>20573</v>
      </c>
      <c r="E28" s="5">
        <v>3603</v>
      </c>
      <c r="F28" s="5">
        <v>5855</v>
      </c>
      <c r="G28" s="5">
        <v>964</v>
      </c>
      <c r="H28" s="5">
        <v>321</v>
      </c>
      <c r="I28" s="5">
        <v>7824</v>
      </c>
      <c r="J28" s="5">
        <v>292</v>
      </c>
      <c r="K28" s="5">
        <v>1501</v>
      </c>
      <c r="L28" s="6">
        <f t="shared" si="0"/>
        <v>51523</v>
      </c>
    </row>
    <row r="29" spans="1:12" x14ac:dyDescent="0.25">
      <c r="A29" s="14"/>
      <c r="B29" s="4" t="s">
        <v>35</v>
      </c>
      <c r="C29" s="5">
        <v>5237</v>
      </c>
      <c r="D29" s="5">
        <v>6207</v>
      </c>
      <c r="E29" s="5">
        <v>1817</v>
      </c>
      <c r="F29" s="5">
        <v>1293</v>
      </c>
      <c r="G29" s="5">
        <v>100</v>
      </c>
      <c r="H29" s="5">
        <v>153</v>
      </c>
      <c r="I29" s="5">
        <v>321</v>
      </c>
      <c r="J29" s="5">
        <v>222</v>
      </c>
      <c r="K29" s="5">
        <v>407</v>
      </c>
      <c r="L29" s="6">
        <f t="shared" si="0"/>
        <v>15757</v>
      </c>
    </row>
    <row r="30" spans="1:12" x14ac:dyDescent="0.25">
      <c r="A30" s="14"/>
      <c r="B30" s="7" t="s">
        <v>36</v>
      </c>
      <c r="C30" s="8">
        <v>12577</v>
      </c>
      <c r="D30" s="8">
        <v>27787</v>
      </c>
      <c r="E30" s="8">
        <v>12733</v>
      </c>
      <c r="F30" s="8">
        <v>8645</v>
      </c>
      <c r="G30" s="8">
        <v>1437</v>
      </c>
      <c r="H30" s="8">
        <v>139</v>
      </c>
      <c r="I30" s="8">
        <v>1780</v>
      </c>
      <c r="J30" s="8">
        <v>2127</v>
      </c>
      <c r="K30" s="8">
        <v>2541</v>
      </c>
      <c r="L30" s="9">
        <f t="shared" si="0"/>
        <v>69766</v>
      </c>
    </row>
    <row r="31" spans="1:12" x14ac:dyDescent="0.25">
      <c r="A31" s="14"/>
      <c r="B31" s="30" t="s">
        <v>37</v>
      </c>
      <c r="C31" s="10">
        <f t="shared" ref="C31:K31" si="1">SUM(C7:C30)</f>
        <v>518477</v>
      </c>
      <c r="D31" s="10">
        <f t="shared" si="1"/>
        <v>827932</v>
      </c>
      <c r="E31" s="10">
        <f t="shared" si="1"/>
        <v>138878</v>
      </c>
      <c r="F31" s="10">
        <f t="shared" si="1"/>
        <v>203215</v>
      </c>
      <c r="G31" s="10">
        <f t="shared" si="1"/>
        <v>16163</v>
      </c>
      <c r="H31" s="10">
        <f t="shared" si="1"/>
        <v>6413</v>
      </c>
      <c r="I31" s="10">
        <f t="shared" si="1"/>
        <v>38807</v>
      </c>
      <c r="J31" s="10">
        <f t="shared" si="1"/>
        <v>21994</v>
      </c>
      <c r="K31" s="10">
        <f t="shared" si="1"/>
        <v>61308</v>
      </c>
      <c r="L31" s="10">
        <f t="shared" si="0"/>
        <v>1833187</v>
      </c>
    </row>
    <row r="32" spans="1:12" x14ac:dyDescent="0.25">
      <c r="A32" s="14"/>
      <c r="B32" s="25" t="s">
        <v>42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x14ac:dyDescent="0.25">
      <c r="A33" s="14"/>
      <c r="B33" s="11" t="s">
        <v>38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1" t="s">
        <v>41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x14ac:dyDescent="0.25">
      <c r="B35" s="19" t="s">
        <v>40</v>
      </c>
    </row>
    <row r="36" spans="1:12" ht="15" customHeight="1" x14ac:dyDescent="0.25">
      <c r="B36" s="22" t="s">
        <v>44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 x14ac:dyDescent="0.25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 x14ac:dyDescent="0.25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 x14ac:dyDescent="0.25">
      <c r="B39" s="24" t="s">
        <v>46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</row>
  </sheetData>
  <mergeCells count="17"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2:L2"/>
    <mergeCell ref="B36:L38"/>
    <mergeCell ref="B39:L39"/>
    <mergeCell ref="I5:I6"/>
    <mergeCell ref="J5:J6"/>
    <mergeCell ref="K5:K6"/>
    <mergeCell ref="L5:L6"/>
    <mergeCell ref="B32:L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1209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2026-09-22T15:41:25Z</dcterms:created>
  <dcterms:modified xsi:type="dcterms:W3CDTF">2026-10-06T20:56:20Z</dcterms:modified>
</cp:coreProperties>
</file>