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20D289D1-B794-4F0D-B095-FA63748C722D}" xr6:coauthVersionLast="47" xr6:coauthVersionMax="47" xr10:uidLastSave="{00000000-0000-0000-0000-000000000000}"/>
  <bookViews>
    <workbookView xWindow="-25815" yWindow="3120" windowWidth="19275" windowHeight="10815" xr2:uid="{7D29FDB4-A4B9-4DCF-AA99-D59514AECAF3}"/>
  </bookViews>
  <sheets>
    <sheet name="1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1" i="1" l="1"/>
  <c r="M25" i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<sst xmlns="http://schemas.openxmlformats.org/spreadsheetml/2006/main" count="54" uniqueCount="43">
  <si>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</si>
  <si>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</si>
  <si>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</si>
  <si>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</si>
  <si>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</si>
  <si>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</si>
  <si>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</si>
  <si>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</si>
  <si>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</si>
  <si>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</si>
  <si>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</si>
  <si>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</si>
  <si>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</si>
  <si>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</si>
  <si>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</si>
  <si>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</si>
  <si>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</si>
  <si>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</si>
  <si>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</si>
  <si>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</si>
  <si>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</si>
  <si>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</si>
  <si>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</si>
  <si>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</si>
  <si>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</si>
  <si>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</si>
  <si>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</si>
  <si>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</si>
  <si>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</si>
  <si>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</si>
  <si>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</si>
  <si>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</si>
  <si>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</si>
  <si>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</si>
  <si>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</si>
  <si>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</si>
  <si>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</si>
  <si>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</si>
  <si>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</si>
  <si>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</si>
  <si>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2008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</si>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</sst>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2" fontId="11" fillId="2" borderId="6" xfId="0" applyNumberFormat="1" applyFont="1" applyFill="1" applyBorder="1" applyAlignment="1">
      <alignment horizontal="left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DB9F61-95BE-4FF8-B69B-941F37E5C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4864AE-A2D5-4D53-943E-7C00BDF5F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149361</v>
      </c>
      <c r="D6" s="18">
        <v>418044</v>
      </c>
      <c r="E6" s="18">
        <v>0</v>
      </c>
      <c r="F6" s="18">
        <v>769</v>
      </c>
      <c r="G6" s="7">
        <f>+SUM(C6:F6)</f>
        <v>568174</v>
      </c>
      <c r="H6" s="18">
        <v>222</v>
      </c>
      <c r="I6" s="18">
        <v>80</v>
      </c>
      <c r="J6" s="18">
        <v>0</v>
      </c>
      <c r="K6" s="18">
        <v>0</v>
      </c>
      <c r="L6" s="7">
        <f>+SUM(H6:K6)</f>
        <v>302</v>
      </c>
      <c r="M6" s="7">
        <f t="shared" ref="M6:M29" si="0">+L6+G6</f>
        <v>568476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142167</v>
      </c>
      <c r="D7" s="19">
        <v>0</v>
      </c>
      <c r="E7" s="19">
        <v>0</v>
      </c>
      <c r="F7" s="19">
        <v>0</v>
      </c>
      <c r="G7" s="9">
        <f t="shared" ref="G7:G29" si="1">+SUM(C7:F7)</f>
        <v>142167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142167</v>
      </c>
      <c r="O7" s="16"/>
      <c r="P7" s="16"/>
    </row>
    <row r="8" spans="1:16" x14ac:dyDescent="0.2">
      <c r="A8" s="10"/>
      <c r="B8" s="8" t="s">
        <v>12</v>
      </c>
      <c r="C8" s="19">
        <v>32605</v>
      </c>
      <c r="D8" s="19">
        <v>2705</v>
      </c>
      <c r="E8" s="19">
        <v>0</v>
      </c>
      <c r="F8" s="19">
        <v>0</v>
      </c>
      <c r="G8" s="9">
        <f t="shared" si="1"/>
        <v>35310</v>
      </c>
      <c r="H8" s="19">
        <v>1423</v>
      </c>
      <c r="I8" s="19">
        <v>384</v>
      </c>
      <c r="J8" s="19">
        <v>0</v>
      </c>
      <c r="K8" s="19">
        <v>0</v>
      </c>
      <c r="L8" s="9">
        <f t="shared" si="2"/>
        <v>1807</v>
      </c>
      <c r="M8" s="9">
        <f t="shared" si="0"/>
        <v>37117</v>
      </c>
      <c r="O8" s="16"/>
      <c r="P8" s="16"/>
    </row>
    <row r="9" spans="1:16" x14ac:dyDescent="0.2">
      <c r="B9" s="8" t="s">
        <v>13</v>
      </c>
      <c r="C9" s="19">
        <v>49490</v>
      </c>
      <c r="D9" s="19">
        <v>1373</v>
      </c>
      <c r="E9" s="19">
        <v>0</v>
      </c>
      <c r="F9" s="19">
        <v>685</v>
      </c>
      <c r="G9" s="9">
        <f t="shared" si="1"/>
        <v>51548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51548</v>
      </c>
      <c r="O9" s="16"/>
      <c r="P9" s="16"/>
    </row>
    <row r="10" spans="1:16" x14ac:dyDescent="0.2">
      <c r="B10" s="8" t="s">
        <v>14</v>
      </c>
      <c r="C10" s="19">
        <v>30273</v>
      </c>
      <c r="D10" s="19">
        <v>1060</v>
      </c>
      <c r="E10" s="19">
        <v>0</v>
      </c>
      <c r="F10" s="19">
        <v>0</v>
      </c>
      <c r="G10" s="9">
        <f t="shared" si="1"/>
        <v>31333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31333</v>
      </c>
      <c r="O10" s="16"/>
      <c r="P10" s="16"/>
    </row>
    <row r="11" spans="1:16" x14ac:dyDescent="0.2">
      <c r="B11" s="8" t="s">
        <v>15</v>
      </c>
      <c r="C11" s="19">
        <v>104762</v>
      </c>
      <c r="D11" s="19">
        <v>548</v>
      </c>
      <c r="E11" s="19">
        <v>0</v>
      </c>
      <c r="F11" s="19">
        <v>356</v>
      </c>
      <c r="G11" s="9">
        <f t="shared" si="1"/>
        <v>105666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105666</v>
      </c>
      <c r="O11" s="16"/>
      <c r="P11" s="16"/>
    </row>
    <row r="12" spans="1:16" x14ac:dyDescent="0.2">
      <c r="B12" s="8" t="s">
        <v>16</v>
      </c>
      <c r="C12" s="19">
        <v>45583</v>
      </c>
      <c r="D12" s="19">
        <v>989</v>
      </c>
      <c r="E12" s="19">
        <v>0</v>
      </c>
      <c r="F12" s="19">
        <v>109</v>
      </c>
      <c r="G12" s="9">
        <f t="shared" si="1"/>
        <v>46681</v>
      </c>
      <c r="H12" s="19">
        <v>6631</v>
      </c>
      <c r="I12" s="19">
        <v>140</v>
      </c>
      <c r="J12" s="19">
        <v>0</v>
      </c>
      <c r="K12" s="19">
        <v>26</v>
      </c>
      <c r="L12" s="9">
        <f t="shared" si="2"/>
        <v>6797</v>
      </c>
      <c r="M12" s="9">
        <f t="shared" si="0"/>
        <v>53478</v>
      </c>
      <c r="O12" s="16"/>
      <c r="P12" s="16"/>
    </row>
    <row r="13" spans="1:16" x14ac:dyDescent="0.2">
      <c r="B13" s="8" t="s">
        <v>17</v>
      </c>
      <c r="C13" s="19">
        <v>28619</v>
      </c>
      <c r="D13" s="19">
        <v>38942</v>
      </c>
      <c r="E13" s="19">
        <v>0</v>
      </c>
      <c r="F13" s="19">
        <v>184</v>
      </c>
      <c r="G13" s="9">
        <f t="shared" si="1"/>
        <v>67745</v>
      </c>
      <c r="H13" s="19">
        <v>3374</v>
      </c>
      <c r="I13" s="19">
        <v>0</v>
      </c>
      <c r="J13" s="19">
        <v>0</v>
      </c>
      <c r="K13" s="19">
        <v>0</v>
      </c>
      <c r="L13" s="9">
        <f t="shared" si="2"/>
        <v>3374</v>
      </c>
      <c r="M13" s="9">
        <f t="shared" si="0"/>
        <v>71119</v>
      </c>
      <c r="O13" s="16"/>
      <c r="P13" s="16"/>
    </row>
    <row r="14" spans="1:16" x14ac:dyDescent="0.2">
      <c r="B14" s="8" t="s">
        <v>18</v>
      </c>
      <c r="C14" s="19">
        <v>34236</v>
      </c>
      <c r="D14" s="19">
        <v>1463</v>
      </c>
      <c r="E14" s="19">
        <v>0</v>
      </c>
      <c r="F14" s="19">
        <v>224</v>
      </c>
      <c r="G14" s="9">
        <f t="shared" si="1"/>
        <v>35923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35923</v>
      </c>
      <c r="O14" s="16"/>
      <c r="P14" s="16"/>
    </row>
    <row r="15" spans="1:16" x14ac:dyDescent="0.2">
      <c r="A15" s="1" t="s">
        <v>36</v>
      </c>
      <c r="B15" s="8" t="s">
        <v>19</v>
      </c>
      <c r="C15" s="19">
        <v>45146</v>
      </c>
      <c r="D15" s="19">
        <v>0</v>
      </c>
      <c r="E15" s="19">
        <v>0</v>
      </c>
      <c r="F15" s="19">
        <v>0</v>
      </c>
      <c r="G15" s="9">
        <f t="shared" si="1"/>
        <v>45146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45146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18754</v>
      </c>
      <c r="D16" s="19">
        <v>851</v>
      </c>
      <c r="E16" s="19">
        <v>0</v>
      </c>
      <c r="F16" s="19">
        <v>0</v>
      </c>
      <c r="G16" s="9">
        <f t="shared" si="1"/>
        <v>19605</v>
      </c>
      <c r="H16" s="19">
        <v>0</v>
      </c>
      <c r="I16" s="19">
        <v>0</v>
      </c>
      <c r="J16" s="19">
        <v>0</v>
      </c>
      <c r="K16" s="19">
        <v>0</v>
      </c>
      <c r="L16" s="9">
        <f t="shared" si="2"/>
        <v>0</v>
      </c>
      <c r="M16" s="9">
        <f t="shared" si="0"/>
        <v>19605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28152</v>
      </c>
      <c r="D17" s="19">
        <v>0</v>
      </c>
      <c r="E17" s="19">
        <v>0</v>
      </c>
      <c r="F17" s="19">
        <v>0</v>
      </c>
      <c r="G17" s="9">
        <f t="shared" si="1"/>
        <v>28152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28152</v>
      </c>
      <c r="O17" s="16"/>
      <c r="P17" s="16"/>
    </row>
    <row r="18" spans="1:16" x14ac:dyDescent="0.2">
      <c r="B18" s="8" t="s">
        <v>23</v>
      </c>
      <c r="C18" s="19">
        <v>22092</v>
      </c>
      <c r="D18" s="19">
        <v>52412</v>
      </c>
      <c r="E18" s="19">
        <v>1</v>
      </c>
      <c r="F18" s="19">
        <v>18</v>
      </c>
      <c r="G18" s="9">
        <f t="shared" si="1"/>
        <v>74523</v>
      </c>
      <c r="H18" s="19">
        <v>2559</v>
      </c>
      <c r="I18" s="19">
        <v>1732</v>
      </c>
      <c r="J18" s="19">
        <v>406</v>
      </c>
      <c r="K18" s="19">
        <v>37</v>
      </c>
      <c r="L18" s="9">
        <f t="shared" si="2"/>
        <v>4734</v>
      </c>
      <c r="M18" s="9">
        <f t="shared" si="0"/>
        <v>79257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50853</v>
      </c>
      <c r="D19" s="19">
        <v>0</v>
      </c>
      <c r="E19" s="19">
        <v>0</v>
      </c>
      <c r="F19" s="19">
        <v>0</v>
      </c>
      <c r="G19" s="9">
        <f t="shared" si="1"/>
        <v>50853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50853</v>
      </c>
      <c r="O19" s="16"/>
      <c r="P19" s="16"/>
    </row>
    <row r="20" spans="1:16" x14ac:dyDescent="0.2">
      <c r="B20" s="8" t="s">
        <v>25</v>
      </c>
      <c r="C20" s="19">
        <v>20538</v>
      </c>
      <c r="D20" s="19">
        <v>32554</v>
      </c>
      <c r="E20" s="19">
        <v>0</v>
      </c>
      <c r="F20" s="19">
        <v>0</v>
      </c>
      <c r="G20" s="9">
        <f t="shared" si="1"/>
        <v>53092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53092</v>
      </c>
      <c r="O20" s="16"/>
      <c r="P20" s="16"/>
    </row>
    <row r="21" spans="1:16" x14ac:dyDescent="0.2">
      <c r="B21" s="8" t="s">
        <v>26</v>
      </c>
      <c r="C21" s="19">
        <v>21335</v>
      </c>
      <c r="D21" s="19">
        <v>19613</v>
      </c>
      <c r="E21" s="19">
        <v>0</v>
      </c>
      <c r="F21" s="19">
        <v>0</v>
      </c>
      <c r="G21" s="9">
        <f t="shared" si="1"/>
        <v>40948</v>
      </c>
      <c r="H21" s="19">
        <v>314</v>
      </c>
      <c r="I21" s="19">
        <v>0</v>
      </c>
      <c r="J21" s="19">
        <v>0</v>
      </c>
      <c r="K21" s="19">
        <v>0</v>
      </c>
      <c r="L21" s="9">
        <f t="shared" si="2"/>
        <v>314</v>
      </c>
      <c r="M21" s="9">
        <f t="shared" si="0"/>
        <v>41262</v>
      </c>
      <c r="O21" s="16"/>
      <c r="P21" s="16"/>
    </row>
    <row r="22" spans="1:16" x14ac:dyDescent="0.2">
      <c r="B22" s="8" t="s">
        <v>27</v>
      </c>
      <c r="C22" s="19">
        <v>51365</v>
      </c>
      <c r="D22" s="19">
        <v>392</v>
      </c>
      <c r="E22" s="19">
        <v>0</v>
      </c>
      <c r="F22" s="19">
        <v>0</v>
      </c>
      <c r="G22" s="9">
        <f t="shared" si="1"/>
        <v>51757</v>
      </c>
      <c r="H22" s="19">
        <v>39</v>
      </c>
      <c r="I22" s="19">
        <v>0</v>
      </c>
      <c r="J22" s="19">
        <v>0</v>
      </c>
      <c r="K22" s="19">
        <v>0</v>
      </c>
      <c r="L22" s="9">
        <f t="shared" si="2"/>
        <v>39</v>
      </c>
      <c r="M22" s="9">
        <f t="shared" si="0"/>
        <v>51796</v>
      </c>
      <c r="O22" s="16"/>
      <c r="P22" s="16"/>
    </row>
    <row r="23" spans="1:16" x14ac:dyDescent="0.2">
      <c r="B23" s="8" t="s">
        <v>28</v>
      </c>
      <c r="C23" s="19">
        <v>28224</v>
      </c>
      <c r="D23" s="19">
        <v>1028</v>
      </c>
      <c r="E23" s="19">
        <v>0</v>
      </c>
      <c r="F23" s="19">
        <v>0</v>
      </c>
      <c r="G23" s="9">
        <f t="shared" si="1"/>
        <v>29252</v>
      </c>
      <c r="H23" s="19">
        <v>3017</v>
      </c>
      <c r="I23" s="19">
        <v>1080</v>
      </c>
      <c r="J23" s="19">
        <v>0</v>
      </c>
      <c r="K23" s="19">
        <v>0</v>
      </c>
      <c r="L23" s="9">
        <f t="shared" si="2"/>
        <v>4097</v>
      </c>
      <c r="M23" s="9">
        <f t="shared" si="0"/>
        <v>33349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18824</v>
      </c>
      <c r="D24" s="19">
        <v>0</v>
      </c>
      <c r="E24" s="19">
        <v>0</v>
      </c>
      <c r="F24" s="19">
        <v>0</v>
      </c>
      <c r="G24" s="9">
        <f t="shared" si="1"/>
        <v>18824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18824</v>
      </c>
      <c r="O24" s="16"/>
      <c r="P24" s="16"/>
    </row>
    <row r="25" spans="1:16" x14ac:dyDescent="0.2">
      <c r="B25" s="8" t="s">
        <v>30</v>
      </c>
      <c r="C25" s="19">
        <v>21303</v>
      </c>
      <c r="D25" s="19">
        <v>2564</v>
      </c>
      <c r="E25" s="19">
        <v>36</v>
      </c>
      <c r="F25" s="19">
        <v>93</v>
      </c>
      <c r="G25" s="9">
        <f t="shared" si="1"/>
        <v>23996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23996</v>
      </c>
      <c r="O25" s="16"/>
      <c r="P25" s="16"/>
    </row>
    <row r="26" spans="1:16" x14ac:dyDescent="0.2">
      <c r="A26" s="1" t="s">
        <v>36</v>
      </c>
      <c r="B26" s="8" t="s">
        <v>31</v>
      </c>
      <c r="C26" s="19">
        <v>108564</v>
      </c>
      <c r="D26" s="19">
        <v>0</v>
      </c>
      <c r="E26" s="19">
        <v>0</v>
      </c>
      <c r="F26" s="19">
        <v>0</v>
      </c>
      <c r="G26" s="9">
        <f t="shared" si="1"/>
        <v>108564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108564</v>
      </c>
      <c r="O26" s="16"/>
      <c r="P26" s="16"/>
    </row>
    <row r="27" spans="1:16" x14ac:dyDescent="0.2">
      <c r="B27" s="8" t="s">
        <v>32</v>
      </c>
      <c r="C27" s="19">
        <v>18431</v>
      </c>
      <c r="D27" s="19">
        <v>25517</v>
      </c>
      <c r="E27" s="19">
        <v>0</v>
      </c>
      <c r="F27" s="19">
        <v>0</v>
      </c>
      <c r="G27" s="9">
        <f t="shared" si="1"/>
        <v>43948</v>
      </c>
      <c r="H27" s="19">
        <v>6353</v>
      </c>
      <c r="I27" s="19">
        <v>238</v>
      </c>
      <c r="J27" s="19">
        <v>0</v>
      </c>
      <c r="K27" s="19">
        <v>0</v>
      </c>
      <c r="L27" s="9">
        <f t="shared" si="2"/>
        <v>6591</v>
      </c>
      <c r="M27" s="9">
        <f t="shared" si="0"/>
        <v>50539</v>
      </c>
      <c r="O27" s="16"/>
      <c r="P27" s="16"/>
    </row>
    <row r="28" spans="1:16" x14ac:dyDescent="0.2">
      <c r="B28" s="8" t="s">
        <v>33</v>
      </c>
      <c r="C28" s="19">
        <v>14941</v>
      </c>
      <c r="D28" s="19">
        <v>385</v>
      </c>
      <c r="E28" s="19">
        <v>0</v>
      </c>
      <c r="F28" s="19">
        <v>262</v>
      </c>
      <c r="G28" s="9">
        <f t="shared" si="1"/>
        <v>15588</v>
      </c>
      <c r="H28" s="19">
        <v>0</v>
      </c>
      <c r="I28" s="19">
        <v>0</v>
      </c>
      <c r="J28" s="19">
        <v>0</v>
      </c>
      <c r="K28" s="19">
        <v>0</v>
      </c>
      <c r="L28" s="9">
        <f t="shared" si="2"/>
        <v>0</v>
      </c>
      <c r="M28" s="9">
        <f t="shared" si="0"/>
        <v>15588</v>
      </c>
      <c r="O28" s="16"/>
      <c r="P28" s="16"/>
    </row>
    <row r="29" spans="1:16" x14ac:dyDescent="0.2">
      <c r="B29" s="11" t="s">
        <v>34</v>
      </c>
      <c r="C29" s="20">
        <v>52384</v>
      </c>
      <c r="D29" s="20">
        <v>14224</v>
      </c>
      <c r="E29" s="20">
        <v>0</v>
      </c>
      <c r="F29" s="20">
        <v>0</v>
      </c>
      <c r="G29" s="12">
        <f t="shared" si="1"/>
        <v>66608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66608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1138002</v>
      </c>
      <c r="D30" s="13">
        <f t="shared" ref="D30:M30" si="3">+SUM(D6:D29)</f>
        <v>614664</v>
      </c>
      <c r="E30" s="13">
        <f t="shared" si="3"/>
        <v>37</v>
      </c>
      <c r="F30" s="13">
        <f t="shared" si="3"/>
        <v>2700</v>
      </c>
      <c r="G30" s="13">
        <f t="shared" si="3"/>
        <v>1755403</v>
      </c>
      <c r="H30" s="13">
        <f t="shared" si="3"/>
        <v>23932</v>
      </c>
      <c r="I30" s="13">
        <f t="shared" si="3"/>
        <v>3654</v>
      </c>
      <c r="J30" s="13">
        <f t="shared" si="3"/>
        <v>406</v>
      </c>
      <c r="K30" s="13">
        <f t="shared" si="3"/>
        <v>63</v>
      </c>
      <c r="L30" s="13">
        <f t="shared" si="3"/>
        <v>28055</v>
      </c>
      <c r="M30" s="13">
        <f t="shared" si="3"/>
        <v>1783458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1208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2026-10-14T17:37:47Z</dcterms:modified>
</cp:coreProperties>
</file>