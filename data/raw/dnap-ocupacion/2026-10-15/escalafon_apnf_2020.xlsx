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0676046D-F7A3-4519-92F4-80DCB4F0C243}" xr6:coauthVersionLast="47" xr6:coauthVersionMax="47" xr10:uidLastSave="{00000000-0000-0000-0000-000000000000}"/>
  <bookViews>
    <workbookView xWindow="-28920" yWindow="15" windowWidth="29040" windowHeight="15840" xr2:uid="{2B9EBF14-C70B-4AD9-A51F-931E6C10E3D7}"/>
  </bookViews>
  <sheets>
    <sheet name="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L27" i="1"/>
  <c r="L8" i="1"/>
  <c r="L30" i="1"/>
  <c r="L16" i="1"/>
  <c r="L9" i="1"/>
  <c r="L21" i="1"/>
  <c r="L14" i="1"/>
  <c r="L7" i="1"/>
  <c r="C31" i="1"/>
  <c r="L19" i="1"/>
  <c r="D31" i="1"/>
  <c r="L23" i="1"/>
  <c r="L13" i="1"/>
  <c r="L11" i="1"/>
  <c r="L28" i="1"/>
  <c r="E31" i="1"/>
  <c r="L12" i="1"/>
  <c r="G31" i="1"/>
  <c r="L17" i="1"/>
  <c r="L29" i="1"/>
  <c r="K31" i="1"/>
  <c r="L15" i="1"/>
  <c r="L20" i="1"/>
  <c r="L25" i="1"/>
  <c r="L18" i="1"/>
  <c r="L26" i="1"/>
  <c r="L24" i="1"/>
  <c r="F31" i="1"/>
  <c r="H31" i="1"/>
  <c r="L10" i="1"/>
  <c r="L22" i="1"/>
  <c r="J31" i="1"/>
  <c r="L31" i="1" l="1"/>
</calcChain>
</file>

<file path=xl/sharedStrings.xml><?xml version="1.0" encoding="utf-8"?>
<sst xmlns="http://schemas.openxmlformats.org/spreadsheetml/2006/main" count="46" uniqueCount="45">
  <si>
    <t>PLANTA DE LA ADMINISTRACIÓN PÚBLICA PROVINCIAL NO FINANCIERA POR ESCALAFÓN - 24 JURISDICCIONES</t>
  </si>
  <si>
    <t>CARGOS OCUPADOS CON LIQUIDACIÓN DE HABERES</t>
  </si>
  <si>
    <t>A DICIEMBRE DE 2020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</si>
  <si>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</si>
  <si>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</si>
  <si>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</si>
  <si>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</si>
  <si>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</si>
  <si>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</si>
  <si>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</si>
  <si>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</si>
  <si>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</si>
  <si>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</si>
  <si>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</si>
  <si>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</si>
  <si>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</si>
  <si>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</si>
  <si>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</si>
  <si>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</si>
  <si>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</si>
  <si>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</si>
  <si>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</si>
  <si>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</si>
  <si>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</si>
  <si>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</si>
  <si>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</si>
  <si>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</si>
  <si>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</si>
  <si>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</si>
  <si>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</si>
  <si>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</si>
  <si>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</si>
  <si>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</si>
  <si>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</si>
  <si>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</si>
  <si>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</si>
  <si>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</si>
  <si>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</si>
  <si>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</si>
  <si>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</si>
  <si>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</si>
  <si>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(**)</t>
  </si>
  <si>
    <t>Incluye contratos, becas y pasantías, y personal de programas.</t>
  </si>
  <si>
    <t>(**): Sólo cargos totales. Detalle no informado por la jurisdicción</t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</si>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</sst>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b/>
      <sz val="11"/>
      <name val="Roboto"/>
    </font>
    <font>
      <sz val="11"/>
      <name val="Roboto"/>
    </font>
    <font>
      <b/>
      <sz val="12"/>
      <color theme="1"/>
      <name val="Roboto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2">
    <xf numFmtId="0" fontId="0" fillId="0" borderId="0" xfId="0"/>
    <xf numFmtId="0" fontId="3" fillId="0" borderId="0" xfId="2"/>
    <xf numFmtId="0" fontId="4" fillId="0" borderId="0" xfId="2" applyFont="1"/>
    <xf numFmtId="0" fontId="0" fillId="0" borderId="0" xfId="0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4" fontId="7" fillId="0" borderId="1" xfId="1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164" fontId="7" fillId="0" borderId="3" xfId="1" applyNumberFormat="1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3" fillId="0" borderId="0" xfId="0" quotePrefix="1" applyFont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164" fontId="7" fillId="0" borderId="2" xfId="1" applyNumberFormat="1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0" fontId="8" fillId="0" borderId="0" xfId="0" quotePrefix="1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horizontal="right" vertical="center"/>
    </xf>
    <xf numFmtId="0" fontId="7" fillId="0" borderId="0" xfId="2" applyFont="1"/>
    <xf numFmtId="164" fontId="7" fillId="2" borderId="3" xfId="1" applyNumberFormat="1" applyFont="1" applyFill="1" applyBorder="1" applyAlignment="1">
      <alignment vertical="center"/>
    </xf>
    <xf numFmtId="0" fontId="10" fillId="0" borderId="0" xfId="2" applyFont="1" applyAlignment="1">
      <alignment horizontal="left"/>
    </xf>
    <xf numFmtId="0" fontId="10" fillId="0" borderId="0" xfId="2" applyFont="1"/>
    <xf numFmtId="0" fontId="9" fillId="0" borderId="0" xfId="2" applyFont="1"/>
    <xf numFmtId="0" fontId="5" fillId="0" borderId="0" xfId="0" applyFont="1"/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2" fontId="12" fillId="3" borderId="5" xfId="0" applyNumberFormat="1" applyFont="1" applyFill="1" applyBorder="1" applyAlignment="1">
      <alignment horizontal="center" vertical="center" wrapText="1"/>
    </xf>
    <xf numFmtId="2" fontId="12" fillId="3" borderId="6" xfId="0" applyNumberFormat="1" applyFont="1" applyFill="1" applyBorder="1" applyAlignment="1">
      <alignment horizontal="center" vertical="center" wrapText="1"/>
    </xf>
    <xf numFmtId="2" fontId="12" fillId="3" borderId="7" xfId="0" applyNumberFormat="1" applyFont="1" applyFill="1" applyBorder="1" applyAlignment="1">
      <alignment horizontal="left" vertical="center" wrapText="1"/>
    </xf>
  </cellXfs>
  <cellStyles count="3">
    <cellStyle name="Millares" xfId="1" builtinId="3"/>
    <cellStyle name="Normal" xfId="0" builtinId="0"/>
    <cellStyle name="Normal 2" xfId="2" xr:uid="{0C5E3FAA-C071-42C0-9BBD-780A912D92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F7C847-BA48-4687-B6CD-C9D918317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ECD0-1239-43B9-B73F-A2EC98740342}">
  <dimension ref="A1:M35"/>
  <sheetViews>
    <sheetView tabSelected="1" workbookViewId="0">
      <selection activeCell="B5" sqref="B5:B6"/>
    </sheetView>
  </sheetViews>
  <sheetFormatPr baseColWidth="10" defaultRowHeight="15" x14ac:dyDescent="0.25"/>
  <cols>
    <col min="1" max="1" width="4.7109375" style="1" customWidth="1"/>
    <col min="2" max="2" width="24.28515625" style="1" customWidth="1"/>
    <col min="3" max="11" width="11.42578125" style="1"/>
    <col min="12" max="12" width="11.42578125" style="2"/>
    <col min="13" max="13" width="11.42578125" style="1"/>
  </cols>
  <sheetData>
    <row r="1" spans="1:13" s="24" customForma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  <c r="M1" s="22"/>
    </row>
    <row r="2" spans="1:13" s="24" customFormat="1" ht="15.75" x14ac:dyDescent="0.25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2"/>
    </row>
    <row r="3" spans="1:13" s="24" customFormat="1" x14ac:dyDescent="0.25">
      <c r="A3" s="26"/>
      <c r="B3" s="27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2"/>
    </row>
    <row r="4" spans="1:13" s="24" customFormat="1" x14ac:dyDescent="0.25">
      <c r="A4" s="26"/>
      <c r="B4" s="28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2"/>
    </row>
    <row r="5" spans="1:13" ht="15" customHeight="1" x14ac:dyDescent="0.25">
      <c r="A5" s="3"/>
      <c r="B5" s="29" t="s">
        <v>3</v>
      </c>
      <c r="C5" s="29" t="s">
        <v>4</v>
      </c>
      <c r="D5" s="29" t="s">
        <v>5</v>
      </c>
      <c r="E5" s="29" t="s">
        <v>6</v>
      </c>
      <c r="F5" s="29" t="s">
        <v>7</v>
      </c>
      <c r="G5" s="29" t="s">
        <v>8</v>
      </c>
      <c r="H5" s="29" t="s">
        <v>9</v>
      </c>
      <c r="I5" s="29" t="s">
        <v>10</v>
      </c>
      <c r="J5" s="29" t="s">
        <v>11</v>
      </c>
      <c r="K5" s="29" t="s">
        <v>12</v>
      </c>
      <c r="L5" s="29" t="s">
        <v>13</v>
      </c>
    </row>
    <row r="6" spans="1:13" x14ac:dyDescent="0.25">
      <c r="A6" s="3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1:13" x14ac:dyDescent="0.25">
      <c r="A7" s="3"/>
      <c r="B7" s="4" t="s">
        <v>14</v>
      </c>
      <c r="C7" s="5">
        <v>101001</v>
      </c>
      <c r="D7" s="5">
        <v>311487</v>
      </c>
      <c r="E7" s="5">
        <v>58680</v>
      </c>
      <c r="F7" s="5">
        <v>90418</v>
      </c>
      <c r="G7" s="5">
        <v>880</v>
      </c>
      <c r="H7" s="5">
        <v>1775</v>
      </c>
      <c r="I7" s="5">
        <v>29189</v>
      </c>
      <c r="J7" s="5">
        <v>2457</v>
      </c>
      <c r="K7" s="5">
        <v>31904</v>
      </c>
      <c r="L7" s="6">
        <f t="shared" ref="L7:L31" si="0">+SUM(C7:K7)</f>
        <v>627791</v>
      </c>
    </row>
    <row r="8" spans="1:13" x14ac:dyDescent="0.25">
      <c r="A8" s="3"/>
      <c r="B8" s="7" t="s">
        <v>15</v>
      </c>
      <c r="C8" s="8">
        <v>36327</v>
      </c>
      <c r="D8" s="8">
        <v>73604</v>
      </c>
      <c r="E8" s="8">
        <v>39249</v>
      </c>
      <c r="F8" s="8">
        <v>32710</v>
      </c>
      <c r="G8" s="8">
        <v>0</v>
      </c>
      <c r="H8" s="8">
        <v>1510</v>
      </c>
      <c r="I8" s="8">
        <v>19555</v>
      </c>
      <c r="J8" s="8">
        <v>4047</v>
      </c>
      <c r="K8" s="8">
        <v>7404</v>
      </c>
      <c r="L8" s="9">
        <f t="shared" si="0"/>
        <v>214406</v>
      </c>
    </row>
    <row r="9" spans="1:13" x14ac:dyDescent="0.25">
      <c r="A9" s="18" t="s">
        <v>41</v>
      </c>
      <c r="B9" s="7" t="s">
        <v>16</v>
      </c>
      <c r="C9" s="8">
        <v>44858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9">
        <f t="shared" si="0"/>
        <v>44858</v>
      </c>
    </row>
    <row r="10" spans="1:13" x14ac:dyDescent="0.25">
      <c r="A10" s="3"/>
      <c r="B10" s="7" t="s">
        <v>17</v>
      </c>
      <c r="C10" s="8">
        <v>16303</v>
      </c>
      <c r="D10" s="8">
        <v>36139</v>
      </c>
      <c r="E10" s="8">
        <v>11447</v>
      </c>
      <c r="F10" s="8">
        <v>9200</v>
      </c>
      <c r="G10" s="8">
        <v>962</v>
      </c>
      <c r="H10" s="8">
        <v>127</v>
      </c>
      <c r="I10" s="8">
        <v>805</v>
      </c>
      <c r="J10" s="8">
        <v>2119</v>
      </c>
      <c r="K10" s="8">
        <v>4155</v>
      </c>
      <c r="L10" s="9">
        <f t="shared" si="0"/>
        <v>81257</v>
      </c>
    </row>
    <row r="11" spans="1:13" x14ac:dyDescent="0.25">
      <c r="A11" s="3"/>
      <c r="B11" s="7" t="s">
        <v>18</v>
      </c>
      <c r="C11" s="8">
        <v>3771</v>
      </c>
      <c r="D11" s="8">
        <v>18549</v>
      </c>
      <c r="E11" s="8">
        <v>6712</v>
      </c>
      <c r="F11" s="8">
        <v>5738</v>
      </c>
      <c r="G11" s="8">
        <v>589</v>
      </c>
      <c r="H11" s="8">
        <v>72</v>
      </c>
      <c r="I11" s="8">
        <v>7661</v>
      </c>
      <c r="J11" s="8">
        <v>352</v>
      </c>
      <c r="K11" s="8">
        <v>1863</v>
      </c>
      <c r="L11" s="9">
        <f t="shared" si="0"/>
        <v>45307</v>
      </c>
    </row>
    <row r="12" spans="1:13" x14ac:dyDescent="0.25">
      <c r="A12" s="3"/>
      <c r="B12" s="7" t="s">
        <v>19</v>
      </c>
      <c r="C12" s="8">
        <v>17107</v>
      </c>
      <c r="D12" s="8">
        <v>59202</v>
      </c>
      <c r="E12" s="8">
        <v>13433</v>
      </c>
      <c r="F12" s="8">
        <v>26030</v>
      </c>
      <c r="G12" s="8">
        <v>306</v>
      </c>
      <c r="H12" s="8">
        <v>188</v>
      </c>
      <c r="I12" s="8">
        <v>1239</v>
      </c>
      <c r="J12" s="8">
        <v>1545</v>
      </c>
      <c r="K12" s="8">
        <v>8441</v>
      </c>
      <c r="L12" s="9">
        <f t="shared" si="0"/>
        <v>127491</v>
      </c>
    </row>
    <row r="13" spans="1:13" x14ac:dyDescent="0.25">
      <c r="A13" s="3"/>
      <c r="B13" s="7" t="s">
        <v>20</v>
      </c>
      <c r="C13" s="8">
        <v>6719</v>
      </c>
      <c r="D13" s="8">
        <v>29181</v>
      </c>
      <c r="E13" s="8">
        <v>7076</v>
      </c>
      <c r="F13" s="8">
        <v>9821</v>
      </c>
      <c r="G13" s="8">
        <v>352</v>
      </c>
      <c r="H13" s="8">
        <v>537</v>
      </c>
      <c r="I13" s="8">
        <v>91</v>
      </c>
      <c r="J13" s="8">
        <v>2723</v>
      </c>
      <c r="K13" s="8">
        <v>2704</v>
      </c>
      <c r="L13" s="9">
        <f t="shared" si="0"/>
        <v>59204</v>
      </c>
    </row>
    <row r="14" spans="1:13" x14ac:dyDescent="0.25">
      <c r="A14" s="3"/>
      <c r="B14" s="7" t="s">
        <v>21</v>
      </c>
      <c r="C14" s="8">
        <v>24551</v>
      </c>
      <c r="D14" s="8">
        <v>35289</v>
      </c>
      <c r="E14" s="8">
        <v>10313</v>
      </c>
      <c r="F14" s="8">
        <v>11886</v>
      </c>
      <c r="G14" s="8">
        <v>1777</v>
      </c>
      <c r="H14" s="8">
        <v>676</v>
      </c>
      <c r="I14" s="8">
        <v>359</v>
      </c>
      <c r="J14" s="8">
        <v>543</v>
      </c>
      <c r="K14" s="8">
        <v>2596</v>
      </c>
      <c r="L14" s="9">
        <f t="shared" si="0"/>
        <v>87990</v>
      </c>
    </row>
    <row r="15" spans="1:13" x14ac:dyDescent="0.25">
      <c r="A15" s="3"/>
      <c r="B15" s="7" t="s">
        <v>22</v>
      </c>
      <c r="C15" s="8">
        <v>9924</v>
      </c>
      <c r="D15" s="8">
        <v>14108.4</v>
      </c>
      <c r="E15" s="8">
        <v>6281</v>
      </c>
      <c r="F15" s="8">
        <v>6080</v>
      </c>
      <c r="G15" s="8">
        <v>362</v>
      </c>
      <c r="H15" s="8">
        <v>195</v>
      </c>
      <c r="I15" s="8">
        <v>511</v>
      </c>
      <c r="J15" s="8">
        <v>1425</v>
      </c>
      <c r="K15" s="8">
        <v>1816</v>
      </c>
      <c r="L15" s="9">
        <f t="shared" si="0"/>
        <v>40702.400000000001</v>
      </c>
    </row>
    <row r="16" spans="1:13" x14ac:dyDescent="0.25">
      <c r="A16" s="3"/>
      <c r="B16" s="7" t="s">
        <v>23</v>
      </c>
      <c r="C16" s="8">
        <v>13028</v>
      </c>
      <c r="D16" s="8">
        <v>24525</v>
      </c>
      <c r="E16" s="8">
        <v>12494</v>
      </c>
      <c r="F16" s="8">
        <v>8917</v>
      </c>
      <c r="G16" s="8">
        <v>488</v>
      </c>
      <c r="H16" s="8">
        <v>524</v>
      </c>
      <c r="I16" s="8">
        <v>1052</v>
      </c>
      <c r="J16" s="8">
        <v>998</v>
      </c>
      <c r="K16" s="8">
        <v>1869</v>
      </c>
      <c r="L16" s="9">
        <f t="shared" si="0"/>
        <v>63895</v>
      </c>
    </row>
    <row r="17" spans="1:12" x14ac:dyDescent="0.25">
      <c r="A17" s="10" t="s">
        <v>24</v>
      </c>
      <c r="B17" s="7" t="s">
        <v>25</v>
      </c>
      <c r="C17" s="8">
        <v>6939</v>
      </c>
      <c r="D17" s="8">
        <v>10921</v>
      </c>
      <c r="E17" s="8">
        <v>4307</v>
      </c>
      <c r="F17" s="8">
        <v>2817</v>
      </c>
      <c r="G17" s="8">
        <v>545</v>
      </c>
      <c r="H17" s="8">
        <v>316</v>
      </c>
      <c r="I17" s="8">
        <v>336</v>
      </c>
      <c r="J17" s="8">
        <v>422</v>
      </c>
      <c r="K17" s="8">
        <v>1341</v>
      </c>
      <c r="L17" s="9">
        <f t="shared" si="0"/>
        <v>27944</v>
      </c>
    </row>
    <row r="18" spans="1:12" x14ac:dyDescent="0.25">
      <c r="A18" s="3"/>
      <c r="B18" s="7" t="s">
        <v>26</v>
      </c>
      <c r="C18" s="8">
        <v>10970</v>
      </c>
      <c r="D18" s="8">
        <v>15509</v>
      </c>
      <c r="E18" s="8">
        <v>6371</v>
      </c>
      <c r="F18" s="8">
        <v>4350</v>
      </c>
      <c r="G18" s="8">
        <v>355</v>
      </c>
      <c r="H18" s="8">
        <v>1681</v>
      </c>
      <c r="I18" s="8">
        <v>694</v>
      </c>
      <c r="J18" s="8">
        <v>1043</v>
      </c>
      <c r="K18" s="8">
        <v>1157</v>
      </c>
      <c r="L18" s="9">
        <f t="shared" si="0"/>
        <v>42130</v>
      </c>
    </row>
    <row r="19" spans="1:12" x14ac:dyDescent="0.25">
      <c r="A19" s="3"/>
      <c r="B19" s="7" t="s">
        <v>27</v>
      </c>
      <c r="C19" s="8">
        <v>14408.516666666666</v>
      </c>
      <c r="D19" s="8">
        <v>40907.833333333328</v>
      </c>
      <c r="E19" s="8">
        <v>15363.076666666671</v>
      </c>
      <c r="F19" s="8">
        <v>12365.6333333333</v>
      </c>
      <c r="G19" s="8">
        <v>870.43333333333328</v>
      </c>
      <c r="H19" s="8">
        <v>330.66666666666663</v>
      </c>
      <c r="I19" s="8">
        <v>820.9666666666667</v>
      </c>
      <c r="J19" s="8">
        <v>1201</v>
      </c>
      <c r="K19" s="8">
        <v>5235.3</v>
      </c>
      <c r="L19" s="9">
        <f t="shared" si="0"/>
        <v>91503.426666666637</v>
      </c>
    </row>
    <row r="20" spans="1:12" x14ac:dyDescent="0.25">
      <c r="A20" s="3"/>
      <c r="B20" s="7" t="s">
        <v>28</v>
      </c>
      <c r="C20" s="8">
        <v>8224</v>
      </c>
      <c r="D20" s="8">
        <v>30302</v>
      </c>
      <c r="E20" s="8">
        <v>7670</v>
      </c>
      <c r="F20" s="8">
        <v>12458</v>
      </c>
      <c r="G20" s="8">
        <v>594</v>
      </c>
      <c r="H20" s="8">
        <v>211</v>
      </c>
      <c r="I20" s="8">
        <v>18</v>
      </c>
      <c r="J20" s="8">
        <v>1191</v>
      </c>
      <c r="K20" s="8">
        <v>4136</v>
      </c>
      <c r="L20" s="9">
        <f t="shared" si="0"/>
        <v>64804</v>
      </c>
    </row>
    <row r="21" spans="1:12" x14ac:dyDescent="0.25">
      <c r="A21" s="3"/>
      <c r="B21" s="7" t="s">
        <v>29</v>
      </c>
      <c r="C21" s="8">
        <v>3937</v>
      </c>
      <c r="D21" s="8">
        <v>25034</v>
      </c>
      <c r="E21" s="8">
        <v>10657</v>
      </c>
      <c r="F21" s="8">
        <v>6948</v>
      </c>
      <c r="G21" s="8">
        <v>520</v>
      </c>
      <c r="H21" s="8">
        <v>1883</v>
      </c>
      <c r="I21" s="8">
        <v>14359</v>
      </c>
      <c r="J21" s="8">
        <v>703</v>
      </c>
      <c r="K21" s="8">
        <v>2233</v>
      </c>
      <c r="L21" s="9">
        <f t="shared" si="0"/>
        <v>66274</v>
      </c>
    </row>
    <row r="22" spans="1:12" x14ac:dyDescent="0.25">
      <c r="A22" s="3"/>
      <c r="B22" s="7" t="s">
        <v>30</v>
      </c>
      <c r="C22" s="8">
        <v>11945</v>
      </c>
      <c r="D22" s="8">
        <v>26634</v>
      </c>
      <c r="E22" s="8">
        <v>7368</v>
      </c>
      <c r="F22" s="8">
        <v>8249</v>
      </c>
      <c r="G22" s="8">
        <v>407</v>
      </c>
      <c r="H22" s="8">
        <v>295</v>
      </c>
      <c r="I22" s="8">
        <v>375</v>
      </c>
      <c r="J22" s="8">
        <v>817</v>
      </c>
      <c r="K22" s="8">
        <v>2415</v>
      </c>
      <c r="L22" s="9">
        <f t="shared" si="0"/>
        <v>58505</v>
      </c>
    </row>
    <row r="23" spans="1:12" x14ac:dyDescent="0.25">
      <c r="A23" s="3"/>
      <c r="B23" s="7" t="s">
        <v>31</v>
      </c>
      <c r="C23" s="8">
        <v>10332</v>
      </c>
      <c r="D23" s="8">
        <v>29862</v>
      </c>
      <c r="E23" s="8">
        <v>8366</v>
      </c>
      <c r="F23" s="8">
        <v>14441</v>
      </c>
      <c r="G23" s="8">
        <v>567</v>
      </c>
      <c r="H23" s="8">
        <v>740</v>
      </c>
      <c r="I23" s="8">
        <v>133</v>
      </c>
      <c r="J23" s="8">
        <v>1179</v>
      </c>
      <c r="K23" s="8">
        <v>4047</v>
      </c>
      <c r="L23" s="9">
        <f t="shared" si="0"/>
        <v>69667</v>
      </c>
    </row>
    <row r="24" spans="1:12" x14ac:dyDescent="0.25">
      <c r="A24" s="3"/>
      <c r="B24" s="7" t="s">
        <v>32</v>
      </c>
      <c r="C24" s="8">
        <v>10431</v>
      </c>
      <c r="D24" s="8">
        <v>19317</v>
      </c>
      <c r="E24" s="8">
        <v>8641</v>
      </c>
      <c r="F24" s="8">
        <v>6668</v>
      </c>
      <c r="G24" s="8">
        <v>291</v>
      </c>
      <c r="H24" s="8">
        <v>570</v>
      </c>
      <c r="I24" s="8">
        <v>315</v>
      </c>
      <c r="J24" s="8">
        <v>317</v>
      </c>
      <c r="K24" s="8">
        <v>1526</v>
      </c>
      <c r="L24" s="9">
        <f t="shared" si="0"/>
        <v>48076</v>
      </c>
    </row>
    <row r="25" spans="1:12" x14ac:dyDescent="0.25">
      <c r="A25" s="10" t="s">
        <v>24</v>
      </c>
      <c r="B25" s="7" t="s">
        <v>33</v>
      </c>
      <c r="C25" s="8">
        <v>11359</v>
      </c>
      <c r="D25" s="8">
        <v>11614</v>
      </c>
      <c r="E25" s="8">
        <v>4648</v>
      </c>
      <c r="F25" s="8">
        <v>4409</v>
      </c>
      <c r="G25" s="8">
        <v>54</v>
      </c>
      <c r="H25" s="8">
        <v>908</v>
      </c>
      <c r="I25" s="8">
        <v>38</v>
      </c>
      <c r="J25" s="8">
        <v>205</v>
      </c>
      <c r="K25" s="8">
        <v>1398</v>
      </c>
      <c r="L25" s="9">
        <f t="shared" si="0"/>
        <v>34633</v>
      </c>
    </row>
    <row r="26" spans="1:12" x14ac:dyDescent="0.25">
      <c r="A26" s="3"/>
      <c r="B26" s="7" t="s">
        <v>34</v>
      </c>
      <c r="C26" s="8">
        <v>8225</v>
      </c>
      <c r="D26" s="8">
        <v>13061</v>
      </c>
      <c r="E26" s="8">
        <v>4036</v>
      </c>
      <c r="F26" s="8">
        <v>5797</v>
      </c>
      <c r="G26" s="8">
        <v>799</v>
      </c>
      <c r="H26" s="8">
        <v>839</v>
      </c>
      <c r="I26" s="8">
        <v>851</v>
      </c>
      <c r="J26" s="8">
        <v>739</v>
      </c>
      <c r="K26" s="8">
        <v>1361</v>
      </c>
      <c r="L26" s="9">
        <f t="shared" si="0"/>
        <v>35708</v>
      </c>
    </row>
    <row r="27" spans="1:12" x14ac:dyDescent="0.25">
      <c r="A27" s="3"/>
      <c r="B27" s="7" t="s">
        <v>35</v>
      </c>
      <c r="C27" s="8">
        <v>176636</v>
      </c>
      <c r="D27" s="8">
        <v>59401</v>
      </c>
      <c r="E27" s="8">
        <v>9725</v>
      </c>
      <c r="F27" s="8">
        <v>25249</v>
      </c>
      <c r="G27" s="8">
        <v>1199</v>
      </c>
      <c r="H27" s="8">
        <v>499</v>
      </c>
      <c r="I27" s="8">
        <v>1680</v>
      </c>
      <c r="J27" s="8">
        <v>1856</v>
      </c>
      <c r="K27" s="8">
        <v>4713</v>
      </c>
      <c r="L27" s="9">
        <f t="shared" si="0"/>
        <v>280958</v>
      </c>
    </row>
    <row r="28" spans="1:12" x14ac:dyDescent="0.25">
      <c r="A28" s="3"/>
      <c r="B28" s="7" t="s">
        <v>36</v>
      </c>
      <c r="C28" s="8">
        <v>13801</v>
      </c>
      <c r="D28" s="8">
        <v>25657</v>
      </c>
      <c r="E28" s="8">
        <v>6484</v>
      </c>
      <c r="F28" s="8">
        <v>8751</v>
      </c>
      <c r="G28" s="8">
        <v>825</v>
      </c>
      <c r="H28" s="8">
        <v>513</v>
      </c>
      <c r="I28" s="8">
        <v>3050</v>
      </c>
      <c r="J28" s="8">
        <v>372</v>
      </c>
      <c r="K28" s="8">
        <v>2822</v>
      </c>
      <c r="L28" s="9">
        <f t="shared" si="0"/>
        <v>62275</v>
      </c>
    </row>
    <row r="29" spans="1:12" x14ac:dyDescent="0.25">
      <c r="A29" s="3"/>
      <c r="B29" s="7" t="s">
        <v>37</v>
      </c>
      <c r="C29" s="8">
        <v>4678</v>
      </c>
      <c r="D29" s="8">
        <v>7724</v>
      </c>
      <c r="E29" s="8">
        <v>2545</v>
      </c>
      <c r="F29" s="8">
        <v>2300</v>
      </c>
      <c r="G29" s="8">
        <v>154</v>
      </c>
      <c r="H29" s="8">
        <v>352</v>
      </c>
      <c r="I29" s="8">
        <v>1120</v>
      </c>
      <c r="J29" s="8">
        <v>391</v>
      </c>
      <c r="K29" s="8">
        <v>745</v>
      </c>
      <c r="L29" s="9">
        <f t="shared" si="0"/>
        <v>20009</v>
      </c>
    </row>
    <row r="30" spans="1:12" x14ac:dyDescent="0.25">
      <c r="A30" s="3"/>
      <c r="B30" s="11" t="s">
        <v>38</v>
      </c>
      <c r="C30" s="12">
        <v>15093</v>
      </c>
      <c r="D30" s="12">
        <v>31082</v>
      </c>
      <c r="E30" s="12">
        <v>26744</v>
      </c>
      <c r="F30" s="12">
        <v>11472</v>
      </c>
      <c r="G30" s="12">
        <v>1252</v>
      </c>
      <c r="H30" s="12">
        <v>172</v>
      </c>
      <c r="I30" s="12">
        <v>1491</v>
      </c>
      <c r="J30" s="12">
        <v>5480</v>
      </c>
      <c r="K30" s="12">
        <v>4879</v>
      </c>
      <c r="L30" s="13">
        <f t="shared" si="0"/>
        <v>97665</v>
      </c>
    </row>
    <row r="31" spans="1:12" x14ac:dyDescent="0.25">
      <c r="A31" s="3"/>
      <c r="B31" s="31" t="s">
        <v>39</v>
      </c>
      <c r="C31" s="14">
        <f t="shared" ref="C31:K31" si="1">SUM(C7:C30)</f>
        <v>580567.5166666666</v>
      </c>
      <c r="D31" s="14">
        <f t="shared" si="1"/>
        <v>949110.2333333334</v>
      </c>
      <c r="E31" s="14">
        <f t="shared" si="1"/>
        <v>288610.07666666666</v>
      </c>
      <c r="F31" s="14">
        <f t="shared" si="1"/>
        <v>327074.6333333333</v>
      </c>
      <c r="G31" s="14">
        <f t="shared" si="1"/>
        <v>14148.433333333334</v>
      </c>
      <c r="H31" s="14">
        <f t="shared" si="1"/>
        <v>14913.666666666668</v>
      </c>
      <c r="I31" s="14">
        <f t="shared" si="1"/>
        <v>85742.966666666674</v>
      </c>
      <c r="J31" s="14">
        <f t="shared" si="1"/>
        <v>32125</v>
      </c>
      <c r="K31" s="14">
        <f t="shared" si="1"/>
        <v>100760.3</v>
      </c>
      <c r="L31" s="14">
        <f t="shared" si="0"/>
        <v>2393052.8266666662</v>
      </c>
    </row>
    <row r="32" spans="1:12" x14ac:dyDescent="0.25">
      <c r="A32" s="3"/>
      <c r="B32" s="15" t="s">
        <v>40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x14ac:dyDescent="0.25">
      <c r="A33" s="3"/>
      <c r="B33" s="15" t="s">
        <v>43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9" t="s">
        <v>42</v>
      </c>
    </row>
    <row r="35" spans="1:12" x14ac:dyDescent="0.25">
      <c r="B35" s="21" t="s">
        <v>44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</row>
  </sheetData>
  <mergeCells count="15">
    <mergeCell ref="A2:L2"/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35:L35"/>
    <mergeCell ref="I5:I6"/>
    <mergeCell ref="J5:J6"/>
    <mergeCell ref="K5:K6"/>
    <mergeCell ref="L5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2020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2026-09-22T15:43:26Z</dcterms:created>
  <dcterms:modified xsi:type="dcterms:W3CDTF">2026-10-06T21:15:46Z</dcterms:modified>
</cp:coreProperties>
</file>