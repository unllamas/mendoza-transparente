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NCFP\PERSONAL\VARIOS\SALIDAS\Cargos SPNF\"/>
    </mc:Choice>
  </mc:AlternateContent>
  <xr:revisionPtr revIDLastSave="0" documentId="13_ncr:1_{68F15617-C723-4C97-A439-5ECEB40A7138}" xr6:coauthVersionLast="47" xr6:coauthVersionMax="47" xr10:uidLastSave="{00000000-0000-0000-0000-000000000000}"/>
  <bookViews>
    <workbookView xWindow="-120" yWindow="-120" windowWidth="29040" windowHeight="15840" xr2:uid="{104381B2-7D94-4E54-822E-2C2F00B1E340}"/>
  </bookViews>
  <sheets>
    <sheet name="120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3" i="1" l="1"/>
  <c r="L28" i="1"/>
  <c r="L9" i="1"/>
  <c r="L21" i="1"/>
  <c r="L14" i="1"/>
  <c r="L26" i="1"/>
  <c r="L27" i="1"/>
  <c r="L18" i="1"/>
  <c r="L30" i="1"/>
  <c r="L19" i="1"/>
  <c r="L12" i="1"/>
  <c r="K31" i="1"/>
  <c r="L8" i="1"/>
  <c r="L20" i="1"/>
  <c r="L25" i="1"/>
  <c r="C31" i="1"/>
  <c r="L7" i="1"/>
  <c r="L15" i="1"/>
  <c r="L23" i="1"/>
  <c r="L16" i="1"/>
  <c r="D31" i="1"/>
  <c r="E31" i="1"/>
  <c r="L24" i="1"/>
  <c r="F31" i="1"/>
  <c r="G31" i="1"/>
  <c r="L17" i="1"/>
  <c r="L29" i="1"/>
  <c r="H31" i="1"/>
  <c r="L11" i="1"/>
  <c r="I31" i="1"/>
  <c r="L10" i="1"/>
  <c r="L22" i="1"/>
  <c r="J31" i="1"/>
  <c r="L31" i="1" l="1"/>
</calcChain>
</file>

<file path=xl/sharedStrings.xml><?xml version="1.0" encoding="utf-8"?>
<sst xmlns="http://schemas.openxmlformats.org/spreadsheetml/2006/main" count="47" uniqueCount="46">
  <si>
    <t>PLANTA DE LA ADMINISTRACIÓN PÚBLICA PROVINCIAL NO FINANCIERA POR ESCALAFÓN - 24 JURISDICCIONES</t>
  </si>
  <si>
    <t>Jurisdicción</t>
  </si>
  <si>
    <t>General</t>
  </si>
  <si>
    <t>Docente</t>
  </si>
  <si>
    <t>Salud</t>
  </si>
  <si>
    <t>Seguridad</t>
  </si>
  <si>
    <t>Vial</t>
  </si>
  <si>
    <t>Autoridades Superiores</t>
  </si>
  <si>
    <t>Resto</t>
  </si>
  <si>
    <t>Legislativo</t>
  </si>
  <si>
    <t>Justicia</t>
  </si>
  <si>
    <t>Total General</t>
  </si>
  <si>
    <t>Buenos Aires</t>
  </si>
  <si>
    <t>CABA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</si>
  <si>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</si>
  <si>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</si>
  <si>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</si>
  <si>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</si>
  <si>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</si>
  <si>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</si>
  <si>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</si>
  <si>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</si>
  <si>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(*)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</si>
  <si>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</si>
  <si>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</si>
  <si>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</si>
  <si>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</si>
  <si>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</si>
  <si>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</si>
  <si>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</si>
  <si>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</si>
  <si>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</si>
  <si>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</si>
  <si>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</si>
  <si>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</si>
  <si>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</si>
  <si>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</si>
  <si>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Total</t>
  </si>
  <si>
    <t>(*): Sólo cargos presupuestados para el ejercicio según ley de presupuesto anual. La Pampa no incluye cargos del ISS.</t>
  </si>
  <si>
    <t>Incluye contratos, becas y pasantías, y personal de programas.</t>
  </si>
  <si>
    <t>(**): Sólo cargos totales. Detalle no informado por la jurisdicción</t>
  </si>
  <si>
    <t>(1): Cargos Ocupados con y sin remuneración, informado por las jurisdicciones sin discriminar.</t>
  </si>
  <si>
    <t>A DICIEMBRE DE 2006</t>
  </si>
  <si>
    <r>
      <t>Nota</t>
    </r>
    <r>
      <rPr>
        <sz val="10"/>
        <rFont val="Roboto"/>
      </rPr>
      <t xml:space="preserve">: La información suministrada hasta 2016 cuantifica al Personal Ocupado en la Administración Pública No Financiera, según especificación del Anexo III, Art. 7° (Reglamentado por Decreto 1731/2004). A partir de los cambios metodológicos informados por el Consejo Federal de Responsabilidad Fiscal, de aplicación a partir de Diciembre 2017, la misma no es comparable con la información suministrada por las jurisdicciones a partir de 2017 y ejercicios posteriores. </t>
    </r>
  </si>
  <si>
    <r>
      <t>CARGOS OCUPADOS</t>
    </r>
    <r>
      <rPr>
        <vertAlign val="superscript"/>
        <sz val="11"/>
        <color theme="1"/>
        <rFont val="Roboto"/>
      </rPr>
      <t>(1)</t>
    </r>
    <r>
      <rPr>
        <sz val="11"/>
        <color theme="1"/>
        <rFont val="Roboto"/>
      </rPr>
      <t xml:space="preserve"> POR JURISDICCIÓN  - 24 JURISDICCIONES</t>
    </r>
  </si>
  <si>
    <r>
      <rPr>
        <b/>
        <sz val="11"/>
        <rFont val="Roboto"/>
      </rPr>
      <t>Fuente</t>
    </r>
    <r>
      <rPr>
        <sz val="11"/>
        <rFont val="Roboto"/>
      </rPr>
      <t>: Subsecretaría de Coordinación Fiscal Provincial, en base a datos informados por las jurisdicciones.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</si>
</sst>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3"/>
      <color theme="1"/>
      <name val="Roboto"/>
    </font>
    <font>
      <sz val="11"/>
      <color theme="1"/>
      <name val="Roboto"/>
    </font>
    <font>
      <b/>
      <sz val="10"/>
      <name val="Roboto"/>
    </font>
    <font>
      <sz val="10"/>
      <name val="Roboto"/>
    </font>
    <font>
      <sz val="10"/>
      <color theme="1"/>
      <name val="Roboto"/>
    </font>
    <font>
      <sz val="11"/>
      <name val="Roboto"/>
    </font>
    <font>
      <b/>
      <sz val="11"/>
      <color theme="1"/>
      <name val="Roboto"/>
    </font>
    <font>
      <b/>
      <sz val="11"/>
      <name val="Roboto"/>
    </font>
    <font>
      <b/>
      <sz val="12"/>
      <color theme="1"/>
      <name val="Roboto"/>
    </font>
    <font>
      <vertAlign val="superscript"/>
      <sz val="11"/>
      <color theme="1"/>
      <name val="Roboto"/>
    </font>
    <font>
      <b/>
      <sz val="10"/>
      <color theme="0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242C4F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32">
    <xf numFmtId="0" fontId="0" fillId="0" borderId="0" xfId="0"/>
    <xf numFmtId="0" fontId="6" fillId="0" borderId="1" xfId="0" applyFont="1" applyBorder="1" applyAlignment="1">
      <alignment horizontal="left" vertical="center"/>
    </xf>
    <xf numFmtId="164" fontId="6" fillId="0" borderId="1" xfId="1" applyNumberFormat="1" applyFont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0" fontId="6" fillId="0" borderId="3" xfId="0" applyFont="1" applyBorder="1" applyAlignment="1">
      <alignment horizontal="left" vertical="center"/>
    </xf>
    <xf numFmtId="164" fontId="6" fillId="0" borderId="3" xfId="1" applyNumberFormat="1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2" xfId="0" applyFont="1" applyBorder="1" applyAlignment="1">
      <alignment horizontal="left" vertical="center"/>
    </xf>
    <xf numFmtId="164" fontId="6" fillId="0" borderId="2" xfId="1" applyNumberFormat="1" applyFont="1" applyBorder="1" applyAlignment="1">
      <alignment vertical="center"/>
    </xf>
    <xf numFmtId="164" fontId="5" fillId="0" borderId="2" xfId="0" applyNumberFormat="1" applyFont="1" applyBorder="1" applyAlignment="1">
      <alignment vertical="center"/>
    </xf>
    <xf numFmtId="164" fontId="5" fillId="0" borderId="4" xfId="0" applyNumberFormat="1" applyFont="1" applyBorder="1" applyAlignment="1">
      <alignment vertical="center"/>
    </xf>
    <xf numFmtId="0" fontId="7" fillId="0" borderId="0" xfId="0" quotePrefix="1" applyFont="1" applyAlignment="1">
      <alignment vertical="center"/>
    </xf>
    <xf numFmtId="0" fontId="8" fillId="0" borderId="0" xfId="2" applyFont="1"/>
    <xf numFmtId="0" fontId="4" fillId="0" borderId="0" xfId="0" applyFont="1"/>
    <xf numFmtId="0" fontId="4" fillId="0" borderId="0" xfId="0" applyFont="1" applyAlignment="1">
      <alignment horizontal="right" vertical="center"/>
    </xf>
    <xf numFmtId="0" fontId="8" fillId="0" borderId="0" xfId="0" quotePrefix="1" applyFont="1" applyAlignment="1">
      <alignment horizontal="right" vertical="center"/>
    </xf>
    <xf numFmtId="0" fontId="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2" applyFont="1"/>
    <xf numFmtId="0" fontId="6" fillId="0" borderId="0" xfId="2" applyFont="1"/>
    <xf numFmtId="164" fontId="6" fillId="2" borderId="3" xfId="1" applyNumberFormat="1" applyFont="1" applyFill="1" applyBorder="1" applyAlignment="1">
      <alignment vertical="center"/>
    </xf>
    <xf numFmtId="0" fontId="5" fillId="0" borderId="0" xfId="2" applyFont="1" applyAlignment="1">
      <alignment horizontal="left" vertical="center" wrapText="1"/>
    </xf>
    <xf numFmtId="0" fontId="6" fillId="0" borderId="0" xfId="2" applyFont="1" applyAlignment="1">
      <alignment horizontal="left" vertical="center" wrapText="1"/>
    </xf>
    <xf numFmtId="0" fontId="8" fillId="0" borderId="0" xfId="2" applyFont="1" applyAlignment="1">
      <alignment horizontal="left"/>
    </xf>
    <xf numFmtId="2" fontId="6" fillId="0" borderId="5" xfId="0" quotePrefix="1" applyNumberFormat="1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top"/>
    </xf>
    <xf numFmtId="2" fontId="13" fillId="3" borderId="7" xfId="0" applyNumberFormat="1" applyFont="1" applyFill="1" applyBorder="1" applyAlignment="1">
      <alignment horizontal="center" vertical="center" wrapText="1"/>
    </xf>
    <xf numFmtId="2" fontId="13" fillId="3" borderId="8" xfId="0" applyNumberFormat="1" applyFont="1" applyFill="1" applyBorder="1" applyAlignment="1">
      <alignment horizontal="center" vertical="center" wrapText="1"/>
    </xf>
    <xf numFmtId="2" fontId="13" fillId="3" borderId="9" xfId="0" applyNumberFormat="1" applyFont="1" applyFill="1" applyBorder="1" applyAlignment="1">
      <alignment horizontal="left" vertical="center" wrapText="1"/>
    </xf>
  </cellXfs>
  <cellStyles count="3">
    <cellStyle name="Millares" xfId="1" builtinId="3"/>
    <cellStyle name="Normal" xfId="0" builtinId="0"/>
    <cellStyle name="Normal 2" xfId="2" xr:uid="{6CB7E954-1178-4C6E-85E9-F8776CA2F8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485775</xdr:colOff>
      <xdr:row>3</xdr:row>
      <xdr:rowOff>9252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4A12C40-796C-4C94-B8AD-DB699E6F9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637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B1063-1A3A-4C4C-BB67-B84459A5D0EE}">
  <dimension ref="A2:M39"/>
  <sheetViews>
    <sheetView tabSelected="1" workbookViewId="0">
      <selection activeCell="M6" sqref="M6"/>
    </sheetView>
  </sheetViews>
  <sheetFormatPr baseColWidth="10" defaultRowHeight="15" x14ac:dyDescent="0.25"/>
  <cols>
    <col min="1" max="1" width="4.7109375" style="12" customWidth="1"/>
    <col min="2" max="2" width="20.5703125" style="12" customWidth="1"/>
    <col min="3" max="11" width="11.42578125" style="12"/>
    <col min="12" max="12" width="11.42578125" style="18"/>
    <col min="13" max="13" width="11.42578125" style="12"/>
    <col min="14" max="16384" width="11.42578125" style="13"/>
  </cols>
  <sheetData>
    <row r="2" spans="1:12" ht="16.5" x14ac:dyDescent="0.25">
      <c r="A2" s="25"/>
      <c r="B2" s="26" t="s">
        <v>0</v>
      </c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 ht="15.75" customHeight="1" x14ac:dyDescent="0.25">
      <c r="A3" s="14"/>
      <c r="B3" s="27" t="s">
        <v>44</v>
      </c>
      <c r="C3" s="27"/>
      <c r="D3" s="27"/>
      <c r="E3" s="27"/>
      <c r="F3" s="27"/>
      <c r="G3" s="27"/>
      <c r="H3" s="27"/>
      <c r="I3" s="27"/>
      <c r="J3" s="27"/>
      <c r="K3" s="27"/>
      <c r="L3" s="27"/>
    </row>
    <row r="4" spans="1:12" x14ac:dyDescent="0.25">
      <c r="A4" s="14"/>
      <c r="B4" s="28" t="s">
        <v>42</v>
      </c>
      <c r="C4" s="28"/>
      <c r="D4" s="28"/>
      <c r="E4" s="28"/>
      <c r="F4" s="28"/>
      <c r="G4" s="28"/>
      <c r="H4" s="28"/>
      <c r="I4" s="28"/>
      <c r="J4" s="28"/>
      <c r="K4" s="28"/>
      <c r="L4" s="28"/>
    </row>
    <row r="5" spans="1:12" ht="15" customHeight="1" x14ac:dyDescent="0.25">
      <c r="A5" s="14"/>
      <c r="B5" s="29" t="s">
        <v>1</v>
      </c>
      <c r="C5" s="29" t="s">
        <v>2</v>
      </c>
      <c r="D5" s="29" t="s">
        <v>3</v>
      </c>
      <c r="E5" s="29" t="s">
        <v>4</v>
      </c>
      <c r="F5" s="29" t="s">
        <v>5</v>
      </c>
      <c r="G5" s="29" t="s">
        <v>6</v>
      </c>
      <c r="H5" s="29" t="s">
        <v>7</v>
      </c>
      <c r="I5" s="29" t="s">
        <v>8</v>
      </c>
      <c r="J5" s="29" t="s">
        <v>9</v>
      </c>
      <c r="K5" s="29" t="s">
        <v>10</v>
      </c>
      <c r="L5" s="29" t="s">
        <v>11</v>
      </c>
    </row>
    <row r="6" spans="1:12" x14ac:dyDescent="0.25">
      <c r="A6" s="14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</row>
    <row r="7" spans="1:12" x14ac:dyDescent="0.25">
      <c r="A7" s="14"/>
      <c r="B7" s="1" t="s">
        <v>12</v>
      </c>
      <c r="C7" s="2">
        <v>105757</v>
      </c>
      <c r="D7" s="2">
        <v>275138</v>
      </c>
      <c r="E7" s="2">
        <v>10543</v>
      </c>
      <c r="F7" s="2">
        <v>68897</v>
      </c>
      <c r="G7" s="2">
        <v>1499</v>
      </c>
      <c r="H7" s="2">
        <v>163</v>
      </c>
      <c r="I7" s="2">
        <v>8389</v>
      </c>
      <c r="J7" s="2">
        <v>5205</v>
      </c>
      <c r="K7" s="2">
        <v>17186</v>
      </c>
      <c r="L7" s="3">
        <f t="shared" ref="L7:L31" si="0">+SUM(C7:K7)</f>
        <v>492777</v>
      </c>
    </row>
    <row r="8" spans="1:12" x14ac:dyDescent="0.25">
      <c r="A8" s="14"/>
      <c r="B8" s="4" t="s">
        <v>13</v>
      </c>
      <c r="C8" s="5">
        <v>30453</v>
      </c>
      <c r="D8" s="5">
        <v>55214</v>
      </c>
      <c r="E8" s="5">
        <v>26518</v>
      </c>
      <c r="F8" s="5">
        <v>0</v>
      </c>
      <c r="G8" s="5">
        <v>0</v>
      </c>
      <c r="H8" s="5">
        <v>575</v>
      </c>
      <c r="I8" s="5">
        <v>16307</v>
      </c>
      <c r="J8" s="5">
        <v>0</v>
      </c>
      <c r="K8" s="5">
        <v>0</v>
      </c>
      <c r="L8" s="6">
        <f t="shared" si="0"/>
        <v>129067</v>
      </c>
    </row>
    <row r="9" spans="1:12" x14ac:dyDescent="0.25">
      <c r="A9" s="14"/>
      <c r="B9" s="4" t="s">
        <v>14</v>
      </c>
      <c r="C9" s="5">
        <v>6664</v>
      </c>
      <c r="D9" s="5">
        <v>11068</v>
      </c>
      <c r="E9" s="5">
        <v>4511</v>
      </c>
      <c r="F9" s="5">
        <v>2885</v>
      </c>
      <c r="G9" s="5">
        <v>1381</v>
      </c>
      <c r="H9" s="5">
        <v>569</v>
      </c>
      <c r="I9" s="5">
        <v>641</v>
      </c>
      <c r="J9" s="5">
        <v>947</v>
      </c>
      <c r="K9" s="5">
        <v>1281</v>
      </c>
      <c r="L9" s="6">
        <f t="shared" si="0"/>
        <v>29947</v>
      </c>
    </row>
    <row r="10" spans="1:12" x14ac:dyDescent="0.25">
      <c r="A10" s="14"/>
      <c r="B10" s="4" t="s">
        <v>15</v>
      </c>
      <c r="C10" s="5">
        <v>7320</v>
      </c>
      <c r="D10" s="5">
        <v>24959</v>
      </c>
      <c r="E10" s="5">
        <v>5198</v>
      </c>
      <c r="F10" s="5">
        <v>4585</v>
      </c>
      <c r="G10" s="5">
        <v>568</v>
      </c>
      <c r="H10" s="5">
        <v>119</v>
      </c>
      <c r="I10" s="5">
        <v>422</v>
      </c>
      <c r="J10" s="5">
        <v>1117</v>
      </c>
      <c r="K10" s="5">
        <v>2397</v>
      </c>
      <c r="L10" s="6">
        <f t="shared" si="0"/>
        <v>46685</v>
      </c>
    </row>
    <row r="11" spans="1:12" x14ac:dyDescent="0.25">
      <c r="A11" s="14"/>
      <c r="B11" s="4" t="s">
        <v>16</v>
      </c>
      <c r="C11" s="5">
        <v>5153</v>
      </c>
      <c r="D11" s="5">
        <v>12575</v>
      </c>
      <c r="E11" s="5">
        <v>3155</v>
      </c>
      <c r="F11" s="5">
        <v>3736</v>
      </c>
      <c r="G11" s="5">
        <v>716</v>
      </c>
      <c r="H11" s="5">
        <v>53</v>
      </c>
      <c r="I11" s="5">
        <v>1047</v>
      </c>
      <c r="J11" s="5">
        <v>204</v>
      </c>
      <c r="K11" s="5">
        <v>1169</v>
      </c>
      <c r="L11" s="6">
        <f t="shared" si="0"/>
        <v>27808</v>
      </c>
    </row>
    <row r="12" spans="1:12" x14ac:dyDescent="0.25">
      <c r="A12" s="14"/>
      <c r="B12" s="4" t="s">
        <v>17</v>
      </c>
      <c r="C12" s="5">
        <v>18520</v>
      </c>
      <c r="D12" s="5">
        <v>43682</v>
      </c>
      <c r="E12" s="5">
        <v>8254</v>
      </c>
      <c r="F12" s="5">
        <v>16699</v>
      </c>
      <c r="G12" s="5">
        <v>263</v>
      </c>
      <c r="H12" s="5">
        <v>101</v>
      </c>
      <c r="I12" s="5">
        <v>833</v>
      </c>
      <c r="J12" s="5">
        <v>1115</v>
      </c>
      <c r="K12" s="5">
        <v>5086</v>
      </c>
      <c r="L12" s="6">
        <f t="shared" si="0"/>
        <v>94553</v>
      </c>
    </row>
    <row r="13" spans="1:12" x14ac:dyDescent="0.25">
      <c r="A13" s="14"/>
      <c r="B13" s="4" t="s">
        <v>18</v>
      </c>
      <c r="C13" s="5">
        <v>7110</v>
      </c>
      <c r="D13" s="5">
        <v>27581</v>
      </c>
      <c r="E13" s="5">
        <v>6295</v>
      </c>
      <c r="F13" s="5">
        <v>5276</v>
      </c>
      <c r="G13" s="5">
        <v>613</v>
      </c>
      <c r="H13" s="5">
        <v>154</v>
      </c>
      <c r="I13" s="5">
        <v>311</v>
      </c>
      <c r="J13" s="5">
        <v>1399</v>
      </c>
      <c r="K13" s="5">
        <v>1809</v>
      </c>
      <c r="L13" s="6">
        <f t="shared" si="0"/>
        <v>50548</v>
      </c>
    </row>
    <row r="14" spans="1:12" x14ac:dyDescent="0.25">
      <c r="A14" s="14"/>
      <c r="B14" s="4" t="s">
        <v>19</v>
      </c>
      <c r="C14" s="5">
        <v>18300</v>
      </c>
      <c r="D14" s="5">
        <v>27931</v>
      </c>
      <c r="E14" s="5">
        <v>6883</v>
      </c>
      <c r="F14" s="5">
        <v>9882</v>
      </c>
      <c r="G14" s="5">
        <v>1537</v>
      </c>
      <c r="H14" s="5">
        <v>410</v>
      </c>
      <c r="I14" s="5">
        <v>169</v>
      </c>
      <c r="J14" s="5">
        <v>356</v>
      </c>
      <c r="K14" s="5">
        <v>1640</v>
      </c>
      <c r="L14" s="6">
        <f t="shared" si="0"/>
        <v>67108</v>
      </c>
    </row>
    <row r="15" spans="1:12" x14ac:dyDescent="0.25">
      <c r="A15" s="14"/>
      <c r="B15" s="4" t="s">
        <v>20</v>
      </c>
      <c r="C15" s="5">
        <v>10691</v>
      </c>
      <c r="D15" s="5">
        <v>14355</v>
      </c>
      <c r="E15" s="5">
        <v>4402</v>
      </c>
      <c r="F15" s="5">
        <v>3434</v>
      </c>
      <c r="G15" s="5">
        <v>663</v>
      </c>
      <c r="H15" s="5">
        <v>388</v>
      </c>
      <c r="I15" s="5">
        <v>170</v>
      </c>
      <c r="J15" s="5">
        <v>2204</v>
      </c>
      <c r="K15" s="5">
        <v>1200</v>
      </c>
      <c r="L15" s="6">
        <f t="shared" si="0"/>
        <v>37507</v>
      </c>
    </row>
    <row r="16" spans="1:12" x14ac:dyDescent="0.25">
      <c r="A16" s="14"/>
      <c r="B16" s="4" t="s">
        <v>21</v>
      </c>
      <c r="C16" s="5">
        <v>5534</v>
      </c>
      <c r="D16" s="5">
        <v>18325</v>
      </c>
      <c r="E16" s="5">
        <v>6061</v>
      </c>
      <c r="F16" s="5">
        <v>5022</v>
      </c>
      <c r="G16" s="5">
        <v>406</v>
      </c>
      <c r="H16" s="5">
        <v>176</v>
      </c>
      <c r="I16" s="5">
        <v>1141</v>
      </c>
      <c r="J16" s="5">
        <v>921</v>
      </c>
      <c r="K16" s="5">
        <v>929</v>
      </c>
      <c r="L16" s="6">
        <f t="shared" si="0"/>
        <v>38515</v>
      </c>
    </row>
    <row r="17" spans="1:12" x14ac:dyDescent="0.25">
      <c r="A17" s="15" t="s">
        <v>22</v>
      </c>
      <c r="B17" s="4" t="s">
        <v>23</v>
      </c>
      <c r="C17" s="5">
        <v>4129</v>
      </c>
      <c r="D17" s="5">
        <v>7770</v>
      </c>
      <c r="E17" s="5">
        <v>2690</v>
      </c>
      <c r="F17" s="5">
        <v>1939</v>
      </c>
      <c r="G17" s="5">
        <v>571</v>
      </c>
      <c r="H17" s="5">
        <v>89</v>
      </c>
      <c r="I17" s="5">
        <v>332</v>
      </c>
      <c r="J17" s="5">
        <v>205</v>
      </c>
      <c r="K17" s="5">
        <v>899</v>
      </c>
      <c r="L17" s="6">
        <f t="shared" si="0"/>
        <v>18624</v>
      </c>
    </row>
    <row r="18" spans="1:12" x14ac:dyDescent="0.25">
      <c r="A18" s="14"/>
      <c r="B18" s="4" t="s">
        <v>24</v>
      </c>
      <c r="C18" s="5">
        <v>6264</v>
      </c>
      <c r="D18" s="5">
        <v>10052</v>
      </c>
      <c r="E18" s="5">
        <v>3677</v>
      </c>
      <c r="F18" s="5">
        <v>2892</v>
      </c>
      <c r="G18" s="5">
        <v>543</v>
      </c>
      <c r="H18" s="5">
        <v>159</v>
      </c>
      <c r="I18" s="5">
        <v>633</v>
      </c>
      <c r="J18" s="5">
        <v>430</v>
      </c>
      <c r="K18" s="5">
        <v>777</v>
      </c>
      <c r="L18" s="6">
        <f t="shared" si="0"/>
        <v>25427</v>
      </c>
    </row>
    <row r="19" spans="1:12" x14ac:dyDescent="0.25">
      <c r="A19" s="14"/>
      <c r="B19" s="4" t="s">
        <v>25</v>
      </c>
      <c r="C19" s="5">
        <v>10935</v>
      </c>
      <c r="D19" s="5">
        <v>32932</v>
      </c>
      <c r="E19" s="5">
        <v>13701</v>
      </c>
      <c r="F19" s="5">
        <v>8516</v>
      </c>
      <c r="G19" s="5">
        <v>1334</v>
      </c>
      <c r="H19" s="5">
        <v>303</v>
      </c>
      <c r="I19" s="5">
        <v>1299</v>
      </c>
      <c r="J19" s="5">
        <v>415</v>
      </c>
      <c r="K19" s="5">
        <v>3625</v>
      </c>
      <c r="L19" s="6">
        <f t="shared" si="0"/>
        <v>73060</v>
      </c>
    </row>
    <row r="20" spans="1:12" x14ac:dyDescent="0.25">
      <c r="A20" s="14"/>
      <c r="B20" s="4" t="s">
        <v>26</v>
      </c>
      <c r="C20" s="5">
        <v>8183</v>
      </c>
      <c r="D20" s="5">
        <v>22541</v>
      </c>
      <c r="E20" s="5">
        <v>2029</v>
      </c>
      <c r="F20" s="5">
        <v>5335</v>
      </c>
      <c r="G20" s="5">
        <v>558</v>
      </c>
      <c r="H20" s="5">
        <v>264</v>
      </c>
      <c r="I20" s="5">
        <v>311</v>
      </c>
      <c r="J20" s="5">
        <v>1021</v>
      </c>
      <c r="K20" s="5">
        <v>1747</v>
      </c>
      <c r="L20" s="6">
        <f t="shared" si="0"/>
        <v>41989</v>
      </c>
    </row>
    <row r="21" spans="1:12" x14ac:dyDescent="0.25">
      <c r="A21" s="14"/>
      <c r="B21" s="4" t="s">
        <v>27</v>
      </c>
      <c r="C21" s="5">
        <v>9958</v>
      </c>
      <c r="D21" s="5">
        <v>21279</v>
      </c>
      <c r="E21" s="5">
        <v>6074</v>
      </c>
      <c r="F21" s="5">
        <v>5172</v>
      </c>
      <c r="G21" s="5">
        <v>730</v>
      </c>
      <c r="H21" s="5">
        <v>146</v>
      </c>
      <c r="I21" s="5">
        <v>187</v>
      </c>
      <c r="J21" s="5">
        <v>439</v>
      </c>
      <c r="K21" s="5">
        <v>1425</v>
      </c>
      <c r="L21" s="6">
        <f t="shared" si="0"/>
        <v>45410</v>
      </c>
    </row>
    <row r="22" spans="1:12" x14ac:dyDescent="0.25">
      <c r="A22" s="14"/>
      <c r="B22" s="4" t="s">
        <v>28</v>
      </c>
      <c r="C22" s="5">
        <v>7559</v>
      </c>
      <c r="D22" s="5">
        <v>18413</v>
      </c>
      <c r="E22" s="5">
        <v>5157</v>
      </c>
      <c r="F22" s="5">
        <v>4526</v>
      </c>
      <c r="G22" s="5">
        <v>0</v>
      </c>
      <c r="H22" s="5">
        <v>355</v>
      </c>
      <c r="I22" s="5">
        <v>261</v>
      </c>
      <c r="J22" s="5">
        <v>842</v>
      </c>
      <c r="K22" s="5">
        <v>1251</v>
      </c>
      <c r="L22" s="6">
        <f t="shared" si="0"/>
        <v>38364</v>
      </c>
    </row>
    <row r="23" spans="1:12" x14ac:dyDescent="0.25">
      <c r="A23" s="14"/>
      <c r="B23" s="4" t="s">
        <v>29</v>
      </c>
      <c r="C23" s="5">
        <v>5706</v>
      </c>
      <c r="D23" s="5">
        <v>20916</v>
      </c>
      <c r="E23" s="5">
        <v>8158</v>
      </c>
      <c r="F23" s="5">
        <v>7897</v>
      </c>
      <c r="G23" s="5">
        <v>388</v>
      </c>
      <c r="H23" s="5">
        <v>275</v>
      </c>
      <c r="I23" s="5">
        <v>29</v>
      </c>
      <c r="J23" s="5">
        <v>911</v>
      </c>
      <c r="K23" s="5">
        <v>2317</v>
      </c>
      <c r="L23" s="6">
        <f t="shared" si="0"/>
        <v>46597</v>
      </c>
    </row>
    <row r="24" spans="1:12" x14ac:dyDescent="0.25">
      <c r="A24" s="14"/>
      <c r="B24" s="4" t="s">
        <v>30</v>
      </c>
      <c r="C24" s="5">
        <v>7287</v>
      </c>
      <c r="D24" s="5">
        <v>12858</v>
      </c>
      <c r="E24" s="5">
        <v>4623</v>
      </c>
      <c r="F24" s="5">
        <v>3346</v>
      </c>
      <c r="G24" s="5">
        <v>342</v>
      </c>
      <c r="H24" s="5">
        <v>412</v>
      </c>
      <c r="I24" s="5">
        <v>247</v>
      </c>
      <c r="J24" s="5">
        <v>411</v>
      </c>
      <c r="K24" s="5">
        <v>920</v>
      </c>
      <c r="L24" s="6">
        <f t="shared" si="0"/>
        <v>30446</v>
      </c>
    </row>
    <row r="25" spans="1:12" x14ac:dyDescent="0.25">
      <c r="A25" s="15" t="s">
        <v>22</v>
      </c>
      <c r="B25" s="4" t="s">
        <v>31</v>
      </c>
      <c r="C25" s="5">
        <v>16948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6">
        <f t="shared" si="0"/>
        <v>16948</v>
      </c>
    </row>
    <row r="26" spans="1:12" x14ac:dyDescent="0.25">
      <c r="A26" s="14"/>
      <c r="B26" s="4" t="s">
        <v>32</v>
      </c>
      <c r="C26" s="5">
        <v>7666</v>
      </c>
      <c r="D26" s="5">
        <v>6666</v>
      </c>
      <c r="E26" s="5">
        <v>1905</v>
      </c>
      <c r="F26" s="5">
        <v>2586</v>
      </c>
      <c r="G26" s="5">
        <v>747</v>
      </c>
      <c r="H26" s="5">
        <v>71</v>
      </c>
      <c r="I26" s="5">
        <v>0</v>
      </c>
      <c r="J26" s="5">
        <v>533</v>
      </c>
      <c r="K26" s="5">
        <v>742</v>
      </c>
      <c r="L26" s="6">
        <f t="shared" si="0"/>
        <v>20916</v>
      </c>
    </row>
    <row r="27" spans="1:12" x14ac:dyDescent="0.25">
      <c r="A27" s="14"/>
      <c r="B27" s="4" t="s">
        <v>33</v>
      </c>
      <c r="C27" s="5">
        <v>26945</v>
      </c>
      <c r="D27" s="5">
        <v>46533</v>
      </c>
      <c r="E27" s="5">
        <v>3690</v>
      </c>
      <c r="F27" s="5">
        <v>17427</v>
      </c>
      <c r="G27" s="5">
        <v>1078</v>
      </c>
      <c r="H27" s="5">
        <v>335</v>
      </c>
      <c r="I27" s="5">
        <v>2705</v>
      </c>
      <c r="J27" s="5">
        <v>958</v>
      </c>
      <c r="K27" s="5">
        <v>3030</v>
      </c>
      <c r="L27" s="6">
        <f t="shared" si="0"/>
        <v>102701</v>
      </c>
    </row>
    <row r="28" spans="1:12" x14ac:dyDescent="0.25">
      <c r="A28" s="14"/>
      <c r="B28" s="4" t="s">
        <v>34</v>
      </c>
      <c r="C28" s="5">
        <v>11208</v>
      </c>
      <c r="D28" s="5">
        <v>17962</v>
      </c>
      <c r="E28" s="5">
        <v>3741</v>
      </c>
      <c r="F28" s="5">
        <v>5077</v>
      </c>
      <c r="G28" s="5">
        <v>1019</v>
      </c>
      <c r="H28" s="5">
        <v>276</v>
      </c>
      <c r="I28" s="5">
        <v>6365</v>
      </c>
      <c r="J28" s="5">
        <v>328</v>
      </c>
      <c r="K28" s="5">
        <v>1324</v>
      </c>
      <c r="L28" s="6">
        <f t="shared" si="0"/>
        <v>47300</v>
      </c>
    </row>
    <row r="29" spans="1:12" x14ac:dyDescent="0.25">
      <c r="A29" s="14"/>
      <c r="B29" s="4" t="s">
        <v>35</v>
      </c>
      <c r="C29" s="5">
        <v>5106</v>
      </c>
      <c r="D29" s="5">
        <v>5161</v>
      </c>
      <c r="E29" s="5">
        <v>1754</v>
      </c>
      <c r="F29" s="5">
        <v>1157</v>
      </c>
      <c r="G29" s="5">
        <v>95</v>
      </c>
      <c r="H29" s="5">
        <v>70</v>
      </c>
      <c r="I29" s="5">
        <v>345</v>
      </c>
      <c r="J29" s="5">
        <v>130</v>
      </c>
      <c r="K29" s="5">
        <v>356</v>
      </c>
      <c r="L29" s="6">
        <f t="shared" si="0"/>
        <v>14174</v>
      </c>
    </row>
    <row r="30" spans="1:12" x14ac:dyDescent="0.25">
      <c r="A30" s="14"/>
      <c r="B30" s="7" t="s">
        <v>36</v>
      </c>
      <c r="C30" s="8">
        <v>11847</v>
      </c>
      <c r="D30" s="8">
        <v>24737</v>
      </c>
      <c r="E30" s="8">
        <v>9694</v>
      </c>
      <c r="F30" s="8">
        <v>8037</v>
      </c>
      <c r="G30" s="8">
        <v>1470</v>
      </c>
      <c r="H30" s="8">
        <v>110</v>
      </c>
      <c r="I30" s="8">
        <v>1295</v>
      </c>
      <c r="J30" s="8">
        <v>7775</v>
      </c>
      <c r="K30" s="8">
        <v>2290</v>
      </c>
      <c r="L30" s="9">
        <f t="shared" si="0"/>
        <v>67255</v>
      </c>
    </row>
    <row r="31" spans="1:12" x14ac:dyDescent="0.25">
      <c r="A31" s="14"/>
      <c r="B31" s="31" t="s">
        <v>37</v>
      </c>
      <c r="C31" s="10">
        <f t="shared" ref="C31:K31" si="1">SUM(C7:C30)</f>
        <v>355243</v>
      </c>
      <c r="D31" s="10">
        <f t="shared" si="1"/>
        <v>758648</v>
      </c>
      <c r="E31" s="10">
        <f t="shared" si="1"/>
        <v>148713</v>
      </c>
      <c r="F31" s="10">
        <f t="shared" si="1"/>
        <v>194323</v>
      </c>
      <c r="G31" s="10">
        <f t="shared" si="1"/>
        <v>16521</v>
      </c>
      <c r="H31" s="10">
        <f t="shared" si="1"/>
        <v>5573</v>
      </c>
      <c r="I31" s="10">
        <f t="shared" si="1"/>
        <v>43439</v>
      </c>
      <c r="J31" s="10">
        <f t="shared" si="1"/>
        <v>27866</v>
      </c>
      <c r="K31" s="10">
        <f t="shared" si="1"/>
        <v>53400</v>
      </c>
      <c r="L31" s="10">
        <f t="shared" si="0"/>
        <v>1603726</v>
      </c>
    </row>
    <row r="32" spans="1:12" x14ac:dyDescent="0.25">
      <c r="A32" s="14"/>
      <c r="B32" s="24" t="s">
        <v>41</v>
      </c>
      <c r="C32" s="24"/>
      <c r="D32" s="24"/>
      <c r="E32" s="24"/>
      <c r="F32" s="24"/>
      <c r="G32" s="24"/>
      <c r="H32" s="24"/>
      <c r="I32" s="24"/>
      <c r="J32" s="24"/>
      <c r="K32" s="24"/>
      <c r="L32" s="24"/>
    </row>
    <row r="33" spans="1:12" x14ac:dyDescent="0.25">
      <c r="A33" s="14"/>
      <c r="B33" s="11" t="s">
        <v>38</v>
      </c>
      <c r="C33" s="16"/>
      <c r="D33" s="16"/>
      <c r="E33" s="16"/>
      <c r="F33" s="16"/>
      <c r="G33" s="16"/>
      <c r="H33" s="16"/>
      <c r="I33" s="16"/>
      <c r="J33" s="16"/>
      <c r="K33" s="16"/>
      <c r="L33" s="17"/>
    </row>
    <row r="34" spans="1:12" x14ac:dyDescent="0.25">
      <c r="B34" s="11" t="s">
        <v>40</v>
      </c>
      <c r="C34" s="16"/>
      <c r="D34" s="16"/>
      <c r="E34" s="16"/>
      <c r="F34" s="16"/>
      <c r="G34" s="16"/>
      <c r="H34" s="16"/>
      <c r="I34" s="16"/>
      <c r="J34" s="16"/>
      <c r="K34" s="16"/>
      <c r="L34" s="17"/>
    </row>
    <row r="35" spans="1:12" x14ac:dyDescent="0.25">
      <c r="B35" s="19" t="s">
        <v>39</v>
      </c>
    </row>
    <row r="36" spans="1:12" x14ac:dyDescent="0.25">
      <c r="B36" s="21" t="s">
        <v>43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</row>
    <row r="37" spans="1:12" x14ac:dyDescent="0.25"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</row>
    <row r="38" spans="1:12" x14ac:dyDescent="0.25"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</row>
    <row r="39" spans="1:12" x14ac:dyDescent="0.25">
      <c r="B39" s="23" t="s">
        <v>45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</row>
  </sheetData>
  <mergeCells count="17">
    <mergeCell ref="B3:L3"/>
    <mergeCell ref="B4:L4"/>
    <mergeCell ref="B5:B6"/>
    <mergeCell ref="C5:C6"/>
    <mergeCell ref="D5:D6"/>
    <mergeCell ref="E5:E6"/>
    <mergeCell ref="F5:F6"/>
    <mergeCell ref="G5:G6"/>
    <mergeCell ref="H5:H6"/>
    <mergeCell ref="B2:L2"/>
    <mergeCell ref="B36:L38"/>
    <mergeCell ref="B39:L39"/>
    <mergeCell ref="I5:I6"/>
    <mergeCell ref="J5:J6"/>
    <mergeCell ref="K5:K6"/>
    <mergeCell ref="L5:L6"/>
    <mergeCell ref="B32:L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1206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ftomas@provincias.mecon.ar</dc:creator>
  <cp:lastModifiedBy>ftomas@provincias.mecon.ar</cp:lastModifiedBy>
  <dcterms:created xsi:type="dcterms:W3CDTF">2026-09-22T15:41:25Z</dcterms:created>
  <dcterms:modified xsi:type="dcterms:W3CDTF">2026-10-06T20:55:44Z</dcterms:modified>
</cp:coreProperties>
</file>