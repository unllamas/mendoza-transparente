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D1E96416-DBA9-41A8-9F66-3D3B7FD1E578}" xr6:coauthVersionLast="47" xr6:coauthVersionMax="47" xr10:uidLastSave="{00000000-0000-0000-0000-000000000000}"/>
  <bookViews>
    <workbookView xWindow="-28920" yWindow="15" windowWidth="29040" windowHeight="15840" xr2:uid="{598EDB00-41AB-4660-AC9E-E73133CAB313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L28" i="1"/>
  <c r="L30" i="1"/>
  <c r="L14" i="1"/>
  <c r="L26" i="1"/>
  <c r="L7" i="1"/>
  <c r="L19" i="1"/>
  <c r="L20" i="1"/>
  <c r="L24" i="1"/>
  <c r="L17" i="1"/>
  <c r="L29" i="1"/>
  <c r="L11" i="1"/>
  <c r="L21" i="1"/>
  <c r="L12" i="1"/>
  <c r="L10" i="1"/>
  <c r="L22" i="1"/>
  <c r="L8" i="1"/>
  <c r="L13" i="1"/>
  <c r="L25" i="1"/>
  <c r="L18" i="1"/>
  <c r="L9" i="1"/>
  <c r="L15" i="1"/>
  <c r="L27" i="1"/>
  <c r="F31" i="1" l="1"/>
  <c r="G31" i="1"/>
  <c r="H31" i="1"/>
  <c r="K31" i="1"/>
  <c r="I31" i="1"/>
  <c r="C31" i="1"/>
  <c r="L23" i="1"/>
  <c r="D31" i="1"/>
  <c r="E31" i="1"/>
  <c r="J31" i="1"/>
  <c r="L31" i="1"/>
</calcChain>
</file>

<file path=xl/sharedStrings.xml><?xml version="1.0" encoding="utf-8"?>
<sst xmlns="http://schemas.openxmlformats.org/spreadsheetml/2006/main" count="46" uniqueCount="45">
  <si>
    <t>PLANTA DE LA ADMINISTRACIÓN PÚBLICA PROVINCIAL NO FINANCIERA POR ESCALAFÓN - 24 JURISDICCIONES</t>
  </si>
  <si>
    <t>CARGOS OCUPADOS CON LIQUIDACIÓN DE HABERES</t>
  </si>
  <si>
    <t>A DICIEMBRE DE 2024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</si>
  <si>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</si>
  <si>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</si>
  <si>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</si>
  <si>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</si>
  <si>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</si>
  <si>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</si>
  <si>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</si>
  <si>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</si>
  <si>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</si>
  <si>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</si>
  <si>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</si>
  <si>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</si>
  <si>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</si>
  <si>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</si>
  <si>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</si>
  <si>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</si>
  <si>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</si>
  <si>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</si>
  <si>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</si>
  <si>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</si>
  <si>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</si>
  <si>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</si>
  <si>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</si>
  <si>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</si>
  <si>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</si>
  <si>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</si>
  <si>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</si>
  <si>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</si>
  <si>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</si>
  <si>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</si>
  <si>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</si>
  <si>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</si>
  <si>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</si>
  <si>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</si>
  <si>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</si>
  <si>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</si>
  <si>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</si>
  <si>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</si>
  <si>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</si>
  <si>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t>(**): Parcialmente estimado.</t>
  </si>
  <si>
    <t>(**)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</si>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</sst>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5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5" fillId="0" borderId="3" xfId="1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4" fontId="5" fillId="0" borderId="2" xfId="1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0" xfId="2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Font="1"/>
    <xf numFmtId="0" fontId="5" fillId="0" borderId="0" xfId="2" applyFont="1"/>
    <xf numFmtId="0" fontId="7" fillId="0" borderId="0" xfId="2" applyFont="1" applyAlignment="1">
      <alignment horizontal="left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2" fontId="11" fillId="2" borderId="5" xfId="0" applyNumberFormat="1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center" vertical="center" wrapText="1"/>
    </xf>
    <xf numFmtId="2" fontId="11" fillId="2" borderId="7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588E7B43-A842-4A2A-98FD-E310ACB2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F93FB2-6B5C-4F12-A5D0-4CD7237E1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7347-1D86-4852-9FF9-740443346A16}">
  <dimension ref="A2:M35"/>
  <sheetViews>
    <sheetView tabSelected="1" workbookViewId="0">
      <selection activeCell="A2" sqref="A2:L2"/>
    </sheetView>
  </sheetViews>
  <sheetFormatPr baseColWidth="10" defaultRowHeight="15" x14ac:dyDescent="0.25"/>
  <cols>
    <col min="1" max="1" width="4.7109375" style="12" customWidth="1"/>
    <col min="2" max="2" width="24.285156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5.75" x14ac:dyDescent="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14"/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x14ac:dyDescent="0.25">
      <c r="A4" s="14"/>
      <c r="B4" s="23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ht="15" customHeight="1" x14ac:dyDescent="0.25">
      <c r="A5" s="14"/>
      <c r="B5" s="24" t="s">
        <v>3</v>
      </c>
      <c r="C5" s="24" t="s">
        <v>4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  <c r="K5" s="24" t="s">
        <v>12</v>
      </c>
      <c r="L5" s="24" t="s">
        <v>13</v>
      </c>
    </row>
    <row r="6" spans="1:12" x14ac:dyDescent="0.25">
      <c r="A6" s="1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14"/>
      <c r="B7" s="1" t="s">
        <v>14</v>
      </c>
      <c r="C7" s="2">
        <v>118198</v>
      </c>
      <c r="D7" s="2">
        <v>333624</v>
      </c>
      <c r="E7" s="2">
        <v>73043</v>
      </c>
      <c r="F7" s="2">
        <v>93402</v>
      </c>
      <c r="G7" s="2">
        <v>896</v>
      </c>
      <c r="H7" s="2">
        <v>2752</v>
      </c>
      <c r="I7" s="2">
        <v>33936</v>
      </c>
      <c r="J7" s="2">
        <v>2434</v>
      </c>
      <c r="K7" s="2">
        <v>27781</v>
      </c>
      <c r="L7" s="3">
        <f t="shared" ref="L7:L31" si="0">+SUM(C7:K7)</f>
        <v>686066</v>
      </c>
    </row>
    <row r="8" spans="1:12" x14ac:dyDescent="0.25">
      <c r="A8" s="14"/>
      <c r="B8" s="4" t="s">
        <v>15</v>
      </c>
      <c r="C8" s="5">
        <v>34459</v>
      </c>
      <c r="D8" s="5">
        <v>83738</v>
      </c>
      <c r="E8" s="5">
        <v>39633</v>
      </c>
      <c r="F8" s="5">
        <v>33292</v>
      </c>
      <c r="G8" s="5">
        <v>0</v>
      </c>
      <c r="H8" s="5">
        <v>1624</v>
      </c>
      <c r="I8" s="5">
        <v>19825</v>
      </c>
      <c r="J8" s="5">
        <v>4375</v>
      </c>
      <c r="K8" s="5">
        <v>8159</v>
      </c>
      <c r="L8" s="6">
        <f t="shared" si="0"/>
        <v>225105</v>
      </c>
    </row>
    <row r="9" spans="1:12" x14ac:dyDescent="0.25">
      <c r="A9" s="14"/>
      <c r="B9" s="4" t="s">
        <v>16</v>
      </c>
      <c r="C9" s="5">
        <v>7936</v>
      </c>
      <c r="D9" s="5">
        <v>17317</v>
      </c>
      <c r="E9" s="5">
        <v>7036</v>
      </c>
      <c r="F9" s="5">
        <v>4585</v>
      </c>
      <c r="G9" s="5">
        <v>868</v>
      </c>
      <c r="H9" s="5">
        <v>1031</v>
      </c>
      <c r="I9" s="5">
        <v>32</v>
      </c>
      <c r="J9" s="5">
        <v>2898</v>
      </c>
      <c r="K9" s="5">
        <v>2042</v>
      </c>
      <c r="L9" s="6">
        <f t="shared" si="0"/>
        <v>43745</v>
      </c>
    </row>
    <row r="10" spans="1:12" x14ac:dyDescent="0.25">
      <c r="A10" s="14"/>
      <c r="B10" s="4" t="s">
        <v>17</v>
      </c>
      <c r="C10" s="5">
        <v>14252</v>
      </c>
      <c r="D10" s="5">
        <v>38488</v>
      </c>
      <c r="E10" s="5">
        <v>12269</v>
      </c>
      <c r="F10" s="5">
        <v>9523</v>
      </c>
      <c r="G10" s="5">
        <v>964</v>
      </c>
      <c r="H10" s="5">
        <v>119</v>
      </c>
      <c r="I10" s="5">
        <v>791</v>
      </c>
      <c r="J10" s="5">
        <v>2213</v>
      </c>
      <c r="K10" s="5">
        <v>4150</v>
      </c>
      <c r="L10" s="6">
        <f t="shared" si="0"/>
        <v>82769</v>
      </c>
    </row>
    <row r="11" spans="1:12" x14ac:dyDescent="0.25">
      <c r="A11" s="14"/>
      <c r="B11" s="4" t="s">
        <v>18</v>
      </c>
      <c r="C11" s="5">
        <v>4011</v>
      </c>
      <c r="D11" s="5">
        <v>20849</v>
      </c>
      <c r="E11" s="5">
        <v>7412</v>
      </c>
      <c r="F11" s="5">
        <v>6298</v>
      </c>
      <c r="G11" s="5">
        <v>640</v>
      </c>
      <c r="H11" s="5">
        <v>75</v>
      </c>
      <c r="I11" s="5">
        <v>7940</v>
      </c>
      <c r="J11" s="5">
        <v>0</v>
      </c>
      <c r="K11" s="5">
        <v>2092</v>
      </c>
      <c r="L11" s="6">
        <f t="shared" si="0"/>
        <v>49317</v>
      </c>
    </row>
    <row r="12" spans="1:12" x14ac:dyDescent="0.25">
      <c r="A12" s="14"/>
      <c r="B12" s="4" t="s">
        <v>19</v>
      </c>
      <c r="C12" s="5">
        <v>14688</v>
      </c>
      <c r="D12" s="5">
        <v>63517.9</v>
      </c>
      <c r="E12" s="5">
        <v>12814</v>
      </c>
      <c r="F12" s="5">
        <v>27962</v>
      </c>
      <c r="G12" s="5">
        <v>290</v>
      </c>
      <c r="H12" s="5">
        <v>196</v>
      </c>
      <c r="I12" s="5">
        <v>1064</v>
      </c>
      <c r="J12" s="5">
        <v>1915</v>
      </c>
      <c r="K12" s="5">
        <v>9056</v>
      </c>
      <c r="L12" s="6">
        <f t="shared" si="0"/>
        <v>131502.9</v>
      </c>
    </row>
    <row r="13" spans="1:12" x14ac:dyDescent="0.25">
      <c r="A13" s="14"/>
      <c r="B13" s="4" t="s">
        <v>20</v>
      </c>
      <c r="C13" s="5">
        <v>6070</v>
      </c>
      <c r="D13" s="5">
        <v>31008</v>
      </c>
      <c r="E13" s="5">
        <v>7628</v>
      </c>
      <c r="F13" s="5">
        <v>11408</v>
      </c>
      <c r="G13" s="5">
        <v>284</v>
      </c>
      <c r="H13" s="5">
        <v>601</v>
      </c>
      <c r="I13" s="5">
        <v>171</v>
      </c>
      <c r="J13" s="5">
        <v>3047</v>
      </c>
      <c r="K13" s="5">
        <v>2998</v>
      </c>
      <c r="L13" s="6">
        <f t="shared" si="0"/>
        <v>63215</v>
      </c>
    </row>
    <row r="14" spans="1:12" x14ac:dyDescent="0.25">
      <c r="A14" s="14"/>
      <c r="B14" s="4" t="s">
        <v>21</v>
      </c>
      <c r="C14" s="5">
        <v>23739</v>
      </c>
      <c r="D14" s="5">
        <v>34022</v>
      </c>
      <c r="E14" s="5">
        <v>10250</v>
      </c>
      <c r="F14" s="5">
        <v>12190</v>
      </c>
      <c r="G14" s="5">
        <v>1603</v>
      </c>
      <c r="H14" s="5">
        <v>630</v>
      </c>
      <c r="I14" s="5">
        <v>418</v>
      </c>
      <c r="J14" s="5">
        <v>1227</v>
      </c>
      <c r="K14" s="5">
        <v>2778</v>
      </c>
      <c r="L14" s="6">
        <f t="shared" si="0"/>
        <v>86857</v>
      </c>
    </row>
    <row r="15" spans="1:12" x14ac:dyDescent="0.25">
      <c r="A15" s="14"/>
      <c r="B15" s="4" t="s">
        <v>22</v>
      </c>
      <c r="C15" s="5">
        <v>8690</v>
      </c>
      <c r="D15" s="5">
        <v>13989</v>
      </c>
      <c r="E15" s="5">
        <v>7853</v>
      </c>
      <c r="F15" s="5">
        <v>7692</v>
      </c>
      <c r="G15" s="5">
        <v>408</v>
      </c>
      <c r="H15" s="5">
        <v>347</v>
      </c>
      <c r="I15" s="5">
        <v>502</v>
      </c>
      <c r="J15" s="5">
        <v>1440</v>
      </c>
      <c r="K15" s="5">
        <v>2051</v>
      </c>
      <c r="L15" s="6">
        <f t="shared" si="0"/>
        <v>42972</v>
      </c>
    </row>
    <row r="16" spans="1:12" x14ac:dyDescent="0.25">
      <c r="A16" s="14"/>
      <c r="B16" s="4" t="s">
        <v>23</v>
      </c>
      <c r="C16" s="5">
        <v>14272</v>
      </c>
      <c r="D16" s="5">
        <v>25662</v>
      </c>
      <c r="E16" s="5">
        <v>12153</v>
      </c>
      <c r="F16" s="5">
        <v>10019</v>
      </c>
      <c r="G16" s="5">
        <v>429</v>
      </c>
      <c r="H16" s="5">
        <v>613</v>
      </c>
      <c r="I16" s="5">
        <v>1077</v>
      </c>
      <c r="J16" s="5">
        <v>1093</v>
      </c>
      <c r="K16" s="5">
        <v>2398</v>
      </c>
      <c r="L16" s="6">
        <f t="shared" si="0"/>
        <v>67716</v>
      </c>
    </row>
    <row r="17" spans="1:12" x14ac:dyDescent="0.25">
      <c r="A17" s="15" t="s">
        <v>24</v>
      </c>
      <c r="B17" s="4" t="s">
        <v>25</v>
      </c>
      <c r="C17" s="5">
        <v>6771</v>
      </c>
      <c r="D17" s="5">
        <v>11667</v>
      </c>
      <c r="E17" s="5">
        <v>5798</v>
      </c>
      <c r="F17" s="5">
        <v>3012</v>
      </c>
      <c r="G17" s="5">
        <v>546</v>
      </c>
      <c r="H17" s="5">
        <v>370</v>
      </c>
      <c r="I17" s="5">
        <v>331</v>
      </c>
      <c r="J17" s="5">
        <v>431</v>
      </c>
      <c r="K17" s="5">
        <v>1419</v>
      </c>
      <c r="L17" s="6">
        <f t="shared" si="0"/>
        <v>30345</v>
      </c>
    </row>
    <row r="18" spans="1:12" x14ac:dyDescent="0.25">
      <c r="A18" s="14"/>
      <c r="B18" s="4" t="s">
        <v>26</v>
      </c>
      <c r="C18" s="5">
        <v>13062</v>
      </c>
      <c r="D18" s="5">
        <v>15698</v>
      </c>
      <c r="E18" s="5">
        <v>7342</v>
      </c>
      <c r="F18" s="5">
        <v>4380</v>
      </c>
      <c r="G18" s="5">
        <v>576</v>
      </c>
      <c r="H18" s="5">
        <v>2330</v>
      </c>
      <c r="I18" s="5">
        <v>707</v>
      </c>
      <c r="J18" s="5">
        <v>1213</v>
      </c>
      <c r="K18" s="5">
        <v>1677</v>
      </c>
      <c r="L18" s="6">
        <f t="shared" si="0"/>
        <v>46985</v>
      </c>
    </row>
    <row r="19" spans="1:12" x14ac:dyDescent="0.25">
      <c r="A19" s="14"/>
      <c r="B19" s="4" t="s">
        <v>27</v>
      </c>
      <c r="C19" s="5">
        <v>13186.224999999999</v>
      </c>
      <c r="D19" s="5">
        <v>44827.5</v>
      </c>
      <c r="E19" s="5">
        <v>14989.558333333332</v>
      </c>
      <c r="F19" s="5">
        <v>11930.566666666668</v>
      </c>
      <c r="G19" s="5">
        <v>674.15</v>
      </c>
      <c r="H19" s="5">
        <v>316.93333333333334</v>
      </c>
      <c r="I19" s="5">
        <v>727.77500000000009</v>
      </c>
      <c r="J19" s="5">
        <v>1212</v>
      </c>
      <c r="K19" s="5">
        <v>5172.6333333333332</v>
      </c>
      <c r="L19" s="6">
        <f t="shared" si="0"/>
        <v>93037.341666666645</v>
      </c>
    </row>
    <row r="20" spans="1:12" x14ac:dyDescent="0.25">
      <c r="A20" s="14"/>
      <c r="B20" s="4" t="s">
        <v>28</v>
      </c>
      <c r="C20" s="5">
        <v>8849</v>
      </c>
      <c r="D20" s="5">
        <v>32730</v>
      </c>
      <c r="E20" s="5">
        <v>7360</v>
      </c>
      <c r="F20" s="5">
        <v>13972</v>
      </c>
      <c r="G20" s="5">
        <v>606</v>
      </c>
      <c r="H20" s="5">
        <v>262</v>
      </c>
      <c r="I20" s="5">
        <v>19</v>
      </c>
      <c r="J20" s="5">
        <v>1093</v>
      </c>
      <c r="K20" s="5">
        <v>4770</v>
      </c>
      <c r="L20" s="6">
        <f t="shared" si="0"/>
        <v>69661</v>
      </c>
    </row>
    <row r="21" spans="1:12" x14ac:dyDescent="0.25">
      <c r="A21" s="14"/>
      <c r="B21" s="4" t="s">
        <v>29</v>
      </c>
      <c r="C21" s="5">
        <v>3042</v>
      </c>
      <c r="D21" s="5">
        <v>32881</v>
      </c>
      <c r="E21" s="5">
        <v>11646</v>
      </c>
      <c r="F21" s="5">
        <v>8015</v>
      </c>
      <c r="G21" s="5">
        <v>575</v>
      </c>
      <c r="H21" s="5">
        <v>1547</v>
      </c>
      <c r="I21" s="5">
        <v>17556</v>
      </c>
      <c r="J21" s="5">
        <v>702</v>
      </c>
      <c r="K21" s="5">
        <v>2391</v>
      </c>
      <c r="L21" s="6">
        <f t="shared" si="0"/>
        <v>78355</v>
      </c>
    </row>
    <row r="22" spans="1:12" x14ac:dyDescent="0.25">
      <c r="A22" s="14"/>
      <c r="B22" s="4" t="s">
        <v>30</v>
      </c>
      <c r="C22" s="5">
        <v>12354</v>
      </c>
      <c r="D22" s="5">
        <v>24639</v>
      </c>
      <c r="E22" s="5">
        <v>7026</v>
      </c>
      <c r="F22" s="5">
        <v>8143</v>
      </c>
      <c r="G22" s="5">
        <v>396</v>
      </c>
      <c r="H22" s="5">
        <v>394</v>
      </c>
      <c r="I22" s="5">
        <v>391</v>
      </c>
      <c r="J22" s="5">
        <v>809</v>
      </c>
      <c r="K22" s="5">
        <v>2644</v>
      </c>
      <c r="L22" s="6">
        <f t="shared" si="0"/>
        <v>56796</v>
      </c>
    </row>
    <row r="23" spans="1:12" x14ac:dyDescent="0.25">
      <c r="A23" s="14" t="s">
        <v>43</v>
      </c>
      <c r="B23" s="4" t="s">
        <v>31</v>
      </c>
      <c r="C23" s="5">
        <v>10835</v>
      </c>
      <c r="D23" s="5">
        <v>31313</v>
      </c>
      <c r="E23" s="5">
        <v>14145</v>
      </c>
      <c r="F23" s="5">
        <v>15613</v>
      </c>
      <c r="G23" s="5">
        <v>1618</v>
      </c>
      <c r="H23" s="5">
        <v>895</v>
      </c>
      <c r="I23" s="5">
        <v>0</v>
      </c>
      <c r="J23" s="5">
        <v>1248</v>
      </c>
      <c r="K23" s="5">
        <v>4344</v>
      </c>
      <c r="L23" s="6">
        <f t="shared" si="0"/>
        <v>80011</v>
      </c>
    </row>
    <row r="24" spans="1:12" x14ac:dyDescent="0.25">
      <c r="A24" s="14"/>
      <c r="B24" s="4" t="s">
        <v>32</v>
      </c>
      <c r="C24" s="5">
        <v>11381</v>
      </c>
      <c r="D24" s="5">
        <v>21852</v>
      </c>
      <c r="E24" s="5">
        <v>9369</v>
      </c>
      <c r="F24" s="5">
        <v>7779</v>
      </c>
      <c r="G24" s="5">
        <v>298</v>
      </c>
      <c r="H24" s="5">
        <v>551</v>
      </c>
      <c r="I24" s="5">
        <v>242</v>
      </c>
      <c r="J24" s="5">
        <v>283</v>
      </c>
      <c r="K24" s="5">
        <v>2057</v>
      </c>
      <c r="L24" s="6">
        <f t="shared" si="0"/>
        <v>53812</v>
      </c>
    </row>
    <row r="25" spans="1:12" x14ac:dyDescent="0.25">
      <c r="A25" s="15" t="s">
        <v>24</v>
      </c>
      <c r="B25" s="4" t="s">
        <v>33</v>
      </c>
      <c r="C25" s="5">
        <v>10586</v>
      </c>
      <c r="D25" s="5">
        <v>13845</v>
      </c>
      <c r="E25" s="5">
        <v>5345</v>
      </c>
      <c r="F25" s="5">
        <v>5265</v>
      </c>
      <c r="G25" s="5">
        <v>28</v>
      </c>
      <c r="H25" s="5">
        <v>1511</v>
      </c>
      <c r="I25" s="5">
        <v>156</v>
      </c>
      <c r="J25" s="5">
        <v>238</v>
      </c>
      <c r="K25" s="5">
        <v>1567</v>
      </c>
      <c r="L25" s="6">
        <f t="shared" si="0"/>
        <v>38541</v>
      </c>
    </row>
    <row r="26" spans="1:12" x14ac:dyDescent="0.25">
      <c r="A26" s="14"/>
      <c r="B26" s="4" t="s">
        <v>34</v>
      </c>
      <c r="C26" s="5">
        <v>7611</v>
      </c>
      <c r="D26" s="5">
        <v>14092</v>
      </c>
      <c r="E26" s="5">
        <v>4009</v>
      </c>
      <c r="F26" s="5">
        <v>6416</v>
      </c>
      <c r="G26" s="5">
        <v>765</v>
      </c>
      <c r="H26" s="5">
        <v>1113</v>
      </c>
      <c r="I26" s="5">
        <v>706</v>
      </c>
      <c r="J26" s="5">
        <v>572</v>
      </c>
      <c r="K26" s="5">
        <v>1615</v>
      </c>
      <c r="L26" s="6">
        <f t="shared" si="0"/>
        <v>36899</v>
      </c>
    </row>
    <row r="27" spans="1:12" x14ac:dyDescent="0.25">
      <c r="A27" s="14"/>
      <c r="B27" s="4" t="s">
        <v>35</v>
      </c>
      <c r="C27" s="5">
        <v>96838</v>
      </c>
      <c r="D27" s="5">
        <v>63635</v>
      </c>
      <c r="E27" s="5">
        <v>9725</v>
      </c>
      <c r="F27" s="5">
        <v>29068</v>
      </c>
      <c r="G27" s="5">
        <v>999</v>
      </c>
      <c r="H27" s="5">
        <v>1892</v>
      </c>
      <c r="I27" s="5">
        <v>993</v>
      </c>
      <c r="J27" s="5">
        <v>1896</v>
      </c>
      <c r="K27" s="5">
        <v>4686</v>
      </c>
      <c r="L27" s="6">
        <f t="shared" si="0"/>
        <v>209732</v>
      </c>
    </row>
    <row r="28" spans="1:12" x14ac:dyDescent="0.25">
      <c r="A28" s="14"/>
      <c r="B28" s="4" t="s">
        <v>36</v>
      </c>
      <c r="C28" s="5">
        <v>13476</v>
      </c>
      <c r="D28" s="5">
        <v>22985</v>
      </c>
      <c r="E28" s="5">
        <v>6241</v>
      </c>
      <c r="F28" s="5">
        <v>9748</v>
      </c>
      <c r="G28" s="5">
        <v>716</v>
      </c>
      <c r="H28" s="5">
        <v>511</v>
      </c>
      <c r="I28" s="5">
        <v>2872</v>
      </c>
      <c r="J28" s="5">
        <v>388</v>
      </c>
      <c r="K28" s="5">
        <v>2787</v>
      </c>
      <c r="L28" s="6">
        <f t="shared" si="0"/>
        <v>59724</v>
      </c>
    </row>
    <row r="29" spans="1:12" x14ac:dyDescent="0.25">
      <c r="A29" s="14"/>
      <c r="B29" s="4" t="s">
        <v>37</v>
      </c>
      <c r="C29" s="5">
        <v>4529</v>
      </c>
      <c r="D29" s="5">
        <v>12371</v>
      </c>
      <c r="E29" s="5">
        <v>3198</v>
      </c>
      <c r="F29" s="5">
        <v>2594</v>
      </c>
      <c r="G29" s="5">
        <v>139</v>
      </c>
      <c r="H29" s="5">
        <v>693</v>
      </c>
      <c r="I29" s="5">
        <v>1293</v>
      </c>
      <c r="J29" s="5">
        <v>401</v>
      </c>
      <c r="K29" s="5">
        <v>889</v>
      </c>
      <c r="L29" s="6">
        <f t="shared" si="0"/>
        <v>26107</v>
      </c>
    </row>
    <row r="30" spans="1:12" x14ac:dyDescent="0.25">
      <c r="A30" s="14"/>
      <c r="B30" s="7" t="s">
        <v>38</v>
      </c>
      <c r="C30" s="8">
        <v>14054</v>
      </c>
      <c r="D30" s="8">
        <v>33945</v>
      </c>
      <c r="E30" s="8">
        <v>23893</v>
      </c>
      <c r="F30" s="8">
        <v>13550</v>
      </c>
      <c r="G30" s="8">
        <v>1191</v>
      </c>
      <c r="H30" s="8">
        <v>121</v>
      </c>
      <c r="I30" s="8">
        <v>1733</v>
      </c>
      <c r="J30" s="8">
        <v>8517</v>
      </c>
      <c r="K30" s="8">
        <v>5948</v>
      </c>
      <c r="L30" s="9">
        <f t="shared" si="0"/>
        <v>102952</v>
      </c>
    </row>
    <row r="31" spans="1:12" x14ac:dyDescent="0.25">
      <c r="A31" s="14"/>
      <c r="B31" s="26" t="s">
        <v>39</v>
      </c>
      <c r="C31" s="10">
        <f t="shared" ref="C31:K31" si="1">SUM(C7:C30)</f>
        <v>472889.22499999998</v>
      </c>
      <c r="D31" s="10">
        <f t="shared" si="1"/>
        <v>1038695.4</v>
      </c>
      <c r="E31" s="10">
        <f t="shared" si="1"/>
        <v>320177.55833333335</v>
      </c>
      <c r="F31" s="10">
        <f t="shared" si="1"/>
        <v>355856.56666666665</v>
      </c>
      <c r="G31" s="10">
        <f t="shared" si="1"/>
        <v>15509.15</v>
      </c>
      <c r="H31" s="10">
        <f t="shared" si="1"/>
        <v>20494.933333333334</v>
      </c>
      <c r="I31" s="10">
        <f t="shared" si="1"/>
        <v>93482.774999999994</v>
      </c>
      <c r="J31" s="10">
        <f t="shared" si="1"/>
        <v>39645</v>
      </c>
      <c r="K31" s="10">
        <f t="shared" si="1"/>
        <v>105471.63333333333</v>
      </c>
      <c r="L31" s="10">
        <f t="shared" si="0"/>
        <v>2462222.2416666662</v>
      </c>
    </row>
    <row r="32" spans="1:12" x14ac:dyDescent="0.25">
      <c r="A32" s="14"/>
      <c r="B32" s="11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14"/>
      <c r="B33" s="11" t="s">
        <v>42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9" t="s">
        <v>41</v>
      </c>
    </row>
    <row r="35" spans="1:12" x14ac:dyDescent="0.25">
      <c r="B35" s="20" t="s">
        <v>44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</row>
  </sheetData>
  <mergeCells count="15"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35:L35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2026-09-22T15:40:42Z</dcterms:created>
  <dcterms:modified xsi:type="dcterms:W3CDTF">2026-10-06T21:10:36Z</dcterms:modified>
</cp:coreProperties>
</file>