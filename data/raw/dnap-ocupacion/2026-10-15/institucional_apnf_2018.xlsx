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06C98175-3929-41F1-88C5-85FC5EA65AC0}" xr6:coauthVersionLast="47" xr6:coauthVersionMax="47" xr10:uidLastSave="{00000000-0000-0000-0000-000000000000}"/>
  <bookViews>
    <workbookView xWindow="-28920" yWindow="15" windowWidth="29040" windowHeight="15840" xr2:uid="{4059418D-CEEC-4FFD-B984-625E0A7A1552}"/>
  </bookViews>
  <sheets>
    <sheet name="12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J30" i="1"/>
  <c r="I30" i="1"/>
  <c r="H30" i="1"/>
  <c r="F30" i="1"/>
  <c r="E30" i="1"/>
  <c r="D30" i="1"/>
  <c r="C30" i="1"/>
  <c r="L29" i="1"/>
  <c r="G29" i="1"/>
  <c r="L28" i="1"/>
  <c r="G28" i="1"/>
  <c r="L27" i="1"/>
  <c r="G27" i="1"/>
  <c r="L26" i="1"/>
  <c r="G26" i="1"/>
  <c r="L25" i="1"/>
  <c r="G25" i="1"/>
  <c r="M25" i="1" s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M17" i="1" s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L8" i="1"/>
  <c r="G8" i="1"/>
  <c r="L7" i="1"/>
  <c r="G7" i="1"/>
  <c r="L6" i="1"/>
  <c r="G6" i="1"/>
  <c r="M6" i="1" s="1"/>
  <c r="M22" i="1" l="1"/>
  <c r="L30" i="1"/>
  <c r="M14" i="1"/>
  <c r="M9" i="1"/>
  <c r="M26" i="1"/>
  <c r="M29" i="1"/>
  <c r="M20" i="1"/>
  <c r="M23" i="1"/>
  <c r="M28" i="1"/>
  <c r="M8" i="1"/>
  <c r="M24" i="1"/>
  <c r="M27" i="1"/>
  <c r="M10" i="1"/>
  <c r="M21" i="1"/>
  <c r="G30" i="1"/>
  <c r="M12" i="1"/>
  <c r="M13" i="1"/>
  <c r="M15" i="1"/>
  <c r="M16" i="1"/>
  <c r="M18" i="1"/>
  <c r="M19" i="1"/>
  <c r="M11" i="1"/>
  <c r="M7" i="1"/>
  <c r="M30" i="1" l="1"/>
</calcChain>
</file>

<file path=xl/sharedStrings.xml><?xml version="1.0" encoding="utf-8"?>
<sst xmlns="http://schemas.openxmlformats.org/spreadsheetml/2006/main" count="47" uniqueCount="40">
  <si>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</si>
  <si>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</si>
  <si>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</si>
  <si>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</si>
  <si>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</si>
  <si>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</si>
  <si>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</si>
  <si>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</si>
  <si>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</si>
  <si>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</si>
  <si>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</si>
  <si>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</si>
  <si>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</si>
  <si>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</si>
  <si>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</si>
  <si>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</si>
  <si>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</si>
  <si>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</si>
  <si>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</si>
  <si>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</si>
  <si>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</si>
  <si>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</si>
  <si>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</si>
  <si>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</si>
  <si>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</si>
  <si>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</si>
  <si>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</si>
  <si>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</si>
  <si>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</si>
  <si>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</si>
  <si>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</si>
  <si>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</si>
  <si>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</si>
  <si>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</si>
  <si>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</si>
  <si>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</si>
  <si>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A DICIEMBRE DE 2018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</si>
  <si>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</si>
  <si>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Subsecretaría de Coordinación Fiscal Provincial</t>
  </si>
  <si>
    <t>CARGOS OCUPADOS SEGÚN MODALIDAD CON LIQUIDACIÓN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</si>
</sst>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1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horizontal="left"/>
    </xf>
    <xf numFmtId="165" fontId="2" fillId="0" borderId="3" xfId="1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8" fillId="0" borderId="4" xfId="2" applyFont="1" applyBorder="1" applyAlignment="1">
      <alignment horizontal="left"/>
    </xf>
    <xf numFmtId="165" fontId="2" fillId="0" borderId="4" xfId="1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165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8" fillId="0" borderId="5" xfId="2" applyFont="1" applyBorder="1" applyAlignment="1">
      <alignment horizontal="left"/>
    </xf>
    <xf numFmtId="165" fontId="2" fillId="0" borderId="5" xfId="1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10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2" fontId="10" fillId="3" borderId="6" xfId="0" applyNumberFormat="1" applyFont="1" applyFill="1" applyBorder="1" applyAlignment="1">
      <alignment horizontal="left" vertical="center" wrapText="1"/>
    </xf>
    <xf numFmtId="0" fontId="9" fillId="3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31746EF-6BA7-4E10-BD02-D61350328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284EFF-2613-4AE9-8B38-12E8AA02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D60CC6-63A7-4A8B-93B3-F9908469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F368-BEF7-480B-AB2A-76DE9F99475C}">
  <dimension ref="A1:P34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8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8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O1" s="3"/>
    </row>
    <row r="2" spans="1:16" ht="23.25" customHeight="1" x14ac:dyDescent="0.25">
      <c r="B2" s="27" t="s">
        <v>39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6" ht="23.25" customHeight="1" x14ac:dyDescent="0.25">
      <c r="B3" s="28" t="s">
        <v>36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6" ht="23.25" customHeight="1" x14ac:dyDescent="0.25">
      <c r="B4" s="29" t="s">
        <v>1</v>
      </c>
      <c r="C4" s="30" t="s">
        <v>2</v>
      </c>
      <c r="D4" s="30"/>
      <c r="E4" s="30"/>
      <c r="F4" s="30"/>
      <c r="G4" s="30"/>
      <c r="H4" s="30" t="s">
        <v>3</v>
      </c>
      <c r="I4" s="30"/>
      <c r="J4" s="30"/>
      <c r="K4" s="30"/>
      <c r="L4" s="30"/>
      <c r="M4" s="29" t="s">
        <v>4</v>
      </c>
    </row>
    <row r="5" spans="1:16" s="5" customFormat="1" ht="51" x14ac:dyDescent="0.25">
      <c r="A5" s="4"/>
      <c r="B5" s="29"/>
      <c r="C5" s="23" t="s">
        <v>5</v>
      </c>
      <c r="D5" s="23" t="s">
        <v>6</v>
      </c>
      <c r="E5" s="23" t="s">
        <v>7</v>
      </c>
      <c r="F5" s="23" t="s">
        <v>8</v>
      </c>
      <c r="G5" s="22" t="s">
        <v>9</v>
      </c>
      <c r="H5" s="23" t="s">
        <v>5</v>
      </c>
      <c r="I5" s="23" t="s">
        <v>6</v>
      </c>
      <c r="J5" s="23" t="s">
        <v>7</v>
      </c>
      <c r="K5" s="23" t="s">
        <v>8</v>
      </c>
      <c r="L5" s="22" t="s">
        <v>9</v>
      </c>
      <c r="M5" s="29"/>
    </row>
    <row r="6" spans="1:16" x14ac:dyDescent="0.2">
      <c r="B6" s="6" t="s">
        <v>10</v>
      </c>
      <c r="C6" s="7">
        <v>219519</v>
      </c>
      <c r="D6" s="7">
        <v>425997</v>
      </c>
      <c r="E6" s="7">
        <v>57</v>
      </c>
      <c r="F6" s="7">
        <v>143</v>
      </c>
      <c r="G6" s="8">
        <f>+SUM(C6:F6)</f>
        <v>645716</v>
      </c>
      <c r="H6" s="7">
        <v>11819</v>
      </c>
      <c r="I6" s="7">
        <v>2520</v>
      </c>
      <c r="J6" s="7">
        <v>6</v>
      </c>
      <c r="K6" s="7">
        <v>11</v>
      </c>
      <c r="L6" s="8">
        <f>+SUM(H6:K6)</f>
        <v>14356</v>
      </c>
      <c r="M6" s="8">
        <f t="shared" ref="M6:M29" si="0">+L6+G6</f>
        <v>660072</v>
      </c>
      <c r="O6" s="20"/>
      <c r="P6" s="20"/>
    </row>
    <row r="7" spans="1:16" x14ac:dyDescent="0.2">
      <c r="B7" s="9" t="s">
        <v>11</v>
      </c>
      <c r="C7" s="10">
        <v>166420</v>
      </c>
      <c r="D7" s="10">
        <v>11050</v>
      </c>
      <c r="E7" s="10">
        <v>0</v>
      </c>
      <c r="F7" s="10">
        <v>0</v>
      </c>
      <c r="G7" s="11">
        <f t="shared" ref="G7:G29" si="1">+SUM(C7:F7)</f>
        <v>177470</v>
      </c>
      <c r="H7" s="10">
        <v>27784</v>
      </c>
      <c r="I7" s="10">
        <v>5658</v>
      </c>
      <c r="J7" s="10">
        <v>0</v>
      </c>
      <c r="K7" s="10">
        <v>0</v>
      </c>
      <c r="L7" s="11">
        <f t="shared" ref="L7:L29" si="2">+SUM(H7:K7)</f>
        <v>33442</v>
      </c>
      <c r="M7" s="11">
        <f t="shared" si="0"/>
        <v>210912</v>
      </c>
      <c r="O7" s="20"/>
      <c r="P7" s="20"/>
    </row>
    <row r="8" spans="1:16" x14ac:dyDescent="0.2">
      <c r="B8" s="9" t="s">
        <v>12</v>
      </c>
      <c r="C8" s="10">
        <v>40578</v>
      </c>
      <c r="D8" s="10">
        <v>3432</v>
      </c>
      <c r="E8" s="10">
        <v>0</v>
      </c>
      <c r="F8" s="10">
        <v>0</v>
      </c>
      <c r="G8" s="11">
        <f t="shared" si="1"/>
        <v>44010</v>
      </c>
      <c r="H8" s="10">
        <v>348</v>
      </c>
      <c r="I8" s="10">
        <v>851</v>
      </c>
      <c r="J8" s="10">
        <v>0</v>
      </c>
      <c r="K8" s="10">
        <v>0</v>
      </c>
      <c r="L8" s="11">
        <f t="shared" si="2"/>
        <v>1199</v>
      </c>
      <c r="M8" s="11">
        <f t="shared" si="0"/>
        <v>45209</v>
      </c>
      <c r="O8" s="20"/>
      <c r="P8" s="20"/>
    </row>
    <row r="9" spans="1:16" x14ac:dyDescent="0.2">
      <c r="B9" s="9" t="s">
        <v>13</v>
      </c>
      <c r="C9" s="10">
        <v>77151</v>
      </c>
      <c r="D9" s="10">
        <v>2885</v>
      </c>
      <c r="E9" s="10">
        <v>53</v>
      </c>
      <c r="F9" s="10">
        <v>1003</v>
      </c>
      <c r="G9" s="11">
        <f t="shared" si="1"/>
        <v>81092</v>
      </c>
      <c r="H9" s="10">
        <v>9862</v>
      </c>
      <c r="I9" s="10">
        <v>840</v>
      </c>
      <c r="J9" s="10">
        <v>841</v>
      </c>
      <c r="K9" s="10">
        <v>0</v>
      </c>
      <c r="L9" s="11">
        <f t="shared" si="2"/>
        <v>11543</v>
      </c>
      <c r="M9" s="11">
        <f t="shared" si="0"/>
        <v>92635</v>
      </c>
      <c r="O9" s="20"/>
      <c r="P9" s="20"/>
    </row>
    <row r="10" spans="1:16" x14ac:dyDescent="0.2">
      <c r="B10" s="9" t="s">
        <v>14</v>
      </c>
      <c r="C10" s="10">
        <v>42668</v>
      </c>
      <c r="D10" s="10">
        <v>1644</v>
      </c>
      <c r="E10" s="10">
        <v>0</v>
      </c>
      <c r="F10" s="10">
        <v>0</v>
      </c>
      <c r="G10" s="11">
        <f t="shared" si="1"/>
        <v>44312</v>
      </c>
      <c r="H10" s="10">
        <v>184</v>
      </c>
      <c r="I10" s="10">
        <v>138</v>
      </c>
      <c r="J10" s="10">
        <v>0</v>
      </c>
      <c r="K10" s="10">
        <v>0</v>
      </c>
      <c r="L10" s="11">
        <f t="shared" si="2"/>
        <v>322</v>
      </c>
      <c r="M10" s="11">
        <f t="shared" si="0"/>
        <v>44634</v>
      </c>
      <c r="O10" s="20"/>
      <c r="P10" s="20"/>
    </row>
    <row r="11" spans="1:16" x14ac:dyDescent="0.2">
      <c r="B11" s="9" t="s">
        <v>15</v>
      </c>
      <c r="C11" s="10">
        <v>124848</v>
      </c>
      <c r="D11" s="10">
        <v>2879</v>
      </c>
      <c r="E11" s="10">
        <v>0</v>
      </c>
      <c r="F11" s="10">
        <v>291</v>
      </c>
      <c r="G11" s="11">
        <f t="shared" si="1"/>
        <v>128018</v>
      </c>
      <c r="H11" s="10">
        <v>0</v>
      </c>
      <c r="I11" s="10">
        <v>0</v>
      </c>
      <c r="J11" s="10">
        <v>0</v>
      </c>
      <c r="K11" s="10">
        <v>0</v>
      </c>
      <c r="L11" s="11">
        <f t="shared" si="2"/>
        <v>0</v>
      </c>
      <c r="M11" s="11">
        <f t="shared" si="0"/>
        <v>128018</v>
      </c>
      <c r="O11" s="20"/>
      <c r="P11" s="20"/>
    </row>
    <row r="12" spans="1:16" x14ac:dyDescent="0.2">
      <c r="B12" s="9" t="s">
        <v>16</v>
      </c>
      <c r="C12" s="10">
        <v>60791</v>
      </c>
      <c r="D12" s="10">
        <v>411</v>
      </c>
      <c r="E12" s="10">
        <v>0</v>
      </c>
      <c r="F12" s="10">
        <v>107</v>
      </c>
      <c r="G12" s="11">
        <f t="shared" si="1"/>
        <v>61309</v>
      </c>
      <c r="H12" s="10">
        <v>1230</v>
      </c>
      <c r="I12" s="10">
        <v>0</v>
      </c>
      <c r="J12" s="10">
        <v>0</v>
      </c>
      <c r="K12" s="10">
        <v>0</v>
      </c>
      <c r="L12" s="11">
        <f t="shared" si="2"/>
        <v>1230</v>
      </c>
      <c r="M12" s="11">
        <f t="shared" si="0"/>
        <v>62539</v>
      </c>
      <c r="O12" s="20"/>
      <c r="P12" s="20"/>
    </row>
    <row r="13" spans="1:16" x14ac:dyDescent="0.2">
      <c r="B13" s="9" t="s">
        <v>17</v>
      </c>
      <c r="C13" s="10">
        <v>39488</v>
      </c>
      <c r="D13" s="10">
        <v>46976</v>
      </c>
      <c r="E13" s="10">
        <v>0</v>
      </c>
      <c r="F13" s="10">
        <v>207</v>
      </c>
      <c r="G13" s="11">
        <f t="shared" si="1"/>
        <v>86671</v>
      </c>
      <c r="H13" s="10">
        <v>2103</v>
      </c>
      <c r="I13" s="10">
        <v>835</v>
      </c>
      <c r="J13" s="10">
        <v>0</v>
      </c>
      <c r="K13" s="10">
        <v>20</v>
      </c>
      <c r="L13" s="11">
        <f t="shared" si="2"/>
        <v>2958</v>
      </c>
      <c r="M13" s="11">
        <f t="shared" si="0"/>
        <v>89629</v>
      </c>
      <c r="O13" s="20"/>
      <c r="P13" s="20"/>
    </row>
    <row r="14" spans="1:16" x14ac:dyDescent="0.2">
      <c r="B14" s="9" t="s">
        <v>18</v>
      </c>
      <c r="C14" s="10">
        <v>35451</v>
      </c>
      <c r="D14" s="10">
        <v>2424</v>
      </c>
      <c r="E14" s="10">
        <v>0</v>
      </c>
      <c r="F14" s="10">
        <v>355</v>
      </c>
      <c r="G14" s="11">
        <f t="shared" si="1"/>
        <v>38230</v>
      </c>
      <c r="H14" s="10">
        <v>1912</v>
      </c>
      <c r="I14" s="10">
        <v>1245</v>
      </c>
      <c r="J14" s="10">
        <v>0</v>
      </c>
      <c r="K14" s="10">
        <v>2</v>
      </c>
      <c r="L14" s="11">
        <f t="shared" si="2"/>
        <v>3159</v>
      </c>
      <c r="M14" s="11">
        <f t="shared" si="0"/>
        <v>41389</v>
      </c>
      <c r="O14" s="20"/>
      <c r="P14" s="20"/>
    </row>
    <row r="15" spans="1:16" x14ac:dyDescent="0.2">
      <c r="B15" s="9" t="s">
        <v>19</v>
      </c>
      <c r="C15" s="10">
        <v>60860</v>
      </c>
      <c r="D15" s="10">
        <v>1615</v>
      </c>
      <c r="E15" s="10">
        <v>0</v>
      </c>
      <c r="F15" s="10">
        <v>0</v>
      </c>
      <c r="G15" s="11">
        <f t="shared" si="1"/>
        <v>62475</v>
      </c>
      <c r="H15" s="10">
        <v>462</v>
      </c>
      <c r="I15" s="10">
        <v>4</v>
      </c>
      <c r="J15" s="10">
        <v>0</v>
      </c>
      <c r="K15" s="10">
        <v>0</v>
      </c>
      <c r="L15" s="11">
        <f t="shared" si="2"/>
        <v>466</v>
      </c>
      <c r="M15" s="11">
        <f t="shared" si="0"/>
        <v>62941</v>
      </c>
      <c r="O15" s="20"/>
      <c r="P15" s="20"/>
    </row>
    <row r="16" spans="1:16" x14ac:dyDescent="0.2">
      <c r="A16" s="13" t="s">
        <v>20</v>
      </c>
      <c r="B16" s="9" t="s">
        <v>21</v>
      </c>
      <c r="C16" s="10">
        <v>26942</v>
      </c>
      <c r="D16" s="10">
        <v>299</v>
      </c>
      <c r="E16" s="10">
        <v>0</v>
      </c>
      <c r="F16" s="10">
        <v>0</v>
      </c>
      <c r="G16" s="11">
        <f t="shared" si="1"/>
        <v>27241</v>
      </c>
      <c r="H16" s="10">
        <v>12</v>
      </c>
      <c r="I16" s="10">
        <v>587</v>
      </c>
      <c r="J16" s="10">
        <v>0</v>
      </c>
      <c r="K16" s="10">
        <v>0</v>
      </c>
      <c r="L16" s="11">
        <f t="shared" si="2"/>
        <v>599</v>
      </c>
      <c r="M16" s="11">
        <f t="shared" si="0"/>
        <v>27840</v>
      </c>
      <c r="O16" s="20"/>
      <c r="P16" s="20"/>
    </row>
    <row r="17" spans="1:16" x14ac:dyDescent="0.2">
      <c r="B17" s="9" t="s">
        <v>22</v>
      </c>
      <c r="C17" s="10">
        <v>36584</v>
      </c>
      <c r="D17" s="10">
        <v>1770</v>
      </c>
      <c r="E17" s="10">
        <v>0</v>
      </c>
      <c r="F17" s="10">
        <v>0</v>
      </c>
      <c r="G17" s="11">
        <f t="shared" si="1"/>
        <v>38354</v>
      </c>
      <c r="H17" s="10">
        <v>1983</v>
      </c>
      <c r="I17" s="10">
        <v>381</v>
      </c>
      <c r="J17" s="10">
        <v>0</v>
      </c>
      <c r="K17" s="10">
        <v>0</v>
      </c>
      <c r="L17" s="11">
        <f t="shared" si="2"/>
        <v>2364</v>
      </c>
      <c r="M17" s="11">
        <f t="shared" si="0"/>
        <v>40718</v>
      </c>
      <c r="O17" s="20"/>
      <c r="P17" s="20"/>
    </row>
    <row r="18" spans="1:16" x14ac:dyDescent="0.2">
      <c r="B18" s="9" t="s">
        <v>23</v>
      </c>
      <c r="C18" s="10">
        <v>27950</v>
      </c>
      <c r="D18" s="10">
        <v>63835</v>
      </c>
      <c r="E18" s="10">
        <v>0</v>
      </c>
      <c r="F18" s="10">
        <v>0</v>
      </c>
      <c r="G18" s="11">
        <f t="shared" si="1"/>
        <v>91785</v>
      </c>
      <c r="H18" s="10">
        <v>1242</v>
      </c>
      <c r="I18" s="10">
        <v>207</v>
      </c>
      <c r="J18" s="10">
        <v>270</v>
      </c>
      <c r="K18" s="10">
        <v>0</v>
      </c>
      <c r="L18" s="11">
        <f t="shared" si="2"/>
        <v>1719</v>
      </c>
      <c r="M18" s="11">
        <f t="shared" si="0"/>
        <v>93504</v>
      </c>
      <c r="O18" s="20"/>
      <c r="P18" s="20"/>
    </row>
    <row r="19" spans="1:16" x14ac:dyDescent="0.2">
      <c r="B19" s="9" t="s">
        <v>24</v>
      </c>
      <c r="C19" s="10">
        <v>26192</v>
      </c>
      <c r="D19" s="10">
        <v>32182</v>
      </c>
      <c r="E19" s="10">
        <v>0</v>
      </c>
      <c r="F19" s="10">
        <v>450</v>
      </c>
      <c r="G19" s="11">
        <f t="shared" si="1"/>
        <v>58824</v>
      </c>
      <c r="H19" s="10">
        <v>365</v>
      </c>
      <c r="I19" s="10">
        <v>634</v>
      </c>
      <c r="J19" s="10">
        <v>0</v>
      </c>
      <c r="K19" s="10">
        <v>0</v>
      </c>
      <c r="L19" s="11">
        <f t="shared" si="2"/>
        <v>999</v>
      </c>
      <c r="M19" s="11">
        <f t="shared" si="0"/>
        <v>59823</v>
      </c>
      <c r="O19" s="20"/>
      <c r="P19" s="20"/>
    </row>
    <row r="20" spans="1:16" x14ac:dyDescent="0.2">
      <c r="B20" s="9" t="s">
        <v>25</v>
      </c>
      <c r="C20" s="10">
        <v>25381</v>
      </c>
      <c r="D20" s="10">
        <v>38985</v>
      </c>
      <c r="E20" s="10">
        <v>30</v>
      </c>
      <c r="F20" s="10">
        <v>282</v>
      </c>
      <c r="G20" s="11">
        <f t="shared" si="1"/>
        <v>64678</v>
      </c>
      <c r="H20" s="10">
        <v>414</v>
      </c>
      <c r="I20" s="10">
        <v>219</v>
      </c>
      <c r="J20" s="10">
        <v>0</v>
      </c>
      <c r="K20" s="10">
        <v>3</v>
      </c>
      <c r="L20" s="11">
        <f t="shared" si="2"/>
        <v>636</v>
      </c>
      <c r="M20" s="11">
        <f t="shared" si="0"/>
        <v>65314</v>
      </c>
      <c r="O20" s="20"/>
      <c r="P20" s="20"/>
    </row>
    <row r="21" spans="1:16" x14ac:dyDescent="0.2">
      <c r="B21" s="9" t="s">
        <v>26</v>
      </c>
      <c r="C21" s="10">
        <v>18057</v>
      </c>
      <c r="D21" s="10">
        <v>39051</v>
      </c>
      <c r="E21" s="10">
        <v>0</v>
      </c>
      <c r="F21" s="10">
        <v>0</v>
      </c>
      <c r="G21" s="11">
        <f t="shared" si="1"/>
        <v>57108</v>
      </c>
      <c r="H21" s="10">
        <v>0</v>
      </c>
      <c r="I21" s="10">
        <v>0</v>
      </c>
      <c r="J21" s="10">
        <v>0</v>
      </c>
      <c r="K21" s="10">
        <v>0</v>
      </c>
      <c r="L21" s="11">
        <f t="shared" si="2"/>
        <v>0</v>
      </c>
      <c r="M21" s="11">
        <f t="shared" si="0"/>
        <v>57108</v>
      </c>
      <c r="O21" s="20"/>
      <c r="P21" s="20"/>
    </row>
    <row r="22" spans="1:16" x14ac:dyDescent="0.2">
      <c r="B22" s="9" t="s">
        <v>27</v>
      </c>
      <c r="C22" s="10">
        <v>71240</v>
      </c>
      <c r="D22" s="10">
        <v>784</v>
      </c>
      <c r="E22" s="10">
        <v>0</v>
      </c>
      <c r="F22" s="10">
        <v>0</v>
      </c>
      <c r="G22" s="11">
        <f t="shared" si="1"/>
        <v>72024</v>
      </c>
      <c r="H22" s="10">
        <v>4014</v>
      </c>
      <c r="I22" s="10">
        <v>36</v>
      </c>
      <c r="J22" s="10">
        <v>0</v>
      </c>
      <c r="K22" s="10">
        <v>0</v>
      </c>
      <c r="L22" s="11">
        <f t="shared" si="2"/>
        <v>4050</v>
      </c>
      <c r="M22" s="11">
        <f t="shared" si="0"/>
        <v>76074</v>
      </c>
      <c r="O22" s="20"/>
      <c r="P22" s="20"/>
    </row>
    <row r="23" spans="1:16" x14ac:dyDescent="0.2">
      <c r="B23" s="9" t="s">
        <v>28</v>
      </c>
      <c r="C23" s="10">
        <v>36638</v>
      </c>
      <c r="D23" s="10">
        <v>4576</v>
      </c>
      <c r="E23" s="10">
        <v>0</v>
      </c>
      <c r="F23" s="10">
        <v>0</v>
      </c>
      <c r="G23" s="11">
        <f t="shared" si="1"/>
        <v>41214</v>
      </c>
      <c r="H23" s="10">
        <v>3390</v>
      </c>
      <c r="I23" s="10">
        <v>533</v>
      </c>
      <c r="J23" s="10">
        <v>0</v>
      </c>
      <c r="K23" s="10">
        <v>0</v>
      </c>
      <c r="L23" s="11">
        <f t="shared" si="2"/>
        <v>3923</v>
      </c>
      <c r="M23" s="11">
        <f t="shared" si="0"/>
        <v>45137</v>
      </c>
      <c r="O23" s="20"/>
      <c r="P23" s="20"/>
    </row>
    <row r="24" spans="1:16" x14ac:dyDescent="0.2">
      <c r="A24" s="13" t="s">
        <v>20</v>
      </c>
      <c r="B24" s="9" t="s">
        <v>29</v>
      </c>
      <c r="C24" s="10">
        <v>28712</v>
      </c>
      <c r="D24" s="10">
        <v>137</v>
      </c>
      <c r="E24" s="10">
        <v>0</v>
      </c>
      <c r="F24" s="10">
        <v>0</v>
      </c>
      <c r="G24" s="11">
        <f t="shared" si="1"/>
        <v>28849</v>
      </c>
      <c r="H24" s="12"/>
      <c r="I24" s="12"/>
      <c r="J24" s="12"/>
      <c r="K24" s="12"/>
      <c r="L24" s="11">
        <f t="shared" si="2"/>
        <v>0</v>
      </c>
      <c r="M24" s="11">
        <f t="shared" si="0"/>
        <v>28849</v>
      </c>
      <c r="O24" s="20"/>
      <c r="P24" s="20"/>
    </row>
    <row r="25" spans="1:16" x14ac:dyDescent="0.2">
      <c r="B25" s="9" t="s">
        <v>30</v>
      </c>
      <c r="C25" s="10">
        <v>32847</v>
      </c>
      <c r="D25" s="10">
        <v>1439</v>
      </c>
      <c r="E25" s="10">
        <v>66</v>
      </c>
      <c r="F25" s="10">
        <v>156</v>
      </c>
      <c r="G25" s="11">
        <f t="shared" si="1"/>
        <v>34508</v>
      </c>
      <c r="H25" s="10">
        <v>102</v>
      </c>
      <c r="I25" s="10">
        <v>0</v>
      </c>
      <c r="J25" s="10">
        <v>0</v>
      </c>
      <c r="K25" s="10">
        <v>0</v>
      </c>
      <c r="L25" s="11">
        <f t="shared" si="2"/>
        <v>102</v>
      </c>
      <c r="M25" s="11">
        <f t="shared" si="0"/>
        <v>34610</v>
      </c>
      <c r="O25" s="20"/>
      <c r="P25" s="20"/>
    </row>
    <row r="26" spans="1:16" x14ac:dyDescent="0.2">
      <c r="B26" s="9" t="s">
        <v>31</v>
      </c>
      <c r="C26" s="10">
        <v>138118</v>
      </c>
      <c r="D26" s="10">
        <v>3136</v>
      </c>
      <c r="E26" s="10">
        <v>0</v>
      </c>
      <c r="F26" s="10">
        <v>219</v>
      </c>
      <c r="G26" s="11">
        <f t="shared" si="1"/>
        <v>141473</v>
      </c>
      <c r="H26" s="10">
        <v>114024</v>
      </c>
      <c r="I26" s="10">
        <v>305</v>
      </c>
      <c r="J26" s="10">
        <v>0</v>
      </c>
      <c r="K26" s="10">
        <v>47</v>
      </c>
      <c r="L26" s="11">
        <f t="shared" si="2"/>
        <v>114376</v>
      </c>
      <c r="M26" s="11">
        <f t="shared" si="0"/>
        <v>255849</v>
      </c>
      <c r="O26" s="20"/>
      <c r="P26" s="20"/>
    </row>
    <row r="27" spans="1:16" x14ac:dyDescent="0.2">
      <c r="B27" s="9" t="s">
        <v>32</v>
      </c>
      <c r="C27" s="10">
        <v>25229</v>
      </c>
      <c r="D27" s="10">
        <v>33219</v>
      </c>
      <c r="E27" s="10">
        <v>0</v>
      </c>
      <c r="F27" s="10">
        <v>0</v>
      </c>
      <c r="G27" s="11">
        <f t="shared" si="1"/>
        <v>58448</v>
      </c>
      <c r="H27" s="10">
        <v>6029</v>
      </c>
      <c r="I27" s="10">
        <v>722</v>
      </c>
      <c r="J27" s="10">
        <v>0</v>
      </c>
      <c r="K27" s="10">
        <v>0</v>
      </c>
      <c r="L27" s="11">
        <f t="shared" si="2"/>
        <v>6751</v>
      </c>
      <c r="M27" s="11">
        <f t="shared" si="0"/>
        <v>65199</v>
      </c>
      <c r="O27" s="20"/>
      <c r="P27" s="20"/>
    </row>
    <row r="28" spans="1:16" x14ac:dyDescent="0.2">
      <c r="B28" s="9" t="s">
        <v>33</v>
      </c>
      <c r="C28" s="10">
        <v>18254</v>
      </c>
      <c r="D28" s="10">
        <v>704</v>
      </c>
      <c r="E28" s="10">
        <v>0</v>
      </c>
      <c r="F28" s="10">
        <v>108</v>
      </c>
      <c r="G28" s="11">
        <f t="shared" si="1"/>
        <v>19066</v>
      </c>
      <c r="H28" s="10">
        <v>330</v>
      </c>
      <c r="I28" s="10">
        <v>12</v>
      </c>
      <c r="J28" s="10">
        <v>0</v>
      </c>
      <c r="K28" s="10">
        <v>8</v>
      </c>
      <c r="L28" s="11">
        <f t="shared" si="2"/>
        <v>350</v>
      </c>
      <c r="M28" s="11">
        <f t="shared" si="0"/>
        <v>19416</v>
      </c>
      <c r="O28" s="20"/>
      <c r="P28" s="20"/>
    </row>
    <row r="29" spans="1:16" x14ac:dyDescent="0.2">
      <c r="B29" s="14" t="s">
        <v>34</v>
      </c>
      <c r="C29" s="15">
        <v>62028</v>
      </c>
      <c r="D29" s="15">
        <v>28336</v>
      </c>
      <c r="E29" s="15">
        <v>0</v>
      </c>
      <c r="F29" s="15">
        <v>0</v>
      </c>
      <c r="G29" s="16">
        <f t="shared" si="1"/>
        <v>90364</v>
      </c>
      <c r="H29" s="15">
        <v>4138</v>
      </c>
      <c r="I29" s="15">
        <v>1315</v>
      </c>
      <c r="J29" s="15">
        <v>0</v>
      </c>
      <c r="K29" s="15">
        <v>0</v>
      </c>
      <c r="L29" s="16">
        <f t="shared" si="2"/>
        <v>5453</v>
      </c>
      <c r="M29" s="16">
        <f t="shared" si="0"/>
        <v>95817</v>
      </c>
      <c r="O29" s="20"/>
      <c r="P29" s="20"/>
    </row>
    <row r="30" spans="1:16" ht="18.75" customHeight="1" x14ac:dyDescent="0.25">
      <c r="B30" s="24" t="s">
        <v>4</v>
      </c>
      <c r="C30" s="17">
        <f>+SUM(C6:C29)</f>
        <v>1441946</v>
      </c>
      <c r="D30" s="17">
        <f t="shared" ref="D30:M30" si="3">+SUM(D6:D29)</f>
        <v>747766</v>
      </c>
      <c r="E30" s="17">
        <f t="shared" si="3"/>
        <v>206</v>
      </c>
      <c r="F30" s="17">
        <f t="shared" si="3"/>
        <v>3321</v>
      </c>
      <c r="G30" s="17">
        <f t="shared" si="3"/>
        <v>2193239</v>
      </c>
      <c r="H30" s="17">
        <f t="shared" si="3"/>
        <v>191747</v>
      </c>
      <c r="I30" s="17">
        <f t="shared" si="3"/>
        <v>17042</v>
      </c>
      <c r="J30" s="17">
        <f t="shared" si="3"/>
        <v>1117</v>
      </c>
      <c r="K30" s="17">
        <f t="shared" si="3"/>
        <v>91</v>
      </c>
      <c r="L30" s="17">
        <f t="shared" si="3"/>
        <v>209997</v>
      </c>
      <c r="M30" s="17">
        <f t="shared" si="3"/>
        <v>2403236</v>
      </c>
      <c r="O30" s="21"/>
      <c r="P30" s="21"/>
    </row>
    <row r="31" spans="1:16" x14ac:dyDescent="0.25">
      <c r="B31" s="2" t="s">
        <v>37</v>
      </c>
    </row>
    <row r="32" spans="1:16" x14ac:dyDescent="0.25">
      <c r="B32" s="19" t="s">
        <v>35</v>
      </c>
    </row>
    <row r="33" spans="2:13" x14ac:dyDescent="0.25">
      <c r="B33" s="19"/>
    </row>
    <row r="34" spans="2:13" ht="15" x14ac:dyDescent="0.25">
      <c r="B34" s="25" t="s">
        <v>38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1218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2026-09-21T19:09:19Z</dcterms:created>
  <dcterms:modified xsi:type="dcterms:W3CDTF">2026-10-14T17:33:09Z</dcterms:modified>
</cp:coreProperties>
</file>