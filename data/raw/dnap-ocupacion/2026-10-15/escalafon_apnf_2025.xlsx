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BA28C122-2F5B-457E-AEF7-0CACF0EB56DC}" xr6:coauthVersionLast="47" xr6:coauthVersionMax="47" xr10:uidLastSave="{00000000-0000-0000-0000-000000000000}"/>
  <bookViews>
    <workbookView xWindow="-120" yWindow="-120" windowWidth="29040" windowHeight="15840" xr2:uid="{552889CF-7985-4303-AE12-AE0FEB7F5ABB}"/>
  </bookViews>
  <sheets>
    <sheet name="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3" i="1" l="1"/>
  <c r="L16" i="1"/>
  <c r="L8" i="1"/>
  <c r="L20" i="1"/>
  <c r="L13" i="1"/>
  <c r="L25" i="1"/>
  <c r="L30" i="1"/>
  <c r="L28" i="1"/>
  <c r="L21" i="1"/>
  <c r="L14" i="1"/>
  <c r="L26" i="1"/>
  <c r="L7" i="1"/>
  <c r="C31" i="1"/>
  <c r="D31" i="1"/>
  <c r="L24" i="1"/>
  <c r="L29" i="1"/>
  <c r="I31" i="1"/>
  <c r="L22" i="1"/>
  <c r="J31" i="1"/>
  <c r="K31" i="1"/>
  <c r="L15" i="1"/>
  <c r="L27" i="1"/>
  <c r="L18" i="1"/>
  <c r="L11" i="1"/>
  <c r="L9" i="1"/>
  <c r="L19" i="1"/>
  <c r="E31" i="1"/>
  <c r="L12" i="1"/>
  <c r="F31" i="1"/>
  <c r="G31" i="1"/>
  <c r="L17" i="1"/>
  <c r="H31" i="1"/>
  <c r="L10" i="1"/>
  <c r="L31" i="1" l="1"/>
</calcChain>
</file>

<file path=xl/sharedStrings.xml><?xml version="1.0" encoding="utf-8"?>
<sst xmlns="http://schemas.openxmlformats.org/spreadsheetml/2006/main" count="44" uniqueCount="43">
  <si>
    <t>PLANTA DE LA ADMINISTRACIÓN PÚBLICA PROVINCIAL NO FINANCIERA POR ESCALAFÓN - 24 JURISDICCIONES</t>
  </si>
  <si>
    <t>CARGOS OCUPADOS CON LIQUIDACIÓN DE HABERES</t>
  </si>
  <si>
    <t>A DICIEMBRE DE 2025</t>
  </si>
  <si>
    <t>Jurisdicción</t>
  </si>
  <si>
    <t>General</t>
  </si>
  <si>
    <t>Docente</t>
  </si>
  <si>
    <t>Salud</t>
  </si>
  <si>
    <t>Seguridad</t>
  </si>
  <si>
    <t>Vial</t>
  </si>
  <si>
    <t>Autoridades Superiores</t>
  </si>
  <si>
    <t>Resto</t>
  </si>
  <si>
    <t>Legislativo</t>
  </si>
  <si>
    <t>Justicia</t>
  </si>
  <si>
    <t>Total General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</si>
  <si>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</si>
  <si>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</si>
  <si>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</si>
  <si>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</si>
  <si>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</si>
  <si>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</si>
  <si>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</si>
  <si>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</si>
  <si>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</si>
  <si>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</si>
  <si>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</si>
  <si>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</si>
  <si>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</si>
  <si>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</si>
  <si>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</si>
  <si>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</si>
  <si>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</si>
  <si>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</si>
  <si>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</si>
  <si>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</si>
  <si>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</si>
  <si>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</si>
  <si>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</si>
  <si>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</si>
  <si>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</si>
  <si>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Total</t>
  </si>
  <si>
    <t>(*): Sólo cargos presupuestados para el ejercicio según ley de presupuesto anual. La Pampa no incluye cargos del ISS.</t>
  </si>
  <si>
    <t>Incluye contratos, becas y pasantías, y personal de programas.</t>
  </si>
  <si>
    <r>
      <rPr>
        <b/>
        <sz val="11"/>
        <rFont val="Roboto"/>
      </rPr>
      <t>Fuente</t>
    </r>
    <r>
      <rPr>
        <sz val="11"/>
        <rFont val="Roboto"/>
      </rPr>
      <t>: Subsecretaría de Coordinación Fiscal Provincial, en base a datos informados por las jurisdicciones.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</si>
</sst>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Roboto"/>
    </font>
    <font>
      <b/>
      <sz val="10"/>
      <name val="Roboto"/>
    </font>
    <font>
      <sz val="10"/>
      <name val="Roboto"/>
    </font>
    <font>
      <sz val="10"/>
      <color theme="1"/>
      <name val="Roboto"/>
    </font>
    <font>
      <b/>
      <sz val="11"/>
      <name val="Roboto"/>
    </font>
    <font>
      <sz val="11"/>
      <name val="Roboto"/>
    </font>
    <font>
      <b/>
      <sz val="12"/>
      <color theme="1"/>
      <name val="Roboto"/>
    </font>
    <font>
      <b/>
      <sz val="10"/>
      <color theme="0"/>
      <name val="Roboto"/>
    </font>
  </fonts>
  <fills count="3">
    <fill>
      <patternFill patternType="none"/>
    </fill>
    <fill>
      <patternFill patternType="gray125"/>
    </fill>
    <fill>
      <patternFill patternType="solid">
        <fgColor rgb="FF242C4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30">
    <xf numFmtId="0" fontId="0" fillId="0" borderId="0" xfId="0"/>
    <xf numFmtId="0" fontId="3" fillId="0" borderId="0" xfId="2"/>
    <xf numFmtId="0" fontId="4" fillId="0" borderId="0" xfId="2" applyFont="1"/>
    <xf numFmtId="0" fontId="0" fillId="0" borderId="0" xfId="0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64" fontId="7" fillId="0" borderId="1" xfId="1" applyNumberFormat="1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164" fontId="7" fillId="0" borderId="3" xfId="1" applyNumberFormat="1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3" fillId="0" borderId="0" xfId="0" quotePrefix="1" applyFont="1" applyAlignment="1">
      <alignment horizontal="right" vertical="center"/>
    </xf>
    <xf numFmtId="0" fontId="7" fillId="0" borderId="2" xfId="0" applyFont="1" applyBorder="1" applyAlignment="1">
      <alignment horizontal="left" vertical="center"/>
    </xf>
    <xf numFmtId="164" fontId="7" fillId="0" borderId="2" xfId="1" applyNumberFormat="1" applyFont="1" applyBorder="1" applyAlignment="1">
      <alignment vertical="center"/>
    </xf>
    <xf numFmtId="164" fontId="6" fillId="0" borderId="2" xfId="0" applyNumberFormat="1" applyFont="1" applyBorder="1" applyAlignment="1">
      <alignment vertical="center"/>
    </xf>
    <xf numFmtId="164" fontId="6" fillId="0" borderId="4" xfId="0" applyNumberFormat="1" applyFont="1" applyBorder="1" applyAlignment="1">
      <alignment vertical="center"/>
    </xf>
    <xf numFmtId="0" fontId="8" fillId="0" borderId="0" xfId="0" quotePrefix="1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7" fillId="0" borderId="0" xfId="2" applyFont="1"/>
    <xf numFmtId="0" fontId="10" fillId="0" borderId="0" xfId="2" applyFont="1"/>
    <xf numFmtId="0" fontId="9" fillId="0" borderId="0" xfId="2" applyFont="1"/>
    <xf numFmtId="0" fontId="5" fillId="0" borderId="0" xfId="0" applyFont="1"/>
    <xf numFmtId="0" fontId="5" fillId="0" borderId="0" xfId="0" applyFont="1" applyAlignment="1">
      <alignment horizontal="right" vertical="center"/>
    </xf>
    <xf numFmtId="2" fontId="12" fillId="2" borderId="5" xfId="0" applyNumberFormat="1" applyFont="1" applyFill="1" applyBorder="1" applyAlignment="1">
      <alignment horizontal="left" vertical="center" wrapText="1"/>
    </xf>
    <xf numFmtId="0" fontId="10" fillId="0" borderId="0" xfId="2" applyFont="1" applyAlignment="1">
      <alignment horizontal="left"/>
    </xf>
    <xf numFmtId="2" fontId="12" fillId="2" borderId="6" xfId="0" applyNumberFormat="1" applyFont="1" applyFill="1" applyBorder="1" applyAlignment="1">
      <alignment horizontal="center" vertical="center" wrapText="1"/>
    </xf>
    <xf numFmtId="2" fontId="12" fillId="2" borderId="7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</cellXfs>
  <cellStyles count="3">
    <cellStyle name="Millares" xfId="1" builtinId="3"/>
    <cellStyle name="Normal" xfId="0" builtinId="0"/>
    <cellStyle name="Normal 2" xfId="2" xr:uid="{E00A9F93-26E6-4616-9C89-BE65F5A38B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485775</xdr:colOff>
      <xdr:row>3</xdr:row>
      <xdr:rowOff>37827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947D38E-ADB4-4C37-82FE-67E8324F7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1A375-3DE9-43EB-AA20-007B434ECC01}">
  <dimension ref="A1:M35"/>
  <sheetViews>
    <sheetView tabSelected="1" workbookViewId="0">
      <selection activeCell="B33" sqref="B33"/>
    </sheetView>
  </sheetViews>
  <sheetFormatPr baseColWidth="10" defaultRowHeight="15" x14ac:dyDescent="0.25"/>
  <cols>
    <col min="1" max="1" width="4.7109375" style="1" customWidth="1"/>
    <col min="2" max="2" width="24.28515625" style="1" customWidth="1"/>
    <col min="3" max="11" width="11.42578125" style="1"/>
    <col min="12" max="12" width="11.42578125" style="2"/>
    <col min="13" max="13" width="11.42578125" style="1"/>
  </cols>
  <sheetData>
    <row r="1" spans="1:13" s="21" customForma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20"/>
      <c r="M1" s="19"/>
    </row>
    <row r="2" spans="1:13" s="21" customFormat="1" ht="15.75" x14ac:dyDescent="0.25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19"/>
    </row>
    <row r="3" spans="1:13" s="21" customFormat="1" x14ac:dyDescent="0.25">
      <c r="A3" s="22"/>
      <c r="B3" s="28" t="s">
        <v>1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19"/>
    </row>
    <row r="4" spans="1:13" s="21" customFormat="1" x14ac:dyDescent="0.25">
      <c r="A4" s="22"/>
      <c r="B4" s="29" t="s">
        <v>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19"/>
    </row>
    <row r="5" spans="1:13" ht="15" customHeight="1" x14ac:dyDescent="0.25">
      <c r="A5" s="3"/>
      <c r="B5" s="25" t="s">
        <v>3</v>
      </c>
      <c r="C5" s="25" t="s">
        <v>4</v>
      </c>
      <c r="D5" s="25" t="s">
        <v>5</v>
      </c>
      <c r="E5" s="25" t="s">
        <v>6</v>
      </c>
      <c r="F5" s="25" t="s">
        <v>7</v>
      </c>
      <c r="G5" s="25" t="s">
        <v>8</v>
      </c>
      <c r="H5" s="25" t="s">
        <v>9</v>
      </c>
      <c r="I5" s="25" t="s">
        <v>10</v>
      </c>
      <c r="J5" s="25" t="s">
        <v>11</v>
      </c>
      <c r="K5" s="25" t="s">
        <v>12</v>
      </c>
      <c r="L5" s="25" t="s">
        <v>13</v>
      </c>
    </row>
    <row r="6" spans="1:13" x14ac:dyDescent="0.25">
      <c r="A6" s="3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</row>
    <row r="7" spans="1:13" x14ac:dyDescent="0.25">
      <c r="A7" s="3"/>
      <c r="B7" s="4" t="s">
        <v>14</v>
      </c>
      <c r="C7" s="5">
        <v>119443</v>
      </c>
      <c r="D7" s="5">
        <v>332885</v>
      </c>
      <c r="E7" s="5">
        <v>74522</v>
      </c>
      <c r="F7" s="5">
        <v>90996</v>
      </c>
      <c r="G7" s="5">
        <v>973</v>
      </c>
      <c r="H7" s="5">
        <v>2530</v>
      </c>
      <c r="I7" s="5">
        <v>31379</v>
      </c>
      <c r="J7" s="5">
        <v>2509</v>
      </c>
      <c r="K7" s="5">
        <v>27989</v>
      </c>
      <c r="L7" s="6">
        <f t="shared" ref="L7:L31" si="0">+SUM(C7:K7)</f>
        <v>683226</v>
      </c>
    </row>
    <row r="8" spans="1:13" x14ac:dyDescent="0.25">
      <c r="A8" s="3"/>
      <c r="B8" s="7" t="s">
        <v>15</v>
      </c>
      <c r="C8" s="8">
        <v>30558</v>
      </c>
      <c r="D8" s="8">
        <v>80589</v>
      </c>
      <c r="E8" s="8">
        <v>40479</v>
      </c>
      <c r="F8" s="8">
        <v>34968</v>
      </c>
      <c r="G8" s="8">
        <v>0</v>
      </c>
      <c r="H8" s="8">
        <v>1646</v>
      </c>
      <c r="I8" s="8">
        <v>21235</v>
      </c>
      <c r="J8" s="8">
        <v>4438</v>
      </c>
      <c r="K8" s="8">
        <v>8114</v>
      </c>
      <c r="L8" s="9">
        <f t="shared" si="0"/>
        <v>222027</v>
      </c>
    </row>
    <row r="9" spans="1:13" x14ac:dyDescent="0.25">
      <c r="A9" s="3"/>
      <c r="B9" s="7" t="s">
        <v>16</v>
      </c>
      <c r="C9" s="8">
        <v>10537</v>
      </c>
      <c r="D9" s="8">
        <v>15856</v>
      </c>
      <c r="E9" s="8">
        <v>6735</v>
      </c>
      <c r="F9" s="8">
        <v>4867</v>
      </c>
      <c r="G9" s="8">
        <v>819</v>
      </c>
      <c r="H9" s="8">
        <v>1037</v>
      </c>
      <c r="I9" s="8">
        <v>30</v>
      </c>
      <c r="J9" s="8">
        <v>2980</v>
      </c>
      <c r="K9" s="8">
        <v>2227</v>
      </c>
      <c r="L9" s="9">
        <f t="shared" si="0"/>
        <v>45088</v>
      </c>
    </row>
    <row r="10" spans="1:13" x14ac:dyDescent="0.25">
      <c r="A10" s="3"/>
      <c r="B10" s="7" t="s">
        <v>17</v>
      </c>
      <c r="C10" s="8">
        <v>11422</v>
      </c>
      <c r="D10" s="8">
        <v>42864</v>
      </c>
      <c r="E10" s="8">
        <v>12275</v>
      </c>
      <c r="F10" s="8">
        <v>8305</v>
      </c>
      <c r="G10" s="8">
        <v>947</v>
      </c>
      <c r="H10" s="8">
        <v>113</v>
      </c>
      <c r="I10" s="8">
        <v>769</v>
      </c>
      <c r="J10" s="8">
        <v>2303</v>
      </c>
      <c r="K10" s="8">
        <v>4146</v>
      </c>
      <c r="L10" s="9">
        <f t="shared" si="0"/>
        <v>83144</v>
      </c>
    </row>
    <row r="11" spans="1:13" x14ac:dyDescent="0.25">
      <c r="A11" s="3"/>
      <c r="B11" s="7" t="s">
        <v>18</v>
      </c>
      <c r="C11" s="8">
        <v>4068</v>
      </c>
      <c r="D11" s="8">
        <v>20791</v>
      </c>
      <c r="E11" s="8">
        <v>7282</v>
      </c>
      <c r="F11" s="8">
        <v>6376</v>
      </c>
      <c r="G11" s="8">
        <v>611</v>
      </c>
      <c r="H11" s="8">
        <v>79</v>
      </c>
      <c r="I11" s="8">
        <v>7380</v>
      </c>
      <c r="J11" s="8">
        <v>366</v>
      </c>
      <c r="K11" s="8">
        <v>2169</v>
      </c>
      <c r="L11" s="9">
        <f t="shared" si="0"/>
        <v>49122</v>
      </c>
    </row>
    <row r="12" spans="1:13" x14ac:dyDescent="0.25">
      <c r="A12" s="3"/>
      <c r="B12" s="7" t="s">
        <v>19</v>
      </c>
      <c r="C12" s="8">
        <v>14041</v>
      </c>
      <c r="D12" s="8">
        <v>63219.6</v>
      </c>
      <c r="E12" s="8">
        <v>12548</v>
      </c>
      <c r="F12" s="8">
        <v>27953</v>
      </c>
      <c r="G12" s="8">
        <v>271</v>
      </c>
      <c r="H12" s="8">
        <v>197</v>
      </c>
      <c r="I12" s="8">
        <v>1036</v>
      </c>
      <c r="J12" s="8">
        <v>1695</v>
      </c>
      <c r="K12" s="8">
        <v>9174</v>
      </c>
      <c r="L12" s="9">
        <f t="shared" si="0"/>
        <v>130134.6</v>
      </c>
    </row>
    <row r="13" spans="1:13" x14ac:dyDescent="0.25">
      <c r="A13" s="3"/>
      <c r="B13" s="7" t="s">
        <v>20</v>
      </c>
      <c r="C13" s="8">
        <v>5869</v>
      </c>
      <c r="D13" s="8">
        <v>30388</v>
      </c>
      <c r="E13" s="8">
        <v>7735</v>
      </c>
      <c r="F13" s="8">
        <v>11292</v>
      </c>
      <c r="G13" s="8">
        <v>268</v>
      </c>
      <c r="H13" s="8">
        <v>506</v>
      </c>
      <c r="I13" s="8">
        <v>161</v>
      </c>
      <c r="J13" s="8">
        <v>2838</v>
      </c>
      <c r="K13" s="8">
        <v>3065</v>
      </c>
      <c r="L13" s="9">
        <f t="shared" si="0"/>
        <v>62122</v>
      </c>
    </row>
    <row r="14" spans="1:13" x14ac:dyDescent="0.25">
      <c r="A14" s="3"/>
      <c r="B14" s="7" t="s">
        <v>21</v>
      </c>
      <c r="C14" s="8">
        <v>24561</v>
      </c>
      <c r="D14" s="8">
        <v>36901</v>
      </c>
      <c r="E14" s="8">
        <v>10904</v>
      </c>
      <c r="F14" s="8">
        <v>11954</v>
      </c>
      <c r="G14" s="8">
        <v>1536</v>
      </c>
      <c r="H14" s="8">
        <v>687</v>
      </c>
      <c r="I14" s="8">
        <v>408</v>
      </c>
      <c r="J14" s="8">
        <v>1278</v>
      </c>
      <c r="K14" s="8">
        <v>2852</v>
      </c>
      <c r="L14" s="9">
        <f t="shared" si="0"/>
        <v>91081</v>
      </c>
    </row>
    <row r="15" spans="1:13" x14ac:dyDescent="0.25">
      <c r="A15" s="3"/>
      <c r="B15" s="7" t="s">
        <v>22</v>
      </c>
      <c r="C15" s="8">
        <v>8123</v>
      </c>
      <c r="D15" s="8">
        <v>14672</v>
      </c>
      <c r="E15" s="8">
        <v>7979</v>
      </c>
      <c r="F15" s="8">
        <v>7791</v>
      </c>
      <c r="G15" s="8">
        <v>395</v>
      </c>
      <c r="H15" s="8">
        <v>411</v>
      </c>
      <c r="I15" s="8">
        <v>487</v>
      </c>
      <c r="J15" s="8">
        <v>1484</v>
      </c>
      <c r="K15" s="8">
        <v>2101</v>
      </c>
      <c r="L15" s="9">
        <f t="shared" si="0"/>
        <v>43443</v>
      </c>
    </row>
    <row r="16" spans="1:13" x14ac:dyDescent="0.25">
      <c r="A16" s="3"/>
      <c r="B16" s="7" t="s">
        <v>23</v>
      </c>
      <c r="C16" s="8">
        <v>14220</v>
      </c>
      <c r="D16" s="8">
        <v>26876</v>
      </c>
      <c r="E16" s="8">
        <v>11607</v>
      </c>
      <c r="F16" s="8">
        <v>10313</v>
      </c>
      <c r="G16" s="8">
        <v>433</v>
      </c>
      <c r="H16" s="8">
        <v>626</v>
      </c>
      <c r="I16" s="8">
        <v>1104</v>
      </c>
      <c r="J16" s="8">
        <v>1181</v>
      </c>
      <c r="K16" s="8">
        <v>2432</v>
      </c>
      <c r="L16" s="9">
        <f t="shared" si="0"/>
        <v>68792</v>
      </c>
    </row>
    <row r="17" spans="1:12" x14ac:dyDescent="0.25">
      <c r="A17" s="10" t="s">
        <v>24</v>
      </c>
      <c r="B17" s="7" t="s">
        <v>25</v>
      </c>
      <c r="C17" s="8">
        <v>6701</v>
      </c>
      <c r="D17" s="8">
        <v>11804</v>
      </c>
      <c r="E17" s="8">
        <v>5795</v>
      </c>
      <c r="F17" s="8">
        <v>3012</v>
      </c>
      <c r="G17" s="8">
        <v>546</v>
      </c>
      <c r="H17" s="8">
        <v>374</v>
      </c>
      <c r="I17" s="8">
        <v>330</v>
      </c>
      <c r="J17" s="8">
        <v>431</v>
      </c>
      <c r="K17" s="8">
        <v>1424</v>
      </c>
      <c r="L17" s="9">
        <f t="shared" si="0"/>
        <v>30417</v>
      </c>
    </row>
    <row r="18" spans="1:12" x14ac:dyDescent="0.25">
      <c r="A18" s="3"/>
      <c r="B18" s="7" t="s">
        <v>26</v>
      </c>
      <c r="C18" s="8">
        <v>12572</v>
      </c>
      <c r="D18" s="8">
        <v>15664</v>
      </c>
      <c r="E18" s="8">
        <v>7129</v>
      </c>
      <c r="F18" s="8">
        <v>4758</v>
      </c>
      <c r="G18" s="8">
        <v>543</v>
      </c>
      <c r="H18" s="8">
        <v>2330</v>
      </c>
      <c r="I18" s="8">
        <v>664</v>
      </c>
      <c r="J18" s="8">
        <v>1231</v>
      </c>
      <c r="K18" s="8">
        <v>1691</v>
      </c>
      <c r="L18" s="9">
        <f t="shared" si="0"/>
        <v>46582</v>
      </c>
    </row>
    <row r="19" spans="1:12" x14ac:dyDescent="0.25">
      <c r="A19" s="3"/>
      <c r="B19" s="7" t="s">
        <v>27</v>
      </c>
      <c r="C19" s="8">
        <v>13130.783333333333</v>
      </c>
      <c r="D19" s="8">
        <v>43961.270000000004</v>
      </c>
      <c r="E19" s="8">
        <v>14127.450000000003</v>
      </c>
      <c r="F19" s="8">
        <v>11880.766666666666</v>
      </c>
      <c r="G19" s="8">
        <v>644.80000000000007</v>
      </c>
      <c r="H19" s="8">
        <v>313.06666666666666</v>
      </c>
      <c r="I19" s="8">
        <v>686.06666666666661</v>
      </c>
      <c r="J19" s="8">
        <v>1165</v>
      </c>
      <c r="K19" s="8">
        <v>5131.7666666666664</v>
      </c>
      <c r="L19" s="9">
        <f t="shared" si="0"/>
        <v>91040.97</v>
      </c>
    </row>
    <row r="20" spans="1:12" x14ac:dyDescent="0.25">
      <c r="A20" s="3"/>
      <c r="B20" s="7" t="s">
        <v>28</v>
      </c>
      <c r="C20" s="8">
        <v>8662</v>
      </c>
      <c r="D20" s="8">
        <v>32992</v>
      </c>
      <c r="E20" s="8">
        <v>7125</v>
      </c>
      <c r="F20" s="8">
        <v>13734</v>
      </c>
      <c r="G20" s="8">
        <v>598</v>
      </c>
      <c r="H20" s="8">
        <v>280</v>
      </c>
      <c r="I20" s="8">
        <v>24</v>
      </c>
      <c r="J20" s="8">
        <v>1083</v>
      </c>
      <c r="K20" s="8">
        <v>4858</v>
      </c>
      <c r="L20" s="9">
        <f t="shared" si="0"/>
        <v>69356</v>
      </c>
    </row>
    <row r="21" spans="1:12" x14ac:dyDescent="0.25">
      <c r="A21" s="3"/>
      <c r="B21" s="7" t="s">
        <v>29</v>
      </c>
      <c r="C21" s="8">
        <v>2996</v>
      </c>
      <c r="D21" s="8">
        <v>34552</v>
      </c>
      <c r="E21" s="8">
        <v>11755</v>
      </c>
      <c r="F21" s="8">
        <v>8527</v>
      </c>
      <c r="G21" s="8">
        <v>594</v>
      </c>
      <c r="H21" s="8">
        <v>1495</v>
      </c>
      <c r="I21" s="8">
        <v>17400</v>
      </c>
      <c r="J21" s="8">
        <v>692</v>
      </c>
      <c r="K21" s="8">
        <v>2434</v>
      </c>
      <c r="L21" s="9">
        <f t="shared" si="0"/>
        <v>80445</v>
      </c>
    </row>
    <row r="22" spans="1:12" x14ac:dyDescent="0.25">
      <c r="A22" s="3"/>
      <c r="B22" s="7" t="s">
        <v>30</v>
      </c>
      <c r="C22" s="8">
        <v>11846</v>
      </c>
      <c r="D22" s="8">
        <v>28453</v>
      </c>
      <c r="E22" s="8">
        <v>7256</v>
      </c>
      <c r="F22" s="8">
        <v>8146</v>
      </c>
      <c r="G22" s="8">
        <v>408</v>
      </c>
      <c r="H22" s="8">
        <v>409</v>
      </c>
      <c r="I22" s="8">
        <v>408</v>
      </c>
      <c r="J22" s="8">
        <v>824</v>
      </c>
      <c r="K22" s="8">
        <v>2707</v>
      </c>
      <c r="L22" s="9">
        <f t="shared" si="0"/>
        <v>60457</v>
      </c>
    </row>
    <row r="23" spans="1:12" x14ac:dyDescent="0.25">
      <c r="A23" s="3"/>
      <c r="B23" s="7" t="s">
        <v>31</v>
      </c>
      <c r="C23" s="8">
        <v>10339</v>
      </c>
      <c r="D23" s="8">
        <v>33075</v>
      </c>
      <c r="E23" s="8">
        <v>13299</v>
      </c>
      <c r="F23" s="8">
        <v>15960</v>
      </c>
      <c r="G23" s="8">
        <v>924</v>
      </c>
      <c r="H23" s="8">
        <v>1682</v>
      </c>
      <c r="I23" s="8">
        <v>205</v>
      </c>
      <c r="J23" s="8">
        <v>1251</v>
      </c>
      <c r="K23" s="8">
        <v>2996</v>
      </c>
      <c r="L23" s="9">
        <f t="shared" si="0"/>
        <v>79731</v>
      </c>
    </row>
    <row r="24" spans="1:12" x14ac:dyDescent="0.25">
      <c r="A24" s="3"/>
      <c r="B24" s="7" t="s">
        <v>32</v>
      </c>
      <c r="C24" s="8">
        <v>11097</v>
      </c>
      <c r="D24" s="8">
        <v>21618</v>
      </c>
      <c r="E24" s="8">
        <v>9162</v>
      </c>
      <c r="F24" s="8">
        <v>7740</v>
      </c>
      <c r="G24" s="8">
        <v>270</v>
      </c>
      <c r="H24" s="8">
        <v>530</v>
      </c>
      <c r="I24" s="8">
        <v>233</v>
      </c>
      <c r="J24" s="8">
        <v>306</v>
      </c>
      <c r="K24" s="8">
        <v>2073</v>
      </c>
      <c r="L24" s="9">
        <f t="shared" si="0"/>
        <v>53029</v>
      </c>
    </row>
    <row r="25" spans="1:12" x14ac:dyDescent="0.25">
      <c r="A25" s="10" t="s">
        <v>24</v>
      </c>
      <c r="B25" s="7" t="s">
        <v>33</v>
      </c>
      <c r="C25" s="8">
        <v>10710</v>
      </c>
      <c r="D25" s="8">
        <v>14662</v>
      </c>
      <c r="E25" s="8">
        <v>5768</v>
      </c>
      <c r="F25" s="8">
        <v>5416</v>
      </c>
      <c r="G25" s="8">
        <v>23</v>
      </c>
      <c r="H25" s="8">
        <v>961</v>
      </c>
      <c r="I25" s="8">
        <v>122</v>
      </c>
      <c r="J25" s="8">
        <v>176</v>
      </c>
      <c r="K25" s="8">
        <v>1440</v>
      </c>
      <c r="L25" s="9">
        <f t="shared" si="0"/>
        <v>39278</v>
      </c>
    </row>
    <row r="26" spans="1:12" x14ac:dyDescent="0.25">
      <c r="A26" s="3"/>
      <c r="B26" s="7" t="s">
        <v>34</v>
      </c>
      <c r="C26" s="8">
        <v>7070</v>
      </c>
      <c r="D26" s="8">
        <v>13897</v>
      </c>
      <c r="E26" s="8">
        <v>3961</v>
      </c>
      <c r="F26" s="8">
        <v>6382</v>
      </c>
      <c r="G26" s="8">
        <v>730</v>
      </c>
      <c r="H26" s="8">
        <v>1057</v>
      </c>
      <c r="I26" s="8">
        <v>757</v>
      </c>
      <c r="J26" s="8">
        <v>637</v>
      </c>
      <c r="K26" s="8">
        <v>1653</v>
      </c>
      <c r="L26" s="9">
        <f t="shared" si="0"/>
        <v>36144</v>
      </c>
    </row>
    <row r="27" spans="1:12" x14ac:dyDescent="0.25">
      <c r="A27" s="3"/>
      <c r="B27" s="7" t="s">
        <v>35</v>
      </c>
      <c r="C27" s="8">
        <v>97821</v>
      </c>
      <c r="D27" s="8">
        <v>64062</v>
      </c>
      <c r="E27" s="8">
        <v>9305</v>
      </c>
      <c r="F27" s="8">
        <v>29870</v>
      </c>
      <c r="G27" s="8">
        <v>947</v>
      </c>
      <c r="H27" s="8">
        <v>2331</v>
      </c>
      <c r="I27" s="8">
        <v>994</v>
      </c>
      <c r="J27" s="8">
        <v>1210</v>
      </c>
      <c r="K27" s="8">
        <v>5504</v>
      </c>
      <c r="L27" s="9">
        <f t="shared" si="0"/>
        <v>212044</v>
      </c>
    </row>
    <row r="28" spans="1:12" x14ac:dyDescent="0.25">
      <c r="A28" s="3"/>
      <c r="B28" s="7" t="s">
        <v>36</v>
      </c>
      <c r="C28" s="8">
        <v>12915</v>
      </c>
      <c r="D28" s="8">
        <v>21850</v>
      </c>
      <c r="E28" s="8">
        <v>5971</v>
      </c>
      <c r="F28" s="8">
        <v>10198</v>
      </c>
      <c r="G28" s="8">
        <v>658</v>
      </c>
      <c r="H28" s="8">
        <v>477</v>
      </c>
      <c r="I28" s="8">
        <v>2737</v>
      </c>
      <c r="J28" s="8">
        <v>440</v>
      </c>
      <c r="K28" s="8">
        <v>2676</v>
      </c>
      <c r="L28" s="9">
        <f t="shared" si="0"/>
        <v>57922</v>
      </c>
    </row>
    <row r="29" spans="1:12" x14ac:dyDescent="0.25">
      <c r="A29" s="3"/>
      <c r="B29" s="7" t="s">
        <v>37</v>
      </c>
      <c r="C29" s="8">
        <v>4361</v>
      </c>
      <c r="D29" s="8">
        <v>12166</v>
      </c>
      <c r="E29" s="8">
        <v>3274</v>
      </c>
      <c r="F29" s="8">
        <v>2597</v>
      </c>
      <c r="G29" s="8">
        <v>145</v>
      </c>
      <c r="H29" s="8">
        <v>620</v>
      </c>
      <c r="I29" s="8">
        <v>1283</v>
      </c>
      <c r="J29" s="8">
        <v>401</v>
      </c>
      <c r="K29" s="8">
        <v>922</v>
      </c>
      <c r="L29" s="9">
        <f t="shared" si="0"/>
        <v>25769</v>
      </c>
    </row>
    <row r="30" spans="1:12" x14ac:dyDescent="0.25">
      <c r="A30" s="3"/>
      <c r="B30" s="11" t="s">
        <v>38</v>
      </c>
      <c r="C30" s="12">
        <v>14135</v>
      </c>
      <c r="D30" s="12">
        <v>31990</v>
      </c>
      <c r="E30" s="12">
        <v>24139</v>
      </c>
      <c r="F30" s="12">
        <v>17173</v>
      </c>
      <c r="G30" s="12">
        <v>1127</v>
      </c>
      <c r="H30" s="12">
        <v>129</v>
      </c>
      <c r="I30" s="12">
        <v>1660</v>
      </c>
      <c r="J30" s="12">
        <v>8420</v>
      </c>
      <c r="K30" s="12">
        <v>5929</v>
      </c>
      <c r="L30" s="13">
        <f t="shared" si="0"/>
        <v>104702</v>
      </c>
    </row>
    <row r="31" spans="1:12" x14ac:dyDescent="0.25">
      <c r="A31" s="3"/>
      <c r="B31" s="23" t="s">
        <v>39</v>
      </c>
      <c r="C31" s="14">
        <f t="shared" ref="C31:K31" si="1">SUM(C7:C30)</f>
        <v>467197.78333333333</v>
      </c>
      <c r="D31" s="14">
        <f t="shared" si="1"/>
        <v>1045787.87</v>
      </c>
      <c r="E31" s="14">
        <f t="shared" si="1"/>
        <v>320132.45</v>
      </c>
      <c r="F31" s="14">
        <f t="shared" si="1"/>
        <v>360208.76666666666</v>
      </c>
      <c r="G31" s="14">
        <f t="shared" si="1"/>
        <v>14410.8</v>
      </c>
      <c r="H31" s="14">
        <f t="shared" si="1"/>
        <v>20820.066666666666</v>
      </c>
      <c r="I31" s="14">
        <f t="shared" si="1"/>
        <v>91492.066666666666</v>
      </c>
      <c r="J31" s="14">
        <f t="shared" si="1"/>
        <v>39339</v>
      </c>
      <c r="K31" s="14">
        <f t="shared" si="1"/>
        <v>105707.76666666666</v>
      </c>
      <c r="L31" s="14">
        <f t="shared" si="0"/>
        <v>2465096.5700000003</v>
      </c>
    </row>
    <row r="32" spans="1:12" x14ac:dyDescent="0.25">
      <c r="A32" s="3"/>
      <c r="B32" s="15" t="s">
        <v>40</v>
      </c>
      <c r="C32" s="16"/>
      <c r="D32" s="16"/>
      <c r="E32" s="16"/>
      <c r="F32" s="16"/>
      <c r="G32" s="16"/>
      <c r="H32" s="16"/>
      <c r="I32" s="16"/>
      <c r="J32" s="16"/>
      <c r="K32" s="16"/>
      <c r="L32" s="17"/>
    </row>
    <row r="33" spans="1:12" x14ac:dyDescent="0.25">
      <c r="A33" s="3"/>
      <c r="B33" s="15"/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x14ac:dyDescent="0.25">
      <c r="B34" s="18" t="s">
        <v>41</v>
      </c>
    </row>
    <row r="35" spans="1:12" x14ac:dyDescent="0.25">
      <c r="B35" s="24" t="s">
        <v>42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</row>
  </sheetData>
  <mergeCells count="15">
    <mergeCell ref="A2:L2"/>
    <mergeCell ref="B3:L3"/>
    <mergeCell ref="B4:L4"/>
    <mergeCell ref="B5:B6"/>
    <mergeCell ref="C5:C6"/>
    <mergeCell ref="D5:D6"/>
    <mergeCell ref="E5:E6"/>
    <mergeCell ref="F5:F6"/>
    <mergeCell ref="G5:G6"/>
    <mergeCell ref="H5:H6"/>
    <mergeCell ref="B35:L35"/>
    <mergeCell ref="I5:I6"/>
    <mergeCell ref="J5:J6"/>
    <mergeCell ref="K5:K6"/>
    <mergeCell ref="L5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2026-09-22T15:39:12Z</dcterms:created>
  <dcterms:modified xsi:type="dcterms:W3CDTF">2026-10-14T17:40:31Z</dcterms:modified>
</cp:coreProperties>
</file>