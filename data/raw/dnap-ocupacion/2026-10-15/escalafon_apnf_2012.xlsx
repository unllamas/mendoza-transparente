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35DD1C79-DF71-4064-A333-9262FEA2696B}" xr6:coauthVersionLast="47" xr6:coauthVersionMax="47" xr10:uidLastSave="{00000000-0000-0000-0000-000000000000}"/>
  <bookViews>
    <workbookView xWindow="-120" yWindow="-120" windowWidth="29040" windowHeight="15840" xr2:uid="{104381B2-7D94-4E54-822E-2C2F00B1E340}"/>
  </bookViews>
  <sheets>
    <sheet name="12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<sst xmlns="http://schemas.openxmlformats.org/spreadsheetml/2006/main" count="49" uniqueCount="47">
  <si>
    <t>PLANTA DE LA ADMINISTRACIÓN PÚBLICA PROVINCIAL NO FINANCIERA POR ESCALAFÓN - 24 JURISDICCIONES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</si>
  <si>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</si>
  <si>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</si>
  <si>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</si>
  <si>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</si>
  <si>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</si>
  <si>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</si>
  <si>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</si>
  <si>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</si>
  <si>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</si>
  <si>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</si>
  <si>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</si>
  <si>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</si>
  <si>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</si>
  <si>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</si>
  <si>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</si>
  <si>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</si>
  <si>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</si>
  <si>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</si>
  <si>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</si>
  <si>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</si>
  <si>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</si>
  <si>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</si>
  <si>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</si>
  <si>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</si>
  <si>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</si>
  <si>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</si>
  <si>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</si>
  <si>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</si>
  <si>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</si>
  <si>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</si>
  <si>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</si>
  <si>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</si>
  <si>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</si>
  <si>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</si>
  <si>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</si>
  <si>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</si>
  <si>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</si>
  <si>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</si>
  <si>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</si>
  <si>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</si>
  <si>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</si>
  <si>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t>(1): Cargos Ocupados con y sin remuneración, informado por las jurisdicciones sin discriminar.</t>
  </si>
  <si>
    <t>A DICIEMBRE DE 2012</t>
  </si>
  <si>
    <r>
      <t>Nota</t>
    </r>
    <r>
      <rPr>
        <sz val="10"/>
        <rFont val="Roboto"/>
      </rPr>
      <t xml:space="preserve">: La información suministrada hasta 2016 cuantifica al Personal Ocupado en la Administración Pública No Financiera, según especificación del Anexo III, Art. 7° (Reglamentado por Decreto 1731/2004). A partir de los cambios metodológicos informados por el Consejo Federal de Responsabilidad Fiscal, de aplicación a partir de Diciembre 2017, la misma no es comparable con la información suministrada por las jurisdicciones a partir de 2017 y ejercicios posteriores. </t>
    </r>
  </si>
  <si>
    <r>
      <t>CARGOS OCUPADOS</t>
    </r>
    <r>
      <rPr>
        <vertAlign val="superscript"/>
        <sz val="11"/>
        <color theme="1"/>
        <rFont val="Roboto"/>
      </rPr>
      <t>(1)</t>
    </r>
    <r>
      <rPr>
        <sz val="11"/>
        <color theme="1"/>
        <rFont val="Roboto"/>
      </rPr>
      <t xml:space="preserve"> POR JURISDICCIÓN  - 24 JURISDICCIONES</t>
    </r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</si>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</sst>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theme="1"/>
      <name val="Roboto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vertAlign val="superscript"/>
      <sz val="11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6" fillId="0" borderId="1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2" applyFont="1"/>
    <xf numFmtId="0" fontId="6" fillId="0" borderId="0" xfId="2" applyFont="1"/>
    <xf numFmtId="164" fontId="6" fillId="2" borderId="3" xfId="1" applyNumberFormat="1" applyFont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/>
    </xf>
    <xf numFmtId="2" fontId="6" fillId="0" borderId="5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2" fontId="13" fillId="3" borderId="7" xfId="0" applyNumberFormat="1" applyFont="1" applyFill="1" applyBorder="1" applyAlignment="1">
      <alignment horizontal="center" vertical="center" wrapText="1"/>
    </xf>
    <xf numFmtId="2" fontId="13" fillId="3" borderId="8" xfId="0" applyNumberFormat="1" applyFont="1" applyFill="1" applyBorder="1" applyAlignment="1">
      <alignment horizontal="center" vertical="center" wrapText="1"/>
    </xf>
    <xf numFmtId="2" fontId="13" fillId="3" borderId="9" xfId="0" applyNumberFormat="1" applyFont="1" applyFill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9252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444000-723F-42BA-AFE2-B7B97ADE7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9"/>
  <sheetViews>
    <sheetView tabSelected="1" workbookViewId="0">
      <selection activeCell="B2" sqref="B2:L2"/>
    </sheetView>
  </sheetViews>
  <sheetFormatPr baseColWidth="10" defaultRowHeight="15" x14ac:dyDescent="0.25"/>
  <cols>
    <col min="1" max="1" width="4.7109375" style="12" customWidth="1"/>
    <col min="2" max="2" width="20.57031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6.5" x14ac:dyDescent="0.25">
      <c r="A2" s="26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5.75" customHeight="1" x14ac:dyDescent="0.25">
      <c r="A3" s="14"/>
      <c r="B3" s="28" t="s">
        <v>45</v>
      </c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x14ac:dyDescent="0.25">
      <c r="A4" s="14"/>
      <c r="B4" s="29" t="s">
        <v>43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ht="15" customHeight="1" x14ac:dyDescent="0.25">
      <c r="A5" s="14"/>
      <c r="B5" s="30" t="s">
        <v>1</v>
      </c>
      <c r="C5" s="30" t="s">
        <v>2</v>
      </c>
      <c r="D5" s="30" t="s">
        <v>3</v>
      </c>
      <c r="E5" s="30" t="s">
        <v>4</v>
      </c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11</v>
      </c>
    </row>
    <row r="6" spans="1:12" x14ac:dyDescent="0.25">
      <c r="A6" s="14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x14ac:dyDescent="0.25">
      <c r="A7" s="14"/>
      <c r="B7" s="1" t="s">
        <v>12</v>
      </c>
      <c r="C7" s="2">
        <v>140048</v>
      </c>
      <c r="D7" s="2">
        <v>386056</v>
      </c>
      <c r="E7" s="2">
        <v>14092</v>
      </c>
      <c r="F7" s="2">
        <v>79113</v>
      </c>
      <c r="G7" s="2">
        <v>1174</v>
      </c>
      <c r="H7" s="2">
        <v>175</v>
      </c>
      <c r="I7" s="2">
        <v>10169</v>
      </c>
      <c r="J7" s="2">
        <v>4870</v>
      </c>
      <c r="K7" s="2">
        <v>22537</v>
      </c>
      <c r="L7" s="3">
        <f t="shared" ref="L7:L31" si="0">+SUM(C7:K7)</f>
        <v>658234</v>
      </c>
    </row>
    <row r="8" spans="1:12" x14ac:dyDescent="0.25">
      <c r="A8" s="21" t="s">
        <v>39</v>
      </c>
      <c r="B8" s="4" t="s">
        <v>13</v>
      </c>
      <c r="C8" s="5">
        <v>156342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6">
        <f t="shared" si="0"/>
        <v>156342</v>
      </c>
    </row>
    <row r="9" spans="1:12" x14ac:dyDescent="0.25">
      <c r="A9" s="14"/>
      <c r="B9" s="4" t="s">
        <v>14</v>
      </c>
      <c r="C9" s="5">
        <v>11076</v>
      </c>
      <c r="D9" s="5">
        <v>15336</v>
      </c>
      <c r="E9" s="5">
        <v>5808</v>
      </c>
      <c r="F9" s="5">
        <v>3614</v>
      </c>
      <c r="G9" s="5">
        <v>1317</v>
      </c>
      <c r="H9" s="5">
        <v>906</v>
      </c>
      <c r="I9" s="5">
        <v>323</v>
      </c>
      <c r="J9" s="5">
        <v>1671</v>
      </c>
      <c r="K9" s="5">
        <v>1505</v>
      </c>
      <c r="L9" s="6">
        <f t="shared" si="0"/>
        <v>41556</v>
      </c>
    </row>
    <row r="10" spans="1:12" x14ac:dyDescent="0.25">
      <c r="A10" s="14"/>
      <c r="B10" s="4" t="s">
        <v>15</v>
      </c>
      <c r="C10" s="5">
        <v>9077</v>
      </c>
      <c r="D10" s="5">
        <v>38501</v>
      </c>
      <c r="E10" s="5">
        <v>8140</v>
      </c>
      <c r="F10" s="5">
        <v>6040</v>
      </c>
      <c r="G10" s="5">
        <v>739</v>
      </c>
      <c r="H10" s="5">
        <v>164</v>
      </c>
      <c r="I10" s="5">
        <v>538</v>
      </c>
      <c r="J10" s="5">
        <v>1492</v>
      </c>
      <c r="K10" s="5">
        <v>3119</v>
      </c>
      <c r="L10" s="6">
        <f t="shared" si="0"/>
        <v>67810</v>
      </c>
    </row>
    <row r="11" spans="1:12" x14ac:dyDescent="0.25">
      <c r="A11" s="14"/>
      <c r="B11" s="4" t="s">
        <v>16</v>
      </c>
      <c r="C11" s="5">
        <v>8894</v>
      </c>
      <c r="D11" s="5">
        <v>16927</v>
      </c>
      <c r="E11" s="5">
        <v>5329</v>
      </c>
      <c r="F11" s="5">
        <v>4253</v>
      </c>
      <c r="G11" s="5">
        <v>761</v>
      </c>
      <c r="H11" s="5">
        <v>306</v>
      </c>
      <c r="I11" s="5">
        <v>1761</v>
      </c>
      <c r="J11" s="5">
        <v>274</v>
      </c>
      <c r="K11" s="5">
        <v>1625</v>
      </c>
      <c r="L11" s="6">
        <f t="shared" si="0"/>
        <v>40130</v>
      </c>
    </row>
    <row r="12" spans="1:12" x14ac:dyDescent="0.25">
      <c r="A12" s="14"/>
      <c r="B12" s="4" t="s">
        <v>17</v>
      </c>
      <c r="C12" s="5">
        <v>20461</v>
      </c>
      <c r="D12" s="5">
        <v>53044</v>
      </c>
      <c r="E12" s="5">
        <v>10920</v>
      </c>
      <c r="F12" s="5">
        <v>23519</v>
      </c>
      <c r="G12" s="5">
        <v>348</v>
      </c>
      <c r="H12" s="5">
        <v>160</v>
      </c>
      <c r="I12" s="5">
        <v>1696</v>
      </c>
      <c r="J12" s="5">
        <v>1121</v>
      </c>
      <c r="K12" s="5">
        <v>6923</v>
      </c>
      <c r="L12" s="6">
        <f t="shared" si="0"/>
        <v>118192</v>
      </c>
    </row>
    <row r="13" spans="1:12" x14ac:dyDescent="0.25">
      <c r="A13" s="14"/>
      <c r="B13" s="4" t="s">
        <v>18</v>
      </c>
      <c r="C13" s="5">
        <v>8061</v>
      </c>
      <c r="D13" s="5">
        <v>29586</v>
      </c>
      <c r="E13" s="5">
        <v>6969</v>
      </c>
      <c r="F13" s="5">
        <v>6585</v>
      </c>
      <c r="G13" s="5">
        <v>533</v>
      </c>
      <c r="H13" s="5">
        <v>283</v>
      </c>
      <c r="I13" s="5">
        <v>853</v>
      </c>
      <c r="J13" s="5">
        <v>2372</v>
      </c>
      <c r="K13" s="5">
        <v>2231</v>
      </c>
      <c r="L13" s="6">
        <f t="shared" si="0"/>
        <v>57473</v>
      </c>
    </row>
    <row r="14" spans="1:12" x14ac:dyDescent="0.25">
      <c r="A14" s="14"/>
      <c r="B14" s="4" t="s">
        <v>19</v>
      </c>
      <c r="C14" s="5">
        <v>21592</v>
      </c>
      <c r="D14" s="5">
        <v>34882</v>
      </c>
      <c r="E14" s="5">
        <v>8320</v>
      </c>
      <c r="F14" s="5">
        <v>10766</v>
      </c>
      <c r="G14" s="5">
        <v>1843</v>
      </c>
      <c r="H14" s="5">
        <v>534</v>
      </c>
      <c r="I14" s="5">
        <v>263</v>
      </c>
      <c r="J14" s="5">
        <v>370</v>
      </c>
      <c r="K14" s="5">
        <v>2114</v>
      </c>
      <c r="L14" s="6">
        <f t="shared" si="0"/>
        <v>80684</v>
      </c>
    </row>
    <row r="15" spans="1:12" x14ac:dyDescent="0.25">
      <c r="A15" s="14"/>
      <c r="B15" s="4" t="s">
        <v>20</v>
      </c>
      <c r="C15" s="5">
        <v>9350</v>
      </c>
      <c r="D15" s="5">
        <v>14701</v>
      </c>
      <c r="E15" s="5">
        <v>4744</v>
      </c>
      <c r="F15" s="5">
        <v>3854</v>
      </c>
      <c r="G15" s="5">
        <v>496</v>
      </c>
      <c r="H15" s="5">
        <v>406</v>
      </c>
      <c r="I15" s="5">
        <v>345</v>
      </c>
      <c r="J15" s="5">
        <v>2227</v>
      </c>
      <c r="K15" s="5">
        <v>1358</v>
      </c>
      <c r="L15" s="6">
        <f t="shared" si="0"/>
        <v>37481</v>
      </c>
    </row>
    <row r="16" spans="1:12" x14ac:dyDescent="0.25">
      <c r="A16" s="14"/>
      <c r="B16" s="4" t="s">
        <v>21</v>
      </c>
      <c r="C16" s="5">
        <v>10718</v>
      </c>
      <c r="D16" s="5">
        <v>26966</v>
      </c>
      <c r="E16" s="5">
        <v>7652</v>
      </c>
      <c r="F16" s="5">
        <v>7657</v>
      </c>
      <c r="G16" s="5">
        <v>370</v>
      </c>
      <c r="H16" s="5">
        <v>296</v>
      </c>
      <c r="I16" s="5">
        <v>981</v>
      </c>
      <c r="J16" s="5">
        <v>864</v>
      </c>
      <c r="K16" s="5">
        <v>1202</v>
      </c>
      <c r="L16" s="6">
        <f t="shared" si="0"/>
        <v>56706</v>
      </c>
    </row>
    <row r="17" spans="1:12" x14ac:dyDescent="0.25">
      <c r="A17" s="15" t="s">
        <v>22</v>
      </c>
      <c r="B17" s="4" t="s">
        <v>23</v>
      </c>
      <c r="C17" s="5">
        <v>5878</v>
      </c>
      <c r="D17" s="5">
        <v>9183</v>
      </c>
      <c r="E17" s="5">
        <v>4115</v>
      </c>
      <c r="F17" s="5">
        <v>2439</v>
      </c>
      <c r="G17" s="5">
        <v>546</v>
      </c>
      <c r="H17" s="5">
        <v>224</v>
      </c>
      <c r="I17" s="5">
        <v>333</v>
      </c>
      <c r="J17" s="5">
        <v>386</v>
      </c>
      <c r="K17" s="5">
        <v>1007</v>
      </c>
      <c r="L17" s="6">
        <f t="shared" si="0"/>
        <v>24111</v>
      </c>
    </row>
    <row r="18" spans="1:12" x14ac:dyDescent="0.25">
      <c r="A18" s="14"/>
      <c r="B18" s="4" t="s">
        <v>24</v>
      </c>
      <c r="C18" s="5">
        <v>10236</v>
      </c>
      <c r="D18" s="5">
        <v>13224</v>
      </c>
      <c r="E18" s="5">
        <v>3558</v>
      </c>
      <c r="F18" s="5">
        <v>3986</v>
      </c>
      <c r="G18" s="5">
        <v>481</v>
      </c>
      <c r="H18" s="5">
        <v>235</v>
      </c>
      <c r="I18" s="5">
        <v>700</v>
      </c>
      <c r="J18" s="5">
        <v>674</v>
      </c>
      <c r="K18" s="5">
        <v>938</v>
      </c>
      <c r="L18" s="6">
        <f t="shared" si="0"/>
        <v>34032</v>
      </c>
    </row>
    <row r="19" spans="1:12" x14ac:dyDescent="0.25">
      <c r="A19" s="21" t="s">
        <v>39</v>
      </c>
      <c r="B19" s="4" t="s">
        <v>25</v>
      </c>
      <c r="C19" s="5">
        <v>89260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6">
        <f t="shared" si="0"/>
        <v>89260</v>
      </c>
    </row>
    <row r="20" spans="1:12" x14ac:dyDescent="0.25">
      <c r="A20" s="14"/>
      <c r="B20" s="4" t="s">
        <v>26</v>
      </c>
      <c r="C20" s="5">
        <v>5669</v>
      </c>
      <c r="D20" s="5">
        <v>29751</v>
      </c>
      <c r="E20" s="5">
        <v>5486</v>
      </c>
      <c r="F20" s="5">
        <v>7804</v>
      </c>
      <c r="G20" s="5">
        <v>538</v>
      </c>
      <c r="H20" s="5">
        <v>259</v>
      </c>
      <c r="I20" s="5">
        <v>310</v>
      </c>
      <c r="J20" s="5">
        <v>1176</v>
      </c>
      <c r="K20" s="5">
        <v>2883</v>
      </c>
      <c r="L20" s="6">
        <f t="shared" si="0"/>
        <v>53876</v>
      </c>
    </row>
    <row r="21" spans="1:12" x14ac:dyDescent="0.25">
      <c r="A21" s="14"/>
      <c r="B21" s="4" t="s">
        <v>27</v>
      </c>
      <c r="C21" s="5">
        <v>14770</v>
      </c>
      <c r="D21" s="5">
        <v>25110</v>
      </c>
      <c r="E21" s="5">
        <v>7307</v>
      </c>
      <c r="F21" s="5">
        <v>5847</v>
      </c>
      <c r="G21" s="5">
        <v>620</v>
      </c>
      <c r="H21" s="5">
        <v>215</v>
      </c>
      <c r="I21" s="5">
        <v>260</v>
      </c>
      <c r="J21" s="5">
        <v>566</v>
      </c>
      <c r="K21" s="5">
        <v>1614</v>
      </c>
      <c r="L21" s="6">
        <f t="shared" si="0"/>
        <v>56309</v>
      </c>
    </row>
    <row r="22" spans="1:12" x14ac:dyDescent="0.25">
      <c r="A22" s="14"/>
      <c r="B22" s="4" t="s">
        <v>28</v>
      </c>
      <c r="C22" s="5">
        <v>10477</v>
      </c>
      <c r="D22" s="5">
        <v>25176</v>
      </c>
      <c r="E22" s="5">
        <v>6298</v>
      </c>
      <c r="F22" s="5">
        <v>6305</v>
      </c>
      <c r="G22" s="5">
        <v>0</v>
      </c>
      <c r="H22" s="5">
        <v>274</v>
      </c>
      <c r="I22" s="5">
        <v>308</v>
      </c>
      <c r="J22" s="5">
        <v>724</v>
      </c>
      <c r="K22" s="5">
        <v>1504</v>
      </c>
      <c r="L22" s="6">
        <f t="shared" si="0"/>
        <v>51066</v>
      </c>
    </row>
    <row r="23" spans="1:12" x14ac:dyDescent="0.25">
      <c r="A23" s="14"/>
      <c r="B23" s="4" t="s">
        <v>29</v>
      </c>
      <c r="C23" s="5">
        <v>10904</v>
      </c>
      <c r="D23" s="5">
        <v>25208</v>
      </c>
      <c r="E23" s="5">
        <v>8945</v>
      </c>
      <c r="F23" s="5">
        <v>11594</v>
      </c>
      <c r="G23" s="5">
        <v>711</v>
      </c>
      <c r="H23" s="5">
        <v>990</v>
      </c>
      <c r="I23" s="5">
        <v>102</v>
      </c>
      <c r="J23" s="5">
        <v>1010</v>
      </c>
      <c r="K23" s="5">
        <v>3405</v>
      </c>
      <c r="L23" s="6">
        <f t="shared" si="0"/>
        <v>62869</v>
      </c>
    </row>
    <row r="24" spans="1:12" x14ac:dyDescent="0.25">
      <c r="A24" s="14"/>
      <c r="B24" s="4" t="s">
        <v>30</v>
      </c>
      <c r="C24" s="5">
        <v>6849</v>
      </c>
      <c r="D24" s="5">
        <v>13978</v>
      </c>
      <c r="E24" s="5">
        <v>5042</v>
      </c>
      <c r="F24" s="5">
        <v>3977</v>
      </c>
      <c r="G24" s="5">
        <v>267</v>
      </c>
      <c r="H24" s="5">
        <v>497</v>
      </c>
      <c r="I24" s="5">
        <v>3798</v>
      </c>
      <c r="J24" s="5">
        <v>393</v>
      </c>
      <c r="K24" s="5">
        <v>1001</v>
      </c>
      <c r="L24" s="6">
        <f t="shared" si="0"/>
        <v>35802</v>
      </c>
    </row>
    <row r="25" spans="1:12" x14ac:dyDescent="0.25">
      <c r="A25" s="15" t="s">
        <v>22</v>
      </c>
      <c r="B25" s="4" t="s">
        <v>31</v>
      </c>
      <c r="C25" s="5">
        <v>4632</v>
      </c>
      <c r="D25" s="5">
        <v>8690</v>
      </c>
      <c r="E25" s="5">
        <v>3182</v>
      </c>
      <c r="F25" s="5">
        <v>3384</v>
      </c>
      <c r="G25" s="5">
        <v>242</v>
      </c>
      <c r="H25" s="5">
        <v>500</v>
      </c>
      <c r="I25" s="5">
        <v>40</v>
      </c>
      <c r="J25" s="5">
        <v>340</v>
      </c>
      <c r="K25" s="5">
        <v>0</v>
      </c>
      <c r="L25" s="6">
        <f t="shared" si="0"/>
        <v>21010</v>
      </c>
    </row>
    <row r="26" spans="1:12" x14ac:dyDescent="0.25">
      <c r="A26" s="14"/>
      <c r="B26" s="4" t="s">
        <v>32</v>
      </c>
      <c r="C26" s="5">
        <v>6441</v>
      </c>
      <c r="D26" s="5">
        <v>11075</v>
      </c>
      <c r="E26" s="5">
        <v>3046</v>
      </c>
      <c r="F26" s="5">
        <v>3984</v>
      </c>
      <c r="G26" s="5">
        <v>857</v>
      </c>
      <c r="H26" s="5">
        <v>0</v>
      </c>
      <c r="I26" s="5">
        <v>445</v>
      </c>
      <c r="J26" s="5">
        <v>627</v>
      </c>
      <c r="K26" s="5">
        <v>975</v>
      </c>
      <c r="L26" s="6">
        <f t="shared" si="0"/>
        <v>27450</v>
      </c>
    </row>
    <row r="27" spans="1:12" x14ac:dyDescent="0.25">
      <c r="A27" s="14"/>
      <c r="B27" s="4" t="s">
        <v>33</v>
      </c>
      <c r="C27" s="5">
        <v>32754</v>
      </c>
      <c r="D27" s="5">
        <v>50985</v>
      </c>
      <c r="E27" s="5">
        <v>5922</v>
      </c>
      <c r="F27" s="5">
        <v>20848</v>
      </c>
      <c r="G27" s="5">
        <v>1158</v>
      </c>
      <c r="H27" s="5">
        <v>443</v>
      </c>
      <c r="I27" s="5">
        <v>1887</v>
      </c>
      <c r="J27" s="5">
        <v>1121</v>
      </c>
      <c r="K27" s="5">
        <v>3200</v>
      </c>
      <c r="L27" s="6">
        <f t="shared" si="0"/>
        <v>118318</v>
      </c>
    </row>
    <row r="28" spans="1:12" x14ac:dyDescent="0.25">
      <c r="A28" s="14"/>
      <c r="B28" s="4" t="s">
        <v>34</v>
      </c>
      <c r="C28" s="5">
        <v>8802</v>
      </c>
      <c r="D28" s="5">
        <v>22466</v>
      </c>
      <c r="E28" s="5">
        <v>6363</v>
      </c>
      <c r="F28" s="5">
        <v>6260</v>
      </c>
      <c r="G28" s="5">
        <v>904</v>
      </c>
      <c r="H28" s="5">
        <v>398</v>
      </c>
      <c r="I28" s="5">
        <v>6387</v>
      </c>
      <c r="J28" s="5">
        <v>228</v>
      </c>
      <c r="K28" s="5">
        <v>1945</v>
      </c>
      <c r="L28" s="6">
        <f t="shared" si="0"/>
        <v>53753</v>
      </c>
    </row>
    <row r="29" spans="1:12" x14ac:dyDescent="0.25">
      <c r="A29" s="14"/>
      <c r="B29" s="4" t="s">
        <v>35</v>
      </c>
      <c r="C29" s="5">
        <v>5077</v>
      </c>
      <c r="D29" s="5">
        <v>7760</v>
      </c>
      <c r="E29" s="5">
        <v>1932</v>
      </c>
      <c r="F29" s="5">
        <v>1757</v>
      </c>
      <c r="G29" s="5">
        <v>122</v>
      </c>
      <c r="H29" s="5">
        <v>200</v>
      </c>
      <c r="I29" s="5">
        <v>145</v>
      </c>
      <c r="J29" s="5">
        <v>253</v>
      </c>
      <c r="K29" s="5">
        <v>490</v>
      </c>
      <c r="L29" s="6">
        <f t="shared" si="0"/>
        <v>17736</v>
      </c>
    </row>
    <row r="30" spans="1:12" x14ac:dyDescent="0.25">
      <c r="A30" s="14"/>
      <c r="B30" s="7" t="s">
        <v>36</v>
      </c>
      <c r="C30" s="8">
        <v>12667</v>
      </c>
      <c r="D30" s="8">
        <v>28880</v>
      </c>
      <c r="E30" s="8">
        <v>16100</v>
      </c>
      <c r="F30" s="8">
        <v>8868</v>
      </c>
      <c r="G30" s="8">
        <v>1424</v>
      </c>
      <c r="H30" s="8">
        <v>145</v>
      </c>
      <c r="I30" s="8">
        <v>1702</v>
      </c>
      <c r="J30" s="8">
        <v>2770</v>
      </c>
      <c r="K30" s="8">
        <v>3078</v>
      </c>
      <c r="L30" s="9">
        <f t="shared" si="0"/>
        <v>75634</v>
      </c>
    </row>
    <row r="31" spans="1:12" x14ac:dyDescent="0.25">
      <c r="A31" s="14"/>
      <c r="B31" s="32" t="s">
        <v>37</v>
      </c>
      <c r="C31" s="10">
        <f t="shared" ref="C31:K31" si="1">SUM(C7:C30)</f>
        <v>620035</v>
      </c>
      <c r="D31" s="10">
        <f t="shared" si="1"/>
        <v>887485</v>
      </c>
      <c r="E31" s="10">
        <f t="shared" si="1"/>
        <v>149270</v>
      </c>
      <c r="F31" s="10">
        <f t="shared" si="1"/>
        <v>232454</v>
      </c>
      <c r="G31" s="10">
        <f t="shared" si="1"/>
        <v>15451</v>
      </c>
      <c r="H31" s="10">
        <f t="shared" si="1"/>
        <v>7610</v>
      </c>
      <c r="I31" s="10">
        <f t="shared" si="1"/>
        <v>33346</v>
      </c>
      <c r="J31" s="10">
        <f t="shared" si="1"/>
        <v>25529</v>
      </c>
      <c r="K31" s="10">
        <f t="shared" si="1"/>
        <v>64654</v>
      </c>
      <c r="L31" s="10">
        <f t="shared" si="0"/>
        <v>2035834</v>
      </c>
    </row>
    <row r="32" spans="1:12" x14ac:dyDescent="0.25">
      <c r="A32" s="14"/>
      <c r="B32" s="25" t="s">
        <v>42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14"/>
      <c r="B33" s="11" t="s">
        <v>38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1" t="s">
        <v>41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x14ac:dyDescent="0.25">
      <c r="B35" s="19" t="s">
        <v>40</v>
      </c>
    </row>
    <row r="36" spans="1:12" ht="15" customHeight="1" x14ac:dyDescent="0.25">
      <c r="B36" s="22" t="s">
        <v>44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 x14ac:dyDescent="0.25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 x14ac:dyDescent="0.25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 x14ac:dyDescent="0.25">
      <c r="B39" s="24" t="s">
        <v>46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</row>
  </sheetData>
  <mergeCells count="17">
    <mergeCell ref="B36:L38"/>
    <mergeCell ref="B39:L39"/>
    <mergeCell ref="I5:I6"/>
    <mergeCell ref="J5:J6"/>
    <mergeCell ref="K5:K6"/>
    <mergeCell ref="L5:L6"/>
    <mergeCell ref="B32:L32"/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1212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2026-10-06T20:59:21Z</dcterms:modified>
</cp:coreProperties>
</file>