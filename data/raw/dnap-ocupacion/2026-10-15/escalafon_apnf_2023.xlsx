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297CDA79-194F-4B85-8921-EDA96D5D5C8C}" xr6:coauthVersionLast="47" xr6:coauthVersionMax="47" xr10:uidLastSave="{00000000-0000-0000-0000-000000000000}"/>
  <bookViews>
    <workbookView xWindow="-28920" yWindow="15" windowWidth="29040" windowHeight="15840" xr2:uid="{104381B2-7D94-4E54-822E-2C2F00B1E340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<sst xmlns="http://schemas.openxmlformats.org/spreadsheetml/2006/main" count="46" uniqueCount="45">
  <si>
    <t>PLANTA DE LA ADMINISTRACIÓN PÚBLICA PROVINCIAL NO FINANCIERA POR ESCALAFÓN - 24 JURISDICCIONES</t>
  </si>
  <si>
    <t>CARGOS OCUPADOS CON LIQUIDACIÓN DE HABERES</t>
  </si>
  <si>
    <t>A DICIEMBRE DE 2023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</si>
  <si>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</si>
  <si>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</si>
  <si>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</si>
  <si>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</si>
  <si>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</si>
  <si>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</si>
  <si>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</si>
  <si>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</si>
  <si>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</si>
  <si>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</si>
  <si>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</si>
  <si>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</si>
  <si>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</si>
  <si>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</si>
  <si>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</si>
  <si>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</si>
  <si>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</si>
  <si>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</si>
  <si>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</si>
  <si>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</si>
  <si>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</si>
  <si>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</si>
  <si>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</si>
  <si>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</si>
  <si>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</si>
  <si>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</si>
  <si>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</si>
  <si>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</si>
  <si>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</si>
  <si>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</si>
  <si>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</si>
  <si>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</si>
  <si>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</si>
  <si>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</si>
  <si>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</si>
  <si>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</si>
  <si>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</si>
  <si>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</si>
  <si>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</si>
  <si>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</si>
  <si>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</si>
  <si>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r>
      <rPr>
        <b/>
        <sz val="11"/>
        <rFont val="Roboto"/>
      </rPr>
      <t>Fuente</t>
    </r>
    <r>
      <rPr>
        <sz val="11"/>
        <rFont val="Roboto"/>
      </rPr>
      <t>: Fuente: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</si>
</sst>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0"/>
      <color theme="0"/>
      <name val="Roboto"/>
    </font>
    <font>
      <b/>
      <sz val="12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5" fillId="0" borderId="1" xfId="0" applyFont="1" applyBorder="1" applyAlignment="1">
      <alignment horizontal="left" vertical="center"/>
    </xf>
    <xf numFmtId="164" fontId="5" fillId="0" borderId="1" xfId="1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64" fontId="5" fillId="0" borderId="3" xfId="1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164" fontId="5" fillId="0" borderId="2" xfId="1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6" fillId="0" borderId="0" xfId="0" quotePrefix="1" applyFont="1" applyAlignment="1">
      <alignment vertical="center"/>
    </xf>
    <xf numFmtId="0" fontId="7" fillId="0" borderId="0" xfId="2" applyFont="1"/>
    <xf numFmtId="0" fontId="3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quotePrefix="1" applyFont="1" applyAlignment="1">
      <alignment horizontal="right" vertical="center"/>
    </xf>
    <xf numFmtId="0" fontId="7" fillId="0" borderId="0" xfId="0" quotePrefix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2" applyFont="1"/>
    <xf numFmtId="0" fontId="5" fillId="0" borderId="0" xfId="2" applyFont="1"/>
    <xf numFmtId="164" fontId="5" fillId="2" borderId="3" xfId="1" applyNumberFormat="1" applyFont="1" applyFill="1" applyBorder="1" applyAlignment="1">
      <alignment vertical="center"/>
    </xf>
    <xf numFmtId="2" fontId="10" fillId="3" borderId="7" xfId="0" applyNumberFormat="1" applyFont="1" applyFill="1" applyBorder="1" applyAlignment="1">
      <alignment horizontal="left" vertical="center" wrapText="1"/>
    </xf>
    <xf numFmtId="0" fontId="7" fillId="0" borderId="0" xfId="2" applyFont="1" applyAlignment="1">
      <alignment horizontal="left"/>
    </xf>
    <xf numFmtId="2" fontId="10" fillId="3" borderId="5" xfId="0" applyNumberFormat="1" applyFont="1" applyFill="1" applyBorder="1" applyAlignment="1">
      <alignment horizontal="center" vertical="center" wrapText="1"/>
    </xf>
    <xf numFmtId="2" fontId="10" fillId="3" borderId="6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56877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FBC486-5688-42CA-911A-0B40682C4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5"/>
  <sheetViews>
    <sheetView tabSelected="1" workbookViewId="0">
      <selection activeCell="C12" sqref="C12"/>
    </sheetView>
  </sheetViews>
  <sheetFormatPr baseColWidth="10" defaultRowHeight="15" x14ac:dyDescent="0.25"/>
  <cols>
    <col min="1" max="1" width="4.7109375" style="12" customWidth="1"/>
    <col min="2" max="2" width="24.28515625" style="12" customWidth="1"/>
    <col min="3" max="11" width="11.42578125" style="12"/>
    <col min="12" max="12" width="11.42578125" style="19"/>
    <col min="13" max="13" width="11.42578125" style="12"/>
    <col min="14" max="16384" width="11.42578125" style="13"/>
  </cols>
  <sheetData>
    <row r="2" spans="1:12" ht="15.75" x14ac:dyDescent="0.25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14"/>
      <c r="B3" s="27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4"/>
      <c r="B4" s="28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15" customHeight="1" x14ac:dyDescent="0.25">
      <c r="A5" s="14"/>
      <c r="B5" s="24" t="s">
        <v>3</v>
      </c>
      <c r="C5" s="24" t="s">
        <v>4</v>
      </c>
      <c r="D5" s="24" t="s">
        <v>5</v>
      </c>
      <c r="E5" s="24" t="s">
        <v>6</v>
      </c>
      <c r="F5" s="24" t="s">
        <v>7</v>
      </c>
      <c r="G5" s="24" t="s">
        <v>8</v>
      </c>
      <c r="H5" s="24" t="s">
        <v>9</v>
      </c>
      <c r="I5" s="24" t="s">
        <v>10</v>
      </c>
      <c r="J5" s="24" t="s">
        <v>11</v>
      </c>
      <c r="K5" s="24" t="s">
        <v>12</v>
      </c>
      <c r="L5" s="24" t="s">
        <v>13</v>
      </c>
    </row>
    <row r="6" spans="1:12" x14ac:dyDescent="0.25">
      <c r="A6" s="1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x14ac:dyDescent="0.25">
      <c r="A7" s="14"/>
      <c r="B7" s="1" t="s">
        <v>14</v>
      </c>
      <c r="C7" s="2">
        <v>111737</v>
      </c>
      <c r="D7" s="2">
        <v>316974</v>
      </c>
      <c r="E7" s="2">
        <v>74947</v>
      </c>
      <c r="F7" s="2">
        <v>93966</v>
      </c>
      <c r="G7" s="2">
        <v>937</v>
      </c>
      <c r="H7" s="2">
        <v>2700</v>
      </c>
      <c r="I7" s="2">
        <v>35164</v>
      </c>
      <c r="J7" s="2">
        <v>1106</v>
      </c>
      <c r="K7" s="2">
        <v>27781</v>
      </c>
      <c r="L7" s="3">
        <f t="shared" ref="L7:L31" si="0">+SUM(C7:K7)</f>
        <v>665312</v>
      </c>
    </row>
    <row r="8" spans="1:12" x14ac:dyDescent="0.25">
      <c r="A8" s="14"/>
      <c r="B8" s="4" t="s">
        <v>15</v>
      </c>
      <c r="C8" s="5">
        <v>34557</v>
      </c>
      <c r="D8" s="5">
        <v>90184</v>
      </c>
      <c r="E8" s="5">
        <v>38797</v>
      </c>
      <c r="F8" s="5">
        <v>33334</v>
      </c>
      <c r="G8" s="5">
        <v>0</v>
      </c>
      <c r="H8" s="5">
        <v>1147</v>
      </c>
      <c r="I8" s="5">
        <v>18517</v>
      </c>
      <c r="J8" s="5">
        <v>4251</v>
      </c>
      <c r="K8" s="5">
        <v>8698</v>
      </c>
      <c r="L8" s="6">
        <f t="shared" si="0"/>
        <v>229485</v>
      </c>
    </row>
    <row r="9" spans="1:12" x14ac:dyDescent="0.25">
      <c r="A9" s="15" t="s">
        <v>41</v>
      </c>
      <c r="B9" s="4" t="s">
        <v>16</v>
      </c>
      <c r="C9" s="5">
        <v>43966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6">
        <f t="shared" si="0"/>
        <v>43966</v>
      </c>
    </row>
    <row r="10" spans="1:12" x14ac:dyDescent="0.25">
      <c r="A10" s="14"/>
      <c r="B10" s="4" t="s">
        <v>17</v>
      </c>
      <c r="C10" s="5">
        <v>14928</v>
      </c>
      <c r="D10" s="5">
        <v>40740</v>
      </c>
      <c r="E10" s="5">
        <v>11969</v>
      </c>
      <c r="F10" s="5">
        <v>9036</v>
      </c>
      <c r="G10" s="5">
        <v>919</v>
      </c>
      <c r="H10" s="5">
        <v>196</v>
      </c>
      <c r="I10" s="5">
        <v>790</v>
      </c>
      <c r="J10" s="5">
        <v>2287</v>
      </c>
      <c r="K10" s="5">
        <v>4262</v>
      </c>
      <c r="L10" s="6">
        <f t="shared" si="0"/>
        <v>85127</v>
      </c>
    </row>
    <row r="11" spans="1:12" x14ac:dyDescent="0.25">
      <c r="A11" s="14"/>
      <c r="B11" s="4" t="s">
        <v>18</v>
      </c>
      <c r="C11" s="5">
        <v>3861</v>
      </c>
      <c r="D11" s="5">
        <v>21299</v>
      </c>
      <c r="E11" s="5">
        <v>7408</v>
      </c>
      <c r="F11" s="5">
        <v>5761</v>
      </c>
      <c r="G11" s="5">
        <v>665</v>
      </c>
      <c r="H11" s="5">
        <v>77</v>
      </c>
      <c r="I11" s="5">
        <v>7901</v>
      </c>
      <c r="J11" s="5">
        <v>335</v>
      </c>
      <c r="K11" s="5">
        <v>2018</v>
      </c>
      <c r="L11" s="6">
        <f t="shared" si="0"/>
        <v>49325</v>
      </c>
    </row>
    <row r="12" spans="1:12" x14ac:dyDescent="0.25">
      <c r="A12" s="14"/>
      <c r="B12" s="4" t="s">
        <v>19</v>
      </c>
      <c r="C12" s="5">
        <v>15480</v>
      </c>
      <c r="D12" s="5">
        <v>64270.9</v>
      </c>
      <c r="E12" s="5">
        <v>13275</v>
      </c>
      <c r="F12" s="5">
        <v>27267</v>
      </c>
      <c r="G12" s="5">
        <v>307</v>
      </c>
      <c r="H12" s="5">
        <v>207</v>
      </c>
      <c r="I12" s="5">
        <v>1070</v>
      </c>
      <c r="J12" s="5">
        <v>1787</v>
      </c>
      <c r="K12" s="5">
        <v>8897</v>
      </c>
      <c r="L12" s="6">
        <f t="shared" si="0"/>
        <v>132560.9</v>
      </c>
    </row>
    <row r="13" spans="1:12" x14ac:dyDescent="0.25">
      <c r="A13" s="14"/>
      <c r="B13" s="4" t="s">
        <v>20</v>
      </c>
      <c r="C13" s="5">
        <v>6309</v>
      </c>
      <c r="D13" s="5">
        <v>32082</v>
      </c>
      <c r="E13" s="5">
        <v>7599</v>
      </c>
      <c r="F13" s="5">
        <v>10891</v>
      </c>
      <c r="G13" s="5">
        <v>302</v>
      </c>
      <c r="H13" s="5">
        <v>597</v>
      </c>
      <c r="I13" s="5">
        <v>176</v>
      </c>
      <c r="J13" s="5">
        <v>2878</v>
      </c>
      <c r="K13" s="5">
        <v>2956</v>
      </c>
      <c r="L13" s="6">
        <f t="shared" si="0"/>
        <v>63790</v>
      </c>
    </row>
    <row r="14" spans="1:12" x14ac:dyDescent="0.25">
      <c r="A14" s="14"/>
      <c r="B14" s="4" t="s">
        <v>21</v>
      </c>
      <c r="C14" s="5">
        <v>24351</v>
      </c>
      <c r="D14" s="5">
        <v>33900</v>
      </c>
      <c r="E14" s="5">
        <v>10417</v>
      </c>
      <c r="F14" s="5">
        <v>11936</v>
      </c>
      <c r="G14" s="5">
        <v>1661</v>
      </c>
      <c r="H14" s="5">
        <v>793</v>
      </c>
      <c r="I14" s="5">
        <v>408</v>
      </c>
      <c r="J14" s="5">
        <v>559</v>
      </c>
      <c r="K14" s="5">
        <v>2752</v>
      </c>
      <c r="L14" s="6">
        <f t="shared" si="0"/>
        <v>86777</v>
      </c>
    </row>
    <row r="15" spans="1:12" x14ac:dyDescent="0.25">
      <c r="A15" s="14"/>
      <c r="B15" s="4" t="s">
        <v>22</v>
      </c>
      <c r="C15" s="5">
        <v>9096</v>
      </c>
      <c r="D15" s="5">
        <v>15071</v>
      </c>
      <c r="E15" s="5">
        <v>7519</v>
      </c>
      <c r="F15" s="5">
        <v>7420</v>
      </c>
      <c r="G15" s="5">
        <v>413</v>
      </c>
      <c r="H15" s="5">
        <v>213</v>
      </c>
      <c r="I15" s="5">
        <v>515</v>
      </c>
      <c r="J15" s="5">
        <v>1489</v>
      </c>
      <c r="K15" s="5">
        <v>2025</v>
      </c>
      <c r="L15" s="6">
        <f t="shared" si="0"/>
        <v>43761</v>
      </c>
    </row>
    <row r="16" spans="1:12" x14ac:dyDescent="0.25">
      <c r="A16" s="14"/>
      <c r="B16" s="4" t="s">
        <v>23</v>
      </c>
      <c r="C16" s="5">
        <v>14092</v>
      </c>
      <c r="D16" s="5">
        <v>25453</v>
      </c>
      <c r="E16" s="5">
        <v>12243</v>
      </c>
      <c r="F16" s="5">
        <v>9690</v>
      </c>
      <c r="G16" s="5">
        <v>447</v>
      </c>
      <c r="H16" s="5">
        <v>644</v>
      </c>
      <c r="I16" s="5">
        <v>1109</v>
      </c>
      <c r="J16" s="5">
        <v>1099</v>
      </c>
      <c r="K16" s="5">
        <v>2322</v>
      </c>
      <c r="L16" s="6">
        <f t="shared" si="0"/>
        <v>67099</v>
      </c>
    </row>
    <row r="17" spans="1:12" x14ac:dyDescent="0.25">
      <c r="A17" s="16" t="s">
        <v>24</v>
      </c>
      <c r="B17" s="4" t="s">
        <v>25</v>
      </c>
      <c r="C17" s="5">
        <v>6623</v>
      </c>
      <c r="D17" s="5">
        <v>11664</v>
      </c>
      <c r="E17" s="5">
        <v>5858</v>
      </c>
      <c r="F17" s="5">
        <v>2932</v>
      </c>
      <c r="G17" s="5">
        <v>546</v>
      </c>
      <c r="H17" s="5">
        <v>369</v>
      </c>
      <c r="I17" s="5">
        <v>331</v>
      </c>
      <c r="J17" s="5">
        <v>430</v>
      </c>
      <c r="K17" s="5">
        <v>1444</v>
      </c>
      <c r="L17" s="6">
        <f t="shared" si="0"/>
        <v>30197</v>
      </c>
    </row>
    <row r="18" spans="1:12" x14ac:dyDescent="0.25">
      <c r="A18" s="14"/>
      <c r="B18" s="4" t="s">
        <v>26</v>
      </c>
      <c r="C18" s="5">
        <v>13087</v>
      </c>
      <c r="D18" s="5">
        <v>17309</v>
      </c>
      <c r="E18" s="5">
        <v>7386</v>
      </c>
      <c r="F18" s="5">
        <v>4513</v>
      </c>
      <c r="G18" s="5">
        <v>612</v>
      </c>
      <c r="H18" s="5">
        <v>2166</v>
      </c>
      <c r="I18" s="5">
        <v>739</v>
      </c>
      <c r="J18" s="5">
        <v>1223</v>
      </c>
      <c r="K18" s="5">
        <v>1650</v>
      </c>
      <c r="L18" s="6">
        <f t="shared" si="0"/>
        <v>48685</v>
      </c>
    </row>
    <row r="19" spans="1:12" x14ac:dyDescent="0.25">
      <c r="A19" s="14"/>
      <c r="B19" s="4" t="s">
        <v>27</v>
      </c>
      <c r="C19" s="5">
        <v>14044.408333333331</v>
      </c>
      <c r="D19" s="5">
        <v>45360.033333333333</v>
      </c>
      <c r="E19" s="5">
        <v>15966.491666666667</v>
      </c>
      <c r="F19" s="5">
        <v>11916.900000000001</v>
      </c>
      <c r="G19" s="5">
        <v>714.86666666666667</v>
      </c>
      <c r="H19" s="5">
        <v>183.16666666666669</v>
      </c>
      <c r="I19" s="5">
        <v>759.64166666666677</v>
      </c>
      <c r="J19" s="5">
        <v>1177</v>
      </c>
      <c r="K19" s="5">
        <v>5139.6666666666661</v>
      </c>
      <c r="L19" s="6">
        <f t="shared" si="0"/>
        <v>95262.175000000017</v>
      </c>
    </row>
    <row r="20" spans="1:12" x14ac:dyDescent="0.25">
      <c r="A20" s="14"/>
      <c r="B20" s="4" t="s">
        <v>28</v>
      </c>
      <c r="C20" s="5">
        <v>8921</v>
      </c>
      <c r="D20" s="5">
        <v>32302</v>
      </c>
      <c r="E20" s="5">
        <v>7360</v>
      </c>
      <c r="F20" s="5">
        <v>13972</v>
      </c>
      <c r="G20" s="5">
        <v>606</v>
      </c>
      <c r="H20" s="5">
        <v>242</v>
      </c>
      <c r="I20" s="5">
        <v>0</v>
      </c>
      <c r="J20" s="5">
        <v>1152</v>
      </c>
      <c r="K20" s="5">
        <v>4769</v>
      </c>
      <c r="L20" s="6">
        <f t="shared" si="0"/>
        <v>69324</v>
      </c>
    </row>
    <row r="21" spans="1:12" x14ac:dyDescent="0.25">
      <c r="A21" s="14"/>
      <c r="B21" s="4" t="s">
        <v>29</v>
      </c>
      <c r="C21" s="5">
        <v>3951</v>
      </c>
      <c r="D21" s="5">
        <v>32092</v>
      </c>
      <c r="E21" s="5">
        <v>11731</v>
      </c>
      <c r="F21" s="5">
        <v>7616</v>
      </c>
      <c r="G21" s="5">
        <v>717</v>
      </c>
      <c r="H21" s="5">
        <v>1794</v>
      </c>
      <c r="I21" s="5">
        <v>17826</v>
      </c>
      <c r="J21" s="5">
        <v>610</v>
      </c>
      <c r="K21" s="5">
        <v>2358</v>
      </c>
      <c r="L21" s="6">
        <f t="shared" si="0"/>
        <v>78695</v>
      </c>
    </row>
    <row r="22" spans="1:12" x14ac:dyDescent="0.25">
      <c r="A22" s="14"/>
      <c r="B22" s="4" t="s">
        <v>30</v>
      </c>
      <c r="C22" s="5">
        <v>12856</v>
      </c>
      <c r="D22" s="5">
        <v>29283</v>
      </c>
      <c r="E22" s="5">
        <v>7306</v>
      </c>
      <c r="F22" s="5">
        <v>8266</v>
      </c>
      <c r="G22" s="5">
        <v>407</v>
      </c>
      <c r="H22" s="5">
        <v>324</v>
      </c>
      <c r="I22" s="5">
        <v>401</v>
      </c>
      <c r="J22" s="5">
        <v>743</v>
      </c>
      <c r="K22" s="5">
        <v>2643</v>
      </c>
      <c r="L22" s="6">
        <f t="shared" si="0"/>
        <v>62229</v>
      </c>
    </row>
    <row r="23" spans="1:12" x14ac:dyDescent="0.25">
      <c r="A23" s="14"/>
      <c r="B23" s="4" t="s">
        <v>31</v>
      </c>
      <c r="C23" s="5">
        <v>10487</v>
      </c>
      <c r="D23" s="5">
        <v>29893</v>
      </c>
      <c r="E23" s="5">
        <v>13125</v>
      </c>
      <c r="F23" s="5">
        <v>15167</v>
      </c>
      <c r="G23" s="5">
        <v>1669</v>
      </c>
      <c r="H23" s="5">
        <v>785</v>
      </c>
      <c r="I23" s="5">
        <v>0</v>
      </c>
      <c r="J23" s="5">
        <v>1260</v>
      </c>
      <c r="K23" s="5">
        <v>4366</v>
      </c>
      <c r="L23" s="6">
        <f t="shared" si="0"/>
        <v>76752</v>
      </c>
    </row>
    <row r="24" spans="1:12" x14ac:dyDescent="0.25">
      <c r="A24" s="14"/>
      <c r="B24" s="4" t="s">
        <v>32</v>
      </c>
      <c r="C24" s="5">
        <v>11019</v>
      </c>
      <c r="D24" s="5">
        <v>21829</v>
      </c>
      <c r="E24" s="5">
        <v>9345</v>
      </c>
      <c r="F24" s="5">
        <v>7595</v>
      </c>
      <c r="G24" s="5">
        <v>295</v>
      </c>
      <c r="H24" s="5">
        <v>337</v>
      </c>
      <c r="I24" s="5">
        <v>205</v>
      </c>
      <c r="J24" s="5">
        <v>288</v>
      </c>
      <c r="K24" s="5">
        <v>2020</v>
      </c>
      <c r="L24" s="6">
        <f t="shared" si="0"/>
        <v>52933</v>
      </c>
    </row>
    <row r="25" spans="1:12" x14ac:dyDescent="0.25">
      <c r="A25" s="16" t="s">
        <v>24</v>
      </c>
      <c r="B25" s="4" t="s">
        <v>33</v>
      </c>
      <c r="C25" s="5">
        <v>10975</v>
      </c>
      <c r="D25" s="5">
        <v>13385</v>
      </c>
      <c r="E25" s="5">
        <v>4909</v>
      </c>
      <c r="F25" s="5">
        <v>5289</v>
      </c>
      <c r="G25" s="5">
        <v>31</v>
      </c>
      <c r="H25" s="5">
        <v>1299</v>
      </c>
      <c r="I25" s="5">
        <v>31</v>
      </c>
      <c r="J25" s="5">
        <v>191</v>
      </c>
      <c r="K25" s="5">
        <v>1431</v>
      </c>
      <c r="L25" s="6">
        <f t="shared" si="0"/>
        <v>37541</v>
      </c>
    </row>
    <row r="26" spans="1:12" x14ac:dyDescent="0.25">
      <c r="A26" s="14"/>
      <c r="B26" s="4" t="s">
        <v>34</v>
      </c>
      <c r="C26" s="5">
        <v>7826</v>
      </c>
      <c r="D26" s="5">
        <v>14633</v>
      </c>
      <c r="E26" s="5">
        <v>4096</v>
      </c>
      <c r="F26" s="5">
        <v>6464</v>
      </c>
      <c r="G26" s="5">
        <v>814</v>
      </c>
      <c r="H26" s="5">
        <v>894</v>
      </c>
      <c r="I26" s="5">
        <v>1011</v>
      </c>
      <c r="J26" s="5">
        <v>522</v>
      </c>
      <c r="K26" s="5">
        <v>1549</v>
      </c>
      <c r="L26" s="6">
        <f t="shared" si="0"/>
        <v>37809</v>
      </c>
    </row>
    <row r="27" spans="1:12" x14ac:dyDescent="0.25">
      <c r="A27" s="14"/>
      <c r="B27" s="4" t="s">
        <v>35</v>
      </c>
      <c r="C27" s="5">
        <v>42647</v>
      </c>
      <c r="D27" s="5">
        <v>64713</v>
      </c>
      <c r="E27" s="5">
        <v>10239</v>
      </c>
      <c r="F27" s="5">
        <v>28715</v>
      </c>
      <c r="G27" s="5">
        <v>1069</v>
      </c>
      <c r="H27" s="5">
        <v>820</v>
      </c>
      <c r="I27" s="5">
        <v>1408</v>
      </c>
      <c r="J27" s="5">
        <v>2363</v>
      </c>
      <c r="K27" s="5">
        <v>4752</v>
      </c>
      <c r="L27" s="6">
        <f t="shared" si="0"/>
        <v>156726</v>
      </c>
    </row>
    <row r="28" spans="1:12" x14ac:dyDescent="0.25">
      <c r="A28" s="14"/>
      <c r="B28" s="4" t="s">
        <v>36</v>
      </c>
      <c r="C28" s="5">
        <v>10737</v>
      </c>
      <c r="D28" s="5">
        <v>24632</v>
      </c>
      <c r="E28" s="5">
        <v>6535</v>
      </c>
      <c r="F28" s="5">
        <v>9691</v>
      </c>
      <c r="G28" s="5">
        <v>762</v>
      </c>
      <c r="H28" s="5">
        <v>541</v>
      </c>
      <c r="I28" s="5">
        <v>2950</v>
      </c>
      <c r="J28" s="5">
        <v>329</v>
      </c>
      <c r="K28" s="5">
        <v>2876</v>
      </c>
      <c r="L28" s="6">
        <f t="shared" si="0"/>
        <v>59053</v>
      </c>
    </row>
    <row r="29" spans="1:12" x14ac:dyDescent="0.25">
      <c r="A29" s="14"/>
      <c r="B29" s="4" t="s">
        <v>37</v>
      </c>
      <c r="C29" s="5">
        <v>4935</v>
      </c>
      <c r="D29" s="5">
        <v>11921</v>
      </c>
      <c r="E29" s="5">
        <v>3026</v>
      </c>
      <c r="F29" s="5">
        <v>2647</v>
      </c>
      <c r="G29" s="5">
        <v>145</v>
      </c>
      <c r="H29" s="5">
        <v>655</v>
      </c>
      <c r="I29" s="5">
        <v>995</v>
      </c>
      <c r="J29" s="5">
        <v>401</v>
      </c>
      <c r="K29" s="5">
        <v>880</v>
      </c>
      <c r="L29" s="6">
        <f t="shared" si="0"/>
        <v>25605</v>
      </c>
    </row>
    <row r="30" spans="1:12" x14ac:dyDescent="0.25">
      <c r="A30" s="14"/>
      <c r="B30" s="7" t="s">
        <v>38</v>
      </c>
      <c r="C30" s="8">
        <v>14178</v>
      </c>
      <c r="D30" s="8">
        <v>33218</v>
      </c>
      <c r="E30" s="8">
        <v>23887</v>
      </c>
      <c r="F30" s="8">
        <v>13737</v>
      </c>
      <c r="G30" s="8">
        <v>1284</v>
      </c>
      <c r="H30" s="8">
        <v>104</v>
      </c>
      <c r="I30" s="8">
        <v>1709</v>
      </c>
      <c r="J30" s="8">
        <v>8227</v>
      </c>
      <c r="K30" s="8">
        <v>5956</v>
      </c>
      <c r="L30" s="9">
        <f t="shared" si="0"/>
        <v>102300</v>
      </c>
    </row>
    <row r="31" spans="1:12" x14ac:dyDescent="0.25">
      <c r="A31" s="14"/>
      <c r="B31" s="22" t="s">
        <v>39</v>
      </c>
      <c r="C31" s="10">
        <f t="shared" ref="C31:K31" si="1">SUM(C7:C30)</f>
        <v>450663.40833333333</v>
      </c>
      <c r="D31" s="10">
        <f t="shared" si="1"/>
        <v>1022207.9333333333</v>
      </c>
      <c r="E31" s="10">
        <f t="shared" si="1"/>
        <v>314943.4916666667</v>
      </c>
      <c r="F31" s="10">
        <f t="shared" si="1"/>
        <v>347821.9</v>
      </c>
      <c r="G31" s="10">
        <f t="shared" si="1"/>
        <v>15322.866666666667</v>
      </c>
      <c r="H31" s="10">
        <f t="shared" si="1"/>
        <v>17087.166666666664</v>
      </c>
      <c r="I31" s="10">
        <f t="shared" si="1"/>
        <v>94015.641666666663</v>
      </c>
      <c r="J31" s="10">
        <f t="shared" si="1"/>
        <v>34707</v>
      </c>
      <c r="K31" s="10">
        <f t="shared" si="1"/>
        <v>103544.66666666667</v>
      </c>
      <c r="L31" s="10">
        <f t="shared" si="0"/>
        <v>2400314.0749999997</v>
      </c>
    </row>
    <row r="32" spans="1:12" x14ac:dyDescent="0.25">
      <c r="A32" s="14"/>
      <c r="B32" s="11" t="s">
        <v>40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x14ac:dyDescent="0.25">
      <c r="A33" s="14"/>
      <c r="B33" s="11" t="s">
        <v>43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x14ac:dyDescent="0.25">
      <c r="B34" s="20" t="s">
        <v>42</v>
      </c>
    </row>
    <row r="35" spans="1:12" x14ac:dyDescent="0.25">
      <c r="B35" s="23" t="s">
        <v>44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</row>
  </sheetData>
  <mergeCells count="15">
    <mergeCell ref="A2:L2"/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35:L35"/>
    <mergeCell ref="I5:I6"/>
    <mergeCell ref="J5:J6"/>
    <mergeCell ref="K5:K6"/>
    <mergeCell ref="L5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2026-10-09T22:57:48Z</dcterms:modified>
</cp:coreProperties>
</file>