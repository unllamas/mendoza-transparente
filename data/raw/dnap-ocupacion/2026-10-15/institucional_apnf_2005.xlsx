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FB3C939D-852B-438B-97B3-9ACF72D3EB60}" xr6:coauthVersionLast="47" xr6:coauthVersionMax="47" xr10:uidLastSave="{00000000-0000-0000-0000-000000000000}"/>
  <bookViews>
    <workbookView xWindow="-120" yWindow="-120" windowWidth="29040" windowHeight="15840" xr2:uid="{7D29FDB4-A4B9-4DCF-AA99-D59514AECAF3}"/>
  </bookViews>
  <sheets>
    <sheet name="12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<sst xmlns="http://schemas.openxmlformats.org/spreadsheetml/2006/main" count="55" uniqueCount="43">
  <si>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</si>
  <si>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</si>
  <si>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</si>
  <si>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</si>
  <si>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</si>
  <si>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</si>
  <si>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</si>
  <si>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</si>
  <si>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</si>
  <si>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</si>
  <si>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</si>
  <si>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</si>
  <si>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</si>
  <si>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</si>
  <si>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</si>
  <si>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</si>
  <si>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</si>
  <si>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</si>
  <si>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</si>
  <si>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</si>
  <si>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</si>
  <si>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</si>
  <si>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</si>
  <si>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</si>
  <si>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</si>
  <si>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</si>
  <si>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</si>
  <si>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</si>
  <si>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</si>
  <si>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</si>
  <si>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</si>
  <si>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</si>
  <si>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</si>
  <si>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</si>
  <si>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</si>
  <si>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</si>
  <si>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</si>
  <si>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t>A DICIEMBRE DE 2005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</si>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</sst>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name val="Roboto"/>
    </font>
    <font>
      <b/>
      <sz val="11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2" fontId="12" fillId="2" borderId="6" xfId="0" applyNumberFormat="1" applyFont="1" applyFill="1" applyBorder="1" applyAlignment="1">
      <alignment horizontal="left" vertical="center" wrapText="1"/>
    </xf>
    <xf numFmtId="0" fontId="8" fillId="0" borderId="0" xfId="2" applyFont="1" applyAlignment="1">
      <alignment horizontal="left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8A8C81-D319-44B8-8F2F-8D19DE304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O11" sqref="O11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37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139292</v>
      </c>
      <c r="D6" s="18">
        <v>329182</v>
      </c>
      <c r="E6" s="18">
        <v>0</v>
      </c>
      <c r="F6" s="18">
        <v>779</v>
      </c>
      <c r="G6" s="7">
        <f>+SUM(C6:F6)</f>
        <v>469253</v>
      </c>
      <c r="H6" s="18">
        <v>0</v>
      </c>
      <c r="I6" s="18">
        <v>0</v>
      </c>
      <c r="J6" s="18">
        <v>0</v>
      </c>
      <c r="K6" s="18">
        <v>0</v>
      </c>
      <c r="L6" s="7">
        <f>+SUM(H6:K6)</f>
        <v>0</v>
      </c>
      <c r="M6" s="7">
        <f t="shared" ref="M6:M29" si="0">+L6+G6</f>
        <v>469253</v>
      </c>
      <c r="O6" s="16"/>
      <c r="P6" s="16"/>
    </row>
    <row r="7" spans="1:16" x14ac:dyDescent="0.2">
      <c r="B7" s="8" t="s">
        <v>11</v>
      </c>
      <c r="C7" s="19">
        <v>118896</v>
      </c>
      <c r="D7" s="19">
        <v>5064</v>
      </c>
      <c r="E7" s="19">
        <v>0</v>
      </c>
      <c r="F7" s="19">
        <v>0</v>
      </c>
      <c r="G7" s="9">
        <f t="shared" ref="G7:G29" si="1">+SUM(C7:F7)</f>
        <v>123960</v>
      </c>
      <c r="H7" s="19">
        <v>0</v>
      </c>
      <c r="I7" s="19">
        <v>317</v>
      </c>
      <c r="J7" s="19">
        <v>0</v>
      </c>
      <c r="K7" s="19">
        <v>0</v>
      </c>
      <c r="L7" s="9">
        <f t="shared" ref="L7:L29" si="2">+SUM(H7:K7)</f>
        <v>317</v>
      </c>
      <c r="M7" s="9">
        <f t="shared" si="0"/>
        <v>124277</v>
      </c>
      <c r="O7" s="16"/>
      <c r="P7" s="16"/>
    </row>
    <row r="8" spans="1:16" x14ac:dyDescent="0.2">
      <c r="B8" s="8" t="s">
        <v>12</v>
      </c>
      <c r="C8" s="19">
        <v>22432</v>
      </c>
      <c r="D8" s="19">
        <v>2466</v>
      </c>
      <c r="E8" s="19">
        <v>0</v>
      </c>
      <c r="F8" s="19">
        <v>0</v>
      </c>
      <c r="G8" s="9">
        <f t="shared" si="1"/>
        <v>24898</v>
      </c>
      <c r="H8" s="19">
        <v>1527</v>
      </c>
      <c r="I8" s="19">
        <v>637</v>
      </c>
      <c r="J8" s="19">
        <v>0</v>
      </c>
      <c r="K8" s="19">
        <v>0</v>
      </c>
      <c r="L8" s="9">
        <f t="shared" si="2"/>
        <v>2164</v>
      </c>
      <c r="M8" s="9">
        <f t="shared" si="0"/>
        <v>27062</v>
      </c>
      <c r="O8" s="16"/>
      <c r="P8" s="16"/>
    </row>
    <row r="9" spans="1:16" x14ac:dyDescent="0.2">
      <c r="B9" s="8" t="s">
        <v>13</v>
      </c>
      <c r="C9" s="19">
        <v>45198</v>
      </c>
      <c r="D9" s="19">
        <v>1418</v>
      </c>
      <c r="E9" s="19">
        <v>0</v>
      </c>
      <c r="F9" s="19">
        <v>571</v>
      </c>
      <c r="G9" s="9">
        <f t="shared" si="1"/>
        <v>47187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47187</v>
      </c>
      <c r="O9" s="16"/>
      <c r="P9" s="16"/>
    </row>
    <row r="10" spans="1:16" x14ac:dyDescent="0.2">
      <c r="B10" s="8" t="s">
        <v>14</v>
      </c>
      <c r="C10" s="19">
        <v>26917</v>
      </c>
      <c r="D10" s="19">
        <v>533</v>
      </c>
      <c r="E10" s="19">
        <v>0</v>
      </c>
      <c r="F10" s="19">
        <v>0</v>
      </c>
      <c r="G10" s="9">
        <f t="shared" si="1"/>
        <v>27450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27450</v>
      </c>
      <c r="O10" s="16"/>
      <c r="P10" s="16"/>
    </row>
    <row r="11" spans="1:16" x14ac:dyDescent="0.2">
      <c r="B11" s="8" t="s">
        <v>15</v>
      </c>
      <c r="C11" s="19">
        <v>92567</v>
      </c>
      <c r="D11" s="19">
        <v>1579</v>
      </c>
      <c r="E11" s="19">
        <v>1577</v>
      </c>
      <c r="F11" s="19">
        <v>369</v>
      </c>
      <c r="G11" s="9">
        <f t="shared" si="1"/>
        <v>96092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96092</v>
      </c>
      <c r="O11" s="16"/>
      <c r="P11" s="16"/>
    </row>
    <row r="12" spans="1:16" x14ac:dyDescent="0.2">
      <c r="B12" s="8" t="s">
        <v>16</v>
      </c>
      <c r="C12" s="19">
        <v>43402</v>
      </c>
      <c r="D12" s="19">
        <v>984</v>
      </c>
      <c r="E12" s="19">
        <v>0</v>
      </c>
      <c r="F12" s="19">
        <v>118</v>
      </c>
      <c r="G12" s="9">
        <f t="shared" si="1"/>
        <v>44504</v>
      </c>
      <c r="H12" s="19">
        <v>3789</v>
      </c>
      <c r="I12" s="19">
        <v>70</v>
      </c>
      <c r="J12" s="19">
        <v>0</v>
      </c>
      <c r="K12" s="19">
        <v>13</v>
      </c>
      <c r="L12" s="9">
        <f t="shared" si="2"/>
        <v>3872</v>
      </c>
      <c r="M12" s="9">
        <f t="shared" si="0"/>
        <v>48376</v>
      </c>
      <c r="O12" s="16"/>
      <c r="P12" s="16"/>
    </row>
    <row r="13" spans="1:16" x14ac:dyDescent="0.2">
      <c r="B13" s="8" t="s">
        <v>17</v>
      </c>
      <c r="C13" s="19">
        <v>25987</v>
      </c>
      <c r="D13" s="19">
        <v>34431</v>
      </c>
      <c r="E13" s="19">
        <v>0</v>
      </c>
      <c r="F13" s="19">
        <v>193</v>
      </c>
      <c r="G13" s="9">
        <f t="shared" si="1"/>
        <v>60611</v>
      </c>
      <c r="H13" s="19">
        <v>3694</v>
      </c>
      <c r="I13" s="19">
        <v>0</v>
      </c>
      <c r="J13" s="19">
        <v>0</v>
      </c>
      <c r="K13" s="19">
        <v>0</v>
      </c>
      <c r="L13" s="9">
        <f t="shared" si="2"/>
        <v>3694</v>
      </c>
      <c r="M13" s="9">
        <f t="shared" si="0"/>
        <v>64305</v>
      </c>
      <c r="O13" s="16"/>
      <c r="P13" s="16"/>
    </row>
    <row r="14" spans="1:16" x14ac:dyDescent="0.2">
      <c r="A14" s="1" t="s">
        <v>36</v>
      </c>
      <c r="B14" s="8" t="s">
        <v>18</v>
      </c>
      <c r="C14" s="19">
        <v>35963</v>
      </c>
      <c r="D14" s="19">
        <v>0</v>
      </c>
      <c r="E14" s="19">
        <v>0</v>
      </c>
      <c r="F14" s="19">
        <v>0</v>
      </c>
      <c r="G14" s="9">
        <f t="shared" si="1"/>
        <v>35963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35963</v>
      </c>
      <c r="O14" s="16"/>
      <c r="P14" s="16"/>
    </row>
    <row r="15" spans="1:16" x14ac:dyDescent="0.2">
      <c r="B15" s="8" t="s">
        <v>19</v>
      </c>
      <c r="C15" s="19">
        <v>35898</v>
      </c>
      <c r="D15" s="19">
        <v>1315</v>
      </c>
      <c r="E15" s="19">
        <v>0</v>
      </c>
      <c r="F15" s="19">
        <v>0</v>
      </c>
      <c r="G15" s="9">
        <f t="shared" si="1"/>
        <v>37213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37213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16554</v>
      </c>
      <c r="D16" s="19">
        <v>0</v>
      </c>
      <c r="E16" s="19">
        <v>0</v>
      </c>
      <c r="F16" s="19">
        <v>0</v>
      </c>
      <c r="G16" s="9">
        <f t="shared" si="1"/>
        <v>16554</v>
      </c>
      <c r="H16" s="19">
        <v>0</v>
      </c>
      <c r="I16" s="19">
        <v>0</v>
      </c>
      <c r="J16" s="19">
        <v>0</v>
      </c>
      <c r="K16" s="19">
        <v>0</v>
      </c>
      <c r="L16" s="9">
        <f t="shared" si="2"/>
        <v>0</v>
      </c>
      <c r="M16" s="9">
        <f t="shared" si="0"/>
        <v>16554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22695</v>
      </c>
      <c r="D17" s="19">
        <v>0</v>
      </c>
      <c r="E17" s="19">
        <v>0</v>
      </c>
      <c r="F17" s="19">
        <v>0</v>
      </c>
      <c r="G17" s="9">
        <f t="shared" si="1"/>
        <v>22695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22695</v>
      </c>
      <c r="O17" s="16"/>
      <c r="P17" s="16"/>
    </row>
    <row r="18" spans="1:16" x14ac:dyDescent="0.2">
      <c r="B18" s="8" t="s">
        <v>23</v>
      </c>
      <c r="C18" s="19">
        <v>17988</v>
      </c>
      <c r="D18" s="19">
        <v>46057</v>
      </c>
      <c r="E18" s="19">
        <v>0</v>
      </c>
      <c r="F18" s="19">
        <v>16</v>
      </c>
      <c r="G18" s="9">
        <f t="shared" si="1"/>
        <v>64061</v>
      </c>
      <c r="H18" s="19">
        <v>2629</v>
      </c>
      <c r="I18" s="19">
        <v>3125</v>
      </c>
      <c r="J18" s="19">
        <v>214</v>
      </c>
      <c r="K18" s="19">
        <v>64</v>
      </c>
      <c r="L18" s="9">
        <f t="shared" si="2"/>
        <v>6032</v>
      </c>
      <c r="M18" s="9">
        <f t="shared" si="0"/>
        <v>70093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40045</v>
      </c>
      <c r="D19" s="19">
        <v>0</v>
      </c>
      <c r="E19" s="19">
        <v>0</v>
      </c>
      <c r="F19" s="19">
        <v>0</v>
      </c>
      <c r="G19" s="9">
        <f t="shared" si="1"/>
        <v>40045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40045</v>
      </c>
      <c r="O19" s="16"/>
      <c r="P19" s="16"/>
    </row>
    <row r="20" spans="1:16" x14ac:dyDescent="0.2">
      <c r="A20" s="1" t="s">
        <v>36</v>
      </c>
      <c r="B20" s="8" t="s">
        <v>25</v>
      </c>
      <c r="C20" s="19">
        <v>40914</v>
      </c>
      <c r="D20" s="19">
        <v>0</v>
      </c>
      <c r="E20" s="19">
        <v>0</v>
      </c>
      <c r="F20" s="19">
        <v>0</v>
      </c>
      <c r="G20" s="9">
        <f t="shared" si="1"/>
        <v>40914</v>
      </c>
      <c r="H20" s="19">
        <v>0</v>
      </c>
      <c r="I20" s="19">
        <v>0</v>
      </c>
      <c r="J20" s="19">
        <v>0</v>
      </c>
      <c r="K20" s="19">
        <v>0</v>
      </c>
      <c r="L20" s="9">
        <f t="shared" si="2"/>
        <v>0</v>
      </c>
      <c r="M20" s="9">
        <f t="shared" si="0"/>
        <v>40914</v>
      </c>
      <c r="O20" s="16"/>
      <c r="P20" s="16"/>
    </row>
    <row r="21" spans="1:16" x14ac:dyDescent="0.2">
      <c r="B21" s="8" t="s">
        <v>26</v>
      </c>
      <c r="C21" s="19">
        <v>13676</v>
      </c>
      <c r="D21" s="19">
        <v>23064</v>
      </c>
      <c r="E21" s="19">
        <v>0</v>
      </c>
      <c r="F21" s="19">
        <v>0</v>
      </c>
      <c r="G21" s="9">
        <f t="shared" si="1"/>
        <v>36740</v>
      </c>
      <c r="H21" s="19">
        <v>423</v>
      </c>
      <c r="I21" s="19">
        <v>0</v>
      </c>
      <c r="J21" s="19">
        <v>0</v>
      </c>
      <c r="K21" s="19">
        <v>0</v>
      </c>
      <c r="L21" s="9">
        <f t="shared" si="2"/>
        <v>423</v>
      </c>
      <c r="M21" s="9">
        <f t="shared" si="0"/>
        <v>37163</v>
      </c>
      <c r="O21" s="16"/>
      <c r="P21" s="16"/>
    </row>
    <row r="22" spans="1:16" x14ac:dyDescent="0.2">
      <c r="B22" s="8" t="s">
        <v>27</v>
      </c>
      <c r="C22" s="19">
        <v>40646</v>
      </c>
      <c r="D22" s="19">
        <v>397</v>
      </c>
      <c r="E22" s="19">
        <v>0</v>
      </c>
      <c r="F22" s="19">
        <v>0</v>
      </c>
      <c r="G22" s="9">
        <f t="shared" si="1"/>
        <v>41043</v>
      </c>
      <c r="H22" s="19">
        <v>144</v>
      </c>
      <c r="I22" s="19">
        <v>0</v>
      </c>
      <c r="J22" s="19">
        <v>0</v>
      </c>
      <c r="K22" s="19">
        <v>0</v>
      </c>
      <c r="L22" s="9">
        <f t="shared" si="2"/>
        <v>144</v>
      </c>
      <c r="M22" s="9">
        <f t="shared" si="0"/>
        <v>41187</v>
      </c>
      <c r="O22" s="16"/>
      <c r="P22" s="16"/>
    </row>
    <row r="23" spans="1:16" x14ac:dyDescent="0.2">
      <c r="A23" s="1" t="s">
        <v>36</v>
      </c>
      <c r="B23" s="8" t="s">
        <v>28</v>
      </c>
      <c r="C23" s="19">
        <v>29655</v>
      </c>
      <c r="D23" s="19">
        <v>0</v>
      </c>
      <c r="E23" s="19">
        <v>0</v>
      </c>
      <c r="F23" s="19">
        <v>0</v>
      </c>
      <c r="G23" s="9">
        <f t="shared" si="1"/>
        <v>29655</v>
      </c>
      <c r="H23" s="19">
        <v>0</v>
      </c>
      <c r="I23" s="19">
        <v>0</v>
      </c>
      <c r="J23" s="19">
        <v>0</v>
      </c>
      <c r="K23" s="19">
        <v>0</v>
      </c>
      <c r="L23" s="9">
        <f t="shared" si="2"/>
        <v>0</v>
      </c>
      <c r="M23" s="9">
        <f t="shared" si="0"/>
        <v>29655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16209</v>
      </c>
      <c r="D24" s="19">
        <v>0</v>
      </c>
      <c r="E24" s="19">
        <v>0</v>
      </c>
      <c r="F24" s="19">
        <v>0</v>
      </c>
      <c r="G24" s="9">
        <f t="shared" si="1"/>
        <v>16209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16209</v>
      </c>
      <c r="O24" s="16"/>
      <c r="P24" s="16"/>
    </row>
    <row r="25" spans="1:16" x14ac:dyDescent="0.2">
      <c r="A25" s="1" t="s">
        <v>36</v>
      </c>
      <c r="B25" s="8" t="s">
        <v>30</v>
      </c>
      <c r="C25" s="19">
        <v>18386</v>
      </c>
      <c r="D25" s="19">
        <v>0</v>
      </c>
      <c r="E25" s="19">
        <v>0</v>
      </c>
      <c r="F25" s="19">
        <v>0</v>
      </c>
      <c r="G25" s="9">
        <f t="shared" si="1"/>
        <v>18386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18386</v>
      </c>
      <c r="O25" s="16"/>
      <c r="P25" s="16"/>
    </row>
    <row r="26" spans="1:16" x14ac:dyDescent="0.2">
      <c r="B26" s="8" t="s">
        <v>31</v>
      </c>
      <c r="C26" s="19">
        <v>98220</v>
      </c>
      <c r="D26" s="19">
        <v>3146</v>
      </c>
      <c r="E26" s="19">
        <v>0</v>
      </c>
      <c r="F26" s="19">
        <v>255</v>
      </c>
      <c r="G26" s="9">
        <f t="shared" si="1"/>
        <v>101621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101621</v>
      </c>
      <c r="O26" s="16"/>
      <c r="P26" s="16"/>
    </row>
    <row r="27" spans="1:16" x14ac:dyDescent="0.2">
      <c r="B27" s="8" t="s">
        <v>32</v>
      </c>
      <c r="C27" s="19">
        <v>16850</v>
      </c>
      <c r="D27" s="19">
        <v>22403</v>
      </c>
      <c r="E27" s="19">
        <v>0</v>
      </c>
      <c r="F27" s="19">
        <v>0</v>
      </c>
      <c r="G27" s="9">
        <f t="shared" si="1"/>
        <v>39253</v>
      </c>
      <c r="H27" s="19">
        <v>2185</v>
      </c>
      <c r="I27" s="19">
        <v>660</v>
      </c>
      <c r="J27" s="19">
        <v>0</v>
      </c>
      <c r="K27" s="19">
        <v>0</v>
      </c>
      <c r="L27" s="9">
        <f t="shared" si="2"/>
        <v>2845</v>
      </c>
      <c r="M27" s="9">
        <f t="shared" si="0"/>
        <v>42098</v>
      </c>
      <c r="O27" s="16"/>
      <c r="P27" s="16"/>
    </row>
    <row r="28" spans="1:16" x14ac:dyDescent="0.2">
      <c r="B28" s="8" t="s">
        <v>33</v>
      </c>
      <c r="C28" s="19">
        <v>11840</v>
      </c>
      <c r="D28" s="19">
        <v>300</v>
      </c>
      <c r="E28" s="19">
        <v>0</v>
      </c>
      <c r="F28" s="19">
        <v>49</v>
      </c>
      <c r="G28" s="9">
        <f t="shared" si="1"/>
        <v>12189</v>
      </c>
      <c r="H28" s="19">
        <v>0</v>
      </c>
      <c r="I28" s="19">
        <v>0</v>
      </c>
      <c r="J28" s="19">
        <v>0</v>
      </c>
      <c r="K28" s="19">
        <v>0</v>
      </c>
      <c r="L28" s="9">
        <f t="shared" si="2"/>
        <v>0</v>
      </c>
      <c r="M28" s="9">
        <f t="shared" si="0"/>
        <v>12189</v>
      </c>
      <c r="O28" s="16"/>
      <c r="P28" s="16"/>
    </row>
    <row r="29" spans="1:16" x14ac:dyDescent="0.2">
      <c r="B29" s="11" t="s">
        <v>34</v>
      </c>
      <c r="C29" s="20">
        <v>51458</v>
      </c>
      <c r="D29" s="20">
        <v>11741</v>
      </c>
      <c r="E29" s="20">
        <v>15</v>
      </c>
      <c r="F29" s="20">
        <v>0</v>
      </c>
      <c r="G29" s="12">
        <f t="shared" si="1"/>
        <v>63214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63214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1021688</v>
      </c>
      <c r="D30" s="13">
        <f t="shared" ref="D30:M30" si="3">+SUM(D6:D29)</f>
        <v>484080</v>
      </c>
      <c r="E30" s="13">
        <f t="shared" si="3"/>
        <v>1592</v>
      </c>
      <c r="F30" s="13">
        <f t="shared" si="3"/>
        <v>2350</v>
      </c>
      <c r="G30" s="13">
        <f t="shared" si="3"/>
        <v>1509710</v>
      </c>
      <c r="H30" s="13">
        <f t="shared" si="3"/>
        <v>14391</v>
      </c>
      <c r="I30" s="13">
        <f t="shared" si="3"/>
        <v>4809</v>
      </c>
      <c r="J30" s="13">
        <f t="shared" si="3"/>
        <v>214</v>
      </c>
      <c r="K30" s="13">
        <f t="shared" si="3"/>
        <v>77</v>
      </c>
      <c r="L30" s="13">
        <f t="shared" si="3"/>
        <v>19491</v>
      </c>
      <c r="M30" s="13">
        <f t="shared" si="3"/>
        <v>1529201</v>
      </c>
      <c r="O30" s="17"/>
      <c r="P30" s="17"/>
    </row>
    <row r="31" spans="1:16" x14ac:dyDescent="0.25">
      <c r="B31" s="14" t="s">
        <v>38</v>
      </c>
    </row>
    <row r="32" spans="1:16" x14ac:dyDescent="0.25">
      <c r="B32" s="15" t="s">
        <v>39</v>
      </c>
    </row>
    <row r="33" spans="2:13" x14ac:dyDescent="0.25">
      <c r="B33" s="15" t="s">
        <v>35</v>
      </c>
    </row>
    <row r="34" spans="2:13" x14ac:dyDescent="0.25">
      <c r="B34" s="15" t="s">
        <v>40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2026-10-14T17:38:42Z</dcterms:modified>
</cp:coreProperties>
</file>