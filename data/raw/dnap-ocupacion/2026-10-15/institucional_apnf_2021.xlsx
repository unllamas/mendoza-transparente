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39E2374D-BAAF-4167-9FB5-838191B9C6BC}" xr6:coauthVersionLast="47" xr6:coauthVersionMax="47" xr10:uidLastSave="{00000000-0000-0000-0000-000000000000}"/>
  <bookViews>
    <workbookView xWindow="-28920" yWindow="15" windowWidth="29040" windowHeight="15840" xr2:uid="{4059418D-CEEC-4FFD-B984-625E0A7A1552}"/>
  </bookViews>
  <sheets>
    <sheet name="12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K30" i="1" l="1"/>
  <c r="J30" i="1"/>
  <c r="I30" i="1"/>
  <c r="H30" i="1"/>
  <c r="F30" i="1"/>
  <c r="E30" i="1"/>
  <c r="D30" i="1"/>
  <c r="C30" i="1"/>
  <c r="L29" i="1"/>
  <c r="G29" i="1"/>
  <c r="L28" i="1"/>
  <c r="G28" i="1"/>
  <c r="L27" i="1"/>
  <c r="G27" i="1"/>
  <c r="L26" i="1"/>
  <c r="G26" i="1"/>
  <c r="L25" i="1"/>
  <c r="G25" i="1"/>
  <c r="L24" i="1"/>
  <c r="L23" i="1"/>
  <c r="L22" i="1"/>
  <c r="L21" i="1"/>
  <c r="M21" i="1" s="1"/>
  <c r="L20" i="1"/>
  <c r="L19" i="1"/>
  <c r="L18" i="1"/>
  <c r="L17" i="1"/>
  <c r="M17" i="1" s="1"/>
  <c r="L16" i="1"/>
  <c r="L15" i="1"/>
  <c r="L14" i="1"/>
  <c r="M14" i="1"/>
  <c r="L13" i="1"/>
  <c r="L12" i="1"/>
  <c r="M12" i="1" s="1"/>
  <c r="L11" i="1"/>
  <c r="L10" i="1"/>
  <c r="L9" i="1"/>
  <c r="L8" i="1"/>
  <c r="L7" i="1"/>
  <c r="G7" i="1"/>
  <c r="L6" i="1"/>
  <c r="G6" i="1"/>
  <c r="M6" i="1" l="1"/>
  <c r="M22" i="1"/>
  <c r="L30" i="1"/>
  <c r="M25" i="1"/>
  <c r="M9" i="1"/>
  <c r="G30" i="1"/>
  <c r="M28" i="1"/>
  <c r="M13" i="1"/>
  <c r="M16" i="1"/>
  <c r="M18" i="1"/>
  <c r="M20" i="1"/>
  <c r="M29" i="1"/>
  <c r="M15" i="1"/>
  <c r="M8" i="1"/>
  <c r="M24" i="1"/>
  <c r="M26" i="1"/>
  <c r="M27" i="1"/>
  <c r="M10" i="1"/>
  <c r="M11" i="1"/>
  <c r="M23" i="1"/>
  <c r="M19" i="1"/>
  <c r="M7" i="1"/>
  <c r="M30" i="1" l="1"/>
</calcChain>
</file>

<file path=xl/sharedStrings.xml><?xml version="1.0" encoding="utf-8"?>
<sst xmlns="http://schemas.openxmlformats.org/spreadsheetml/2006/main" count="50" uniqueCount="42">
  <si>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</si>
  <si>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</si>
  <si>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</si>
  <si>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</si>
  <si>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</si>
  <si>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</si>
  <si>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</si>
  <si>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</si>
  <si>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</si>
  <si>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</si>
  <si>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</si>
  <si>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</si>
  <si>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</si>
  <si>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</si>
  <si>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</si>
  <si>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</si>
  <si>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</si>
  <si>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</si>
  <si>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</si>
  <si>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</si>
  <si>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</si>
  <si>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</si>
  <si>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</si>
  <si>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</si>
  <si>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</si>
  <si>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</si>
  <si>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</si>
  <si>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</si>
  <si>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</si>
  <si>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</si>
  <si>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</si>
  <si>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</si>
  <si>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</si>
  <si>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</si>
  <si>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</si>
  <si>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</si>
  <si>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A DICIEMBRE DE 2021</t>
  </si>
  <si>
    <t>(**)</t>
  </si>
  <si>
    <t>(**): Sólo cargos totales. Detalle no informado por la jurisdicción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</si>
  <si>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Provincial. Elaborado en base a información provista por las jurisdicciones</t>
    </r>
  </si>
  <si>
    <t>Subsecretaría de Coordinación Fiscal Provincial</t>
  </si>
  <si>
    <t>CARGOS OCUPADOS SEGÚN MODALIDAD CON LIQUIDACIÓN DE HABERES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</si>
</sst>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2" applyFont="1" applyBorder="1" applyAlignment="1">
      <alignment horizontal="left"/>
    </xf>
    <xf numFmtId="165" fontId="2" fillId="0" borderId="3" xfId="1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0" fontId="8" fillId="0" borderId="4" xfId="2" applyFont="1" applyBorder="1" applyAlignment="1">
      <alignment horizontal="left"/>
    </xf>
    <xf numFmtId="165" fontId="2" fillId="0" borderId="4" xfId="1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165" fontId="2" fillId="2" borderId="4" xfId="1" applyNumberFormat="1" applyFont="1" applyFill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8" fillId="0" borderId="5" xfId="2" applyFont="1" applyBorder="1" applyAlignment="1">
      <alignment horizontal="left"/>
    </xf>
    <xf numFmtId="165" fontId="2" fillId="0" borderId="5" xfId="1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2" fillId="3" borderId="4" xfId="1" applyNumberFormat="1" applyFont="1" applyFill="1" applyBorder="1" applyAlignment="1">
      <alignment vertical="center"/>
    </xf>
    <xf numFmtId="0" fontId="10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2" fontId="10" fillId="4" borderId="6" xfId="0" applyNumberFormat="1" applyFont="1" applyFill="1" applyBorder="1" applyAlignment="1">
      <alignment horizontal="left" vertical="center" wrapText="1"/>
    </xf>
    <xf numFmtId="0" fontId="9" fillId="4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10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31746EF-6BA7-4E10-BD02-D61350328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422971-9282-474F-AED8-6C4618A2A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92B9AE-B44C-4B75-A546-C7CA78D98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F368-BEF7-480B-AB2A-76DE9F99475C}">
  <dimension ref="A1:P34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8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8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O1" s="3"/>
    </row>
    <row r="2" spans="1:16" ht="23.25" customHeight="1" x14ac:dyDescent="0.25">
      <c r="B2" s="28" t="s">
        <v>41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6" ht="23.25" customHeight="1" x14ac:dyDescent="0.25">
      <c r="B3" s="29" t="s">
        <v>36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6" ht="23.25" customHeight="1" x14ac:dyDescent="0.25">
      <c r="B4" s="30" t="s">
        <v>1</v>
      </c>
      <c r="C4" s="31" t="s">
        <v>2</v>
      </c>
      <c r="D4" s="31"/>
      <c r="E4" s="31"/>
      <c r="F4" s="31"/>
      <c r="G4" s="31"/>
      <c r="H4" s="31" t="s">
        <v>3</v>
      </c>
      <c r="I4" s="31"/>
      <c r="J4" s="31"/>
      <c r="K4" s="31"/>
      <c r="L4" s="31"/>
      <c r="M4" s="30" t="s">
        <v>4</v>
      </c>
    </row>
    <row r="5" spans="1:16" s="5" customFormat="1" ht="51" x14ac:dyDescent="0.25">
      <c r="A5" s="4"/>
      <c r="B5" s="30"/>
      <c r="C5" s="24" t="s">
        <v>5</v>
      </c>
      <c r="D5" s="24" t="s">
        <v>6</v>
      </c>
      <c r="E5" s="24" t="s">
        <v>7</v>
      </c>
      <c r="F5" s="24" t="s">
        <v>8</v>
      </c>
      <c r="G5" s="23" t="s">
        <v>9</v>
      </c>
      <c r="H5" s="24" t="s">
        <v>5</v>
      </c>
      <c r="I5" s="24" t="s">
        <v>6</v>
      </c>
      <c r="J5" s="24" t="s">
        <v>7</v>
      </c>
      <c r="K5" s="24" t="s">
        <v>8</v>
      </c>
      <c r="L5" s="23" t="s">
        <v>9</v>
      </c>
      <c r="M5" s="30"/>
    </row>
    <row r="6" spans="1:16" x14ac:dyDescent="0.2">
      <c r="B6" s="6" t="s">
        <v>10</v>
      </c>
      <c r="C6" s="7">
        <v>225083</v>
      </c>
      <c r="D6" s="7">
        <v>415570</v>
      </c>
      <c r="E6" s="7">
        <v>49</v>
      </c>
      <c r="F6" s="7">
        <v>144</v>
      </c>
      <c r="G6" s="8">
        <f>+SUM(C6:F6)</f>
        <v>640846</v>
      </c>
      <c r="H6" s="7">
        <v>37338</v>
      </c>
      <c r="I6" s="7">
        <v>1300</v>
      </c>
      <c r="J6" s="7">
        <v>6</v>
      </c>
      <c r="K6" s="7">
        <v>9</v>
      </c>
      <c r="L6" s="8">
        <f>+SUM(H6:K6)</f>
        <v>38653</v>
      </c>
      <c r="M6" s="8">
        <f t="shared" ref="M6:M29" si="0">+L6+G6</f>
        <v>679499</v>
      </c>
      <c r="O6" s="20"/>
      <c r="P6" s="20"/>
    </row>
    <row r="7" spans="1:16" x14ac:dyDescent="0.2">
      <c r="B7" s="9" t="s">
        <v>11</v>
      </c>
      <c r="C7" s="10">
        <v>185373</v>
      </c>
      <c r="D7" s="10">
        <v>12342</v>
      </c>
      <c r="E7" s="10">
        <v>0</v>
      </c>
      <c r="F7" s="10">
        <v>0</v>
      </c>
      <c r="G7" s="11">
        <f t="shared" ref="G7:G29" si="1">+SUM(C7:F7)</f>
        <v>197715</v>
      </c>
      <c r="H7" s="10">
        <v>25437</v>
      </c>
      <c r="I7" s="10">
        <v>6855</v>
      </c>
      <c r="J7" s="10">
        <v>0</v>
      </c>
      <c r="K7" s="10">
        <v>0</v>
      </c>
      <c r="L7" s="11">
        <f t="shared" ref="L7:L29" si="2">+SUM(H7:K7)</f>
        <v>32292</v>
      </c>
      <c r="M7" s="11">
        <f t="shared" si="0"/>
        <v>230007</v>
      </c>
      <c r="O7" s="20"/>
      <c r="P7" s="20"/>
    </row>
    <row r="8" spans="1:16" x14ac:dyDescent="0.2">
      <c r="A8" s="1" t="s">
        <v>37</v>
      </c>
      <c r="B8" s="9" t="s">
        <v>12</v>
      </c>
      <c r="C8" s="22">
        <v>44409</v>
      </c>
      <c r="D8" s="12">
        <v>0</v>
      </c>
      <c r="E8" s="12">
        <v>0</v>
      </c>
      <c r="F8" s="12">
        <v>0</v>
      </c>
      <c r="G8" s="11">
        <f t="shared" si="1"/>
        <v>44409</v>
      </c>
      <c r="H8" s="12"/>
      <c r="I8" s="12"/>
      <c r="J8" s="12"/>
      <c r="K8" s="12"/>
      <c r="L8" s="11">
        <f t="shared" si="2"/>
        <v>0</v>
      </c>
      <c r="M8" s="11">
        <f t="shared" si="0"/>
        <v>44409</v>
      </c>
      <c r="O8" s="20"/>
      <c r="P8" s="20"/>
    </row>
    <row r="9" spans="1:16" x14ac:dyDescent="0.2">
      <c r="B9" s="9" t="s">
        <v>13</v>
      </c>
      <c r="C9" s="10">
        <v>75846</v>
      </c>
      <c r="D9" s="10">
        <v>3530</v>
      </c>
      <c r="E9" s="10">
        <v>0</v>
      </c>
      <c r="F9" s="10">
        <v>0</v>
      </c>
      <c r="G9" s="11">
        <f t="shared" si="1"/>
        <v>79376</v>
      </c>
      <c r="H9" s="10">
        <v>747</v>
      </c>
      <c r="I9" s="10">
        <v>0</v>
      </c>
      <c r="J9" s="10">
        <v>0</v>
      </c>
      <c r="K9" s="10">
        <v>0</v>
      </c>
      <c r="L9" s="11">
        <f t="shared" si="2"/>
        <v>747</v>
      </c>
      <c r="M9" s="11">
        <f t="shared" si="0"/>
        <v>80123</v>
      </c>
      <c r="O9" s="20"/>
      <c r="P9" s="20"/>
    </row>
    <row r="10" spans="1:16" x14ac:dyDescent="0.2">
      <c r="B10" s="9" t="s">
        <v>14</v>
      </c>
      <c r="C10" s="10">
        <v>44390</v>
      </c>
      <c r="D10" s="10">
        <v>1197</v>
      </c>
      <c r="E10" s="10">
        <v>0</v>
      </c>
      <c r="F10" s="10">
        <v>0</v>
      </c>
      <c r="G10" s="11">
        <f t="shared" si="1"/>
        <v>45587</v>
      </c>
      <c r="H10" s="10">
        <v>616</v>
      </c>
      <c r="I10" s="10">
        <v>48</v>
      </c>
      <c r="J10" s="10">
        <v>0</v>
      </c>
      <c r="K10" s="10">
        <v>0</v>
      </c>
      <c r="L10" s="11">
        <f t="shared" si="2"/>
        <v>664</v>
      </c>
      <c r="M10" s="11">
        <f t="shared" si="0"/>
        <v>46251</v>
      </c>
      <c r="O10" s="20"/>
      <c r="P10" s="20"/>
    </row>
    <row r="11" spans="1:16" x14ac:dyDescent="0.2">
      <c r="B11" s="9" t="s">
        <v>15</v>
      </c>
      <c r="C11" s="10">
        <v>124791</v>
      </c>
      <c r="D11" s="10">
        <v>2671</v>
      </c>
      <c r="E11" s="10">
        <v>0</v>
      </c>
      <c r="F11" s="10">
        <v>217</v>
      </c>
      <c r="G11" s="11">
        <f t="shared" si="1"/>
        <v>127679</v>
      </c>
      <c r="H11" s="10"/>
      <c r="I11" s="10"/>
      <c r="J11" s="10"/>
      <c r="K11" s="10"/>
      <c r="L11" s="11">
        <f t="shared" si="2"/>
        <v>0</v>
      </c>
      <c r="M11" s="11">
        <f t="shared" si="0"/>
        <v>127679</v>
      </c>
      <c r="O11" s="20"/>
      <c r="P11" s="20"/>
    </row>
    <row r="12" spans="1:16" x14ac:dyDescent="0.2">
      <c r="B12" s="9" t="s">
        <v>16</v>
      </c>
      <c r="C12" s="10">
        <v>61598</v>
      </c>
      <c r="D12" s="10">
        <v>355</v>
      </c>
      <c r="E12" s="10">
        <v>0</v>
      </c>
      <c r="F12" s="10">
        <v>82</v>
      </c>
      <c r="G12" s="11">
        <f t="shared" si="1"/>
        <v>62035</v>
      </c>
      <c r="H12" s="10">
        <v>1257</v>
      </c>
      <c r="I12" s="10">
        <v>0</v>
      </c>
      <c r="J12" s="10">
        <v>0</v>
      </c>
      <c r="K12" s="10">
        <v>0</v>
      </c>
      <c r="L12" s="11">
        <f t="shared" si="2"/>
        <v>1257</v>
      </c>
      <c r="M12" s="11">
        <f t="shared" si="0"/>
        <v>63292</v>
      </c>
      <c r="O12" s="20"/>
      <c r="P12" s="20"/>
    </row>
    <row r="13" spans="1:16" x14ac:dyDescent="0.2">
      <c r="B13" s="9" t="s">
        <v>17</v>
      </c>
      <c r="C13" s="10">
        <v>40080</v>
      </c>
      <c r="D13" s="10">
        <v>49510</v>
      </c>
      <c r="E13" s="10">
        <v>0</v>
      </c>
      <c r="F13" s="10">
        <v>199</v>
      </c>
      <c r="G13" s="11">
        <f t="shared" si="1"/>
        <v>89789</v>
      </c>
      <c r="H13" s="10">
        <v>1727</v>
      </c>
      <c r="I13" s="10">
        <v>269</v>
      </c>
      <c r="J13" s="10">
        <v>0</v>
      </c>
      <c r="K13" s="10">
        <v>5</v>
      </c>
      <c r="L13" s="11">
        <f t="shared" si="2"/>
        <v>2001</v>
      </c>
      <c r="M13" s="11">
        <f t="shared" si="0"/>
        <v>91790</v>
      </c>
      <c r="O13" s="20"/>
      <c r="P13" s="20"/>
    </row>
    <row r="14" spans="1:16" x14ac:dyDescent="0.2">
      <c r="B14" s="9" t="s">
        <v>18</v>
      </c>
      <c r="C14" s="10">
        <v>36518</v>
      </c>
      <c r="D14" s="10">
        <v>2388</v>
      </c>
      <c r="E14" s="10">
        <v>0</v>
      </c>
      <c r="F14" s="10">
        <v>302</v>
      </c>
      <c r="G14" s="11">
        <f t="shared" si="1"/>
        <v>39208</v>
      </c>
      <c r="H14" s="10">
        <v>1307</v>
      </c>
      <c r="I14" s="10">
        <v>1141</v>
      </c>
      <c r="J14" s="10">
        <v>0</v>
      </c>
      <c r="K14" s="10">
        <v>0</v>
      </c>
      <c r="L14" s="11">
        <f t="shared" si="2"/>
        <v>2448</v>
      </c>
      <c r="M14" s="11">
        <f t="shared" si="0"/>
        <v>41656</v>
      </c>
      <c r="O14" s="20"/>
      <c r="P14" s="20"/>
    </row>
    <row r="15" spans="1:16" x14ac:dyDescent="0.2">
      <c r="B15" s="9" t="s">
        <v>19</v>
      </c>
      <c r="C15" s="10">
        <v>64849</v>
      </c>
      <c r="D15" s="10">
        <v>1530</v>
      </c>
      <c r="E15" s="10">
        <v>0</v>
      </c>
      <c r="F15" s="10">
        <v>0</v>
      </c>
      <c r="G15" s="11">
        <f t="shared" si="1"/>
        <v>66379</v>
      </c>
      <c r="H15" s="10">
        <v>821</v>
      </c>
      <c r="I15" s="10">
        <v>51</v>
      </c>
      <c r="J15" s="10">
        <v>0</v>
      </c>
      <c r="K15" s="10">
        <v>0</v>
      </c>
      <c r="L15" s="11">
        <f t="shared" si="2"/>
        <v>872</v>
      </c>
      <c r="M15" s="11">
        <f t="shared" si="0"/>
        <v>67251</v>
      </c>
      <c r="O15" s="20"/>
      <c r="P15" s="20"/>
    </row>
    <row r="16" spans="1:16" x14ac:dyDescent="0.2">
      <c r="A16" s="13" t="s">
        <v>20</v>
      </c>
      <c r="B16" s="9" t="s">
        <v>21</v>
      </c>
      <c r="C16" s="10">
        <v>27152</v>
      </c>
      <c r="D16" s="10">
        <v>286</v>
      </c>
      <c r="E16" s="10">
        <v>0</v>
      </c>
      <c r="F16" s="10">
        <v>0</v>
      </c>
      <c r="G16" s="11">
        <f t="shared" si="1"/>
        <v>27438</v>
      </c>
      <c r="H16" s="10">
        <v>12</v>
      </c>
      <c r="I16" s="10">
        <v>578</v>
      </c>
      <c r="J16" s="10">
        <v>0</v>
      </c>
      <c r="K16" s="10">
        <v>0</v>
      </c>
      <c r="L16" s="11">
        <f t="shared" si="2"/>
        <v>590</v>
      </c>
      <c r="M16" s="11">
        <f t="shared" si="0"/>
        <v>28028</v>
      </c>
      <c r="O16" s="20"/>
      <c r="P16" s="20"/>
    </row>
    <row r="17" spans="1:16" x14ac:dyDescent="0.2">
      <c r="B17" s="9" t="s">
        <v>22</v>
      </c>
      <c r="C17" s="10">
        <v>40840</v>
      </c>
      <c r="D17" s="10">
        <v>1945</v>
      </c>
      <c r="E17" s="10">
        <v>0</v>
      </c>
      <c r="F17" s="10">
        <v>0</v>
      </c>
      <c r="G17" s="11">
        <f t="shared" si="1"/>
        <v>42785</v>
      </c>
      <c r="H17" s="10">
        <v>2023</v>
      </c>
      <c r="I17" s="10">
        <v>39</v>
      </c>
      <c r="J17" s="10">
        <v>0</v>
      </c>
      <c r="K17" s="10">
        <v>0</v>
      </c>
      <c r="L17" s="11">
        <f t="shared" si="2"/>
        <v>2062</v>
      </c>
      <c r="M17" s="11">
        <f t="shared" si="0"/>
        <v>44847</v>
      </c>
      <c r="O17" s="20"/>
      <c r="P17" s="20"/>
    </row>
    <row r="18" spans="1:16" x14ac:dyDescent="0.2">
      <c r="B18" s="9" t="s">
        <v>23</v>
      </c>
      <c r="C18" s="10">
        <v>27696</v>
      </c>
      <c r="D18" s="10">
        <v>64515</v>
      </c>
      <c r="E18" s="10">
        <v>0</v>
      </c>
      <c r="F18" s="10">
        <v>0</v>
      </c>
      <c r="G18" s="11">
        <f t="shared" si="1"/>
        <v>92211</v>
      </c>
      <c r="H18" s="10">
        <v>1048</v>
      </c>
      <c r="I18" s="10">
        <v>377</v>
      </c>
      <c r="J18" s="10">
        <v>277</v>
      </c>
      <c r="K18" s="10">
        <v>0</v>
      </c>
      <c r="L18" s="11">
        <f t="shared" si="2"/>
        <v>1702</v>
      </c>
      <c r="M18" s="11">
        <f t="shared" si="0"/>
        <v>93913</v>
      </c>
      <c r="O18" s="20"/>
      <c r="P18" s="20"/>
    </row>
    <row r="19" spans="1:16" x14ac:dyDescent="0.2">
      <c r="B19" s="9" t="s">
        <v>24</v>
      </c>
      <c r="C19" s="10">
        <v>30846</v>
      </c>
      <c r="D19" s="10">
        <v>35416</v>
      </c>
      <c r="E19" s="10">
        <v>0</v>
      </c>
      <c r="F19" s="10">
        <v>457</v>
      </c>
      <c r="G19" s="11">
        <f t="shared" si="1"/>
        <v>66719</v>
      </c>
      <c r="H19" s="10">
        <v>337</v>
      </c>
      <c r="I19" s="10">
        <v>1184</v>
      </c>
      <c r="J19" s="10">
        <v>0</v>
      </c>
      <c r="K19" s="10">
        <v>0</v>
      </c>
      <c r="L19" s="11">
        <f t="shared" si="2"/>
        <v>1521</v>
      </c>
      <c r="M19" s="11">
        <f t="shared" si="0"/>
        <v>68240</v>
      </c>
      <c r="O19" s="20"/>
      <c r="P19" s="20"/>
    </row>
    <row r="20" spans="1:16" x14ac:dyDescent="0.2">
      <c r="B20" s="9" t="s">
        <v>25</v>
      </c>
      <c r="C20" s="10">
        <v>28448</v>
      </c>
      <c r="D20" s="10">
        <v>43112</v>
      </c>
      <c r="E20" s="10">
        <v>34</v>
      </c>
      <c r="F20" s="10">
        <v>241</v>
      </c>
      <c r="G20" s="11">
        <f t="shared" si="1"/>
        <v>71835</v>
      </c>
      <c r="H20" s="10">
        <v>286</v>
      </c>
      <c r="I20" s="10">
        <v>186</v>
      </c>
      <c r="J20" s="10">
        <v>0</v>
      </c>
      <c r="K20" s="10">
        <v>0</v>
      </c>
      <c r="L20" s="11">
        <f t="shared" si="2"/>
        <v>472</v>
      </c>
      <c r="M20" s="11">
        <f t="shared" si="0"/>
        <v>72307</v>
      </c>
      <c r="O20" s="20"/>
      <c r="P20" s="20"/>
    </row>
    <row r="21" spans="1:16" x14ac:dyDescent="0.2">
      <c r="B21" s="9" t="s">
        <v>26</v>
      </c>
      <c r="C21" s="10">
        <v>17975</v>
      </c>
      <c r="D21" s="10">
        <v>44090</v>
      </c>
      <c r="E21" s="10">
        <v>0</v>
      </c>
      <c r="F21" s="10">
        <v>0</v>
      </c>
      <c r="G21" s="11">
        <f t="shared" si="1"/>
        <v>62065</v>
      </c>
      <c r="H21" s="10"/>
      <c r="I21" s="10"/>
      <c r="J21" s="10"/>
      <c r="K21" s="10"/>
      <c r="L21" s="11">
        <f t="shared" si="2"/>
        <v>0</v>
      </c>
      <c r="M21" s="11">
        <f t="shared" si="0"/>
        <v>62065</v>
      </c>
      <c r="O21" s="20"/>
      <c r="P21" s="20"/>
    </row>
    <row r="22" spans="1:16" x14ac:dyDescent="0.2">
      <c r="A22" s="1" t="s">
        <v>37</v>
      </c>
      <c r="B22" s="9" t="s">
        <v>27</v>
      </c>
      <c r="C22" s="22">
        <v>70364</v>
      </c>
      <c r="D22" s="12">
        <v>0</v>
      </c>
      <c r="E22" s="12">
        <v>0</v>
      </c>
      <c r="F22" s="12">
        <v>0</v>
      </c>
      <c r="G22" s="11">
        <f t="shared" si="1"/>
        <v>70364</v>
      </c>
      <c r="H22" s="12"/>
      <c r="I22" s="12"/>
      <c r="J22" s="12"/>
      <c r="K22" s="12"/>
      <c r="L22" s="11">
        <f t="shared" si="2"/>
        <v>0</v>
      </c>
      <c r="M22" s="11">
        <f t="shared" si="0"/>
        <v>70364</v>
      </c>
      <c r="O22" s="20"/>
      <c r="P22" s="20"/>
    </row>
    <row r="23" spans="1:16" x14ac:dyDescent="0.2">
      <c r="B23" s="9" t="s">
        <v>28</v>
      </c>
      <c r="C23" s="10">
        <v>40612</v>
      </c>
      <c r="D23" s="10">
        <v>4800</v>
      </c>
      <c r="E23" s="10">
        <v>0</v>
      </c>
      <c r="F23" s="10">
        <v>0</v>
      </c>
      <c r="G23" s="11">
        <f t="shared" si="1"/>
        <v>45412</v>
      </c>
      <c r="H23" s="10">
        <v>4934</v>
      </c>
      <c r="I23" s="10">
        <v>788</v>
      </c>
      <c r="J23" s="10">
        <v>0</v>
      </c>
      <c r="K23" s="10">
        <v>0</v>
      </c>
      <c r="L23" s="11">
        <f t="shared" si="2"/>
        <v>5722</v>
      </c>
      <c r="M23" s="11">
        <f t="shared" si="0"/>
        <v>51134</v>
      </c>
      <c r="O23" s="20"/>
      <c r="P23" s="20"/>
    </row>
    <row r="24" spans="1:16" x14ac:dyDescent="0.2">
      <c r="A24" s="13" t="s">
        <v>20</v>
      </c>
      <c r="B24" s="9" t="s">
        <v>29</v>
      </c>
      <c r="C24" s="10">
        <v>34910</v>
      </c>
      <c r="D24" s="10">
        <v>87</v>
      </c>
      <c r="E24" s="10">
        <v>0</v>
      </c>
      <c r="F24" s="10">
        <v>0</v>
      </c>
      <c r="G24" s="11">
        <f t="shared" si="1"/>
        <v>34997</v>
      </c>
      <c r="H24" s="12"/>
      <c r="I24" s="12"/>
      <c r="J24" s="12"/>
      <c r="K24" s="12"/>
      <c r="L24" s="11">
        <f t="shared" si="2"/>
        <v>0</v>
      </c>
      <c r="M24" s="11">
        <f t="shared" si="0"/>
        <v>34997</v>
      </c>
      <c r="O24" s="20"/>
      <c r="P24" s="20"/>
    </row>
    <row r="25" spans="1:16" x14ac:dyDescent="0.2">
      <c r="B25" s="9" t="s">
        <v>30</v>
      </c>
      <c r="C25" s="10">
        <v>34377</v>
      </c>
      <c r="D25" s="10">
        <v>1483</v>
      </c>
      <c r="E25" s="10">
        <v>62</v>
      </c>
      <c r="F25" s="10">
        <v>148</v>
      </c>
      <c r="G25" s="11">
        <f t="shared" si="1"/>
        <v>36070</v>
      </c>
      <c r="H25" s="10">
        <v>454</v>
      </c>
      <c r="I25" s="10">
        <v>0</v>
      </c>
      <c r="J25" s="10">
        <v>0</v>
      </c>
      <c r="K25" s="10">
        <v>0</v>
      </c>
      <c r="L25" s="11">
        <f t="shared" si="2"/>
        <v>454</v>
      </c>
      <c r="M25" s="11">
        <f t="shared" si="0"/>
        <v>36524</v>
      </c>
      <c r="O25" s="20"/>
      <c r="P25" s="20"/>
    </row>
    <row r="26" spans="1:16" x14ac:dyDescent="0.2">
      <c r="B26" s="9" t="s">
        <v>31</v>
      </c>
      <c r="C26" s="10">
        <v>138019</v>
      </c>
      <c r="D26" s="10">
        <v>2918</v>
      </c>
      <c r="E26" s="10">
        <v>0</v>
      </c>
      <c r="F26" s="10">
        <v>239</v>
      </c>
      <c r="G26" s="11">
        <f t="shared" si="1"/>
        <v>141176</v>
      </c>
      <c r="H26" s="10">
        <v>126069</v>
      </c>
      <c r="I26" s="10">
        <v>370</v>
      </c>
      <c r="J26" s="10">
        <v>0</v>
      </c>
      <c r="K26" s="10">
        <v>37</v>
      </c>
      <c r="L26" s="11">
        <f t="shared" si="2"/>
        <v>126476</v>
      </c>
      <c r="M26" s="11">
        <f t="shared" si="0"/>
        <v>267652</v>
      </c>
      <c r="O26" s="20"/>
      <c r="P26" s="20"/>
    </row>
    <row r="27" spans="1:16" x14ac:dyDescent="0.2">
      <c r="B27" s="9" t="s">
        <v>32</v>
      </c>
      <c r="C27" s="10">
        <v>27540</v>
      </c>
      <c r="D27" s="10">
        <v>31483</v>
      </c>
      <c r="E27" s="10">
        <v>0</v>
      </c>
      <c r="F27" s="10">
        <v>0</v>
      </c>
      <c r="G27" s="11">
        <f t="shared" si="1"/>
        <v>59023</v>
      </c>
      <c r="H27" s="10">
        <v>3044</v>
      </c>
      <c r="I27" s="10">
        <v>458</v>
      </c>
      <c r="J27" s="10">
        <v>0</v>
      </c>
      <c r="K27" s="10">
        <v>0</v>
      </c>
      <c r="L27" s="11">
        <f t="shared" si="2"/>
        <v>3502</v>
      </c>
      <c r="M27" s="11">
        <f t="shared" si="0"/>
        <v>62525</v>
      </c>
      <c r="O27" s="20"/>
      <c r="P27" s="20"/>
    </row>
    <row r="28" spans="1:16" x14ac:dyDescent="0.2">
      <c r="B28" s="9" t="s">
        <v>33</v>
      </c>
      <c r="C28" s="10">
        <v>21494</v>
      </c>
      <c r="D28" s="10">
        <v>729</v>
      </c>
      <c r="E28" s="10">
        <v>0</v>
      </c>
      <c r="F28" s="10">
        <v>100</v>
      </c>
      <c r="G28" s="11">
        <f t="shared" si="1"/>
        <v>22323</v>
      </c>
      <c r="H28" s="10">
        <v>506</v>
      </c>
      <c r="I28" s="10">
        <v>0</v>
      </c>
      <c r="J28" s="10">
        <v>0</v>
      </c>
      <c r="K28" s="10">
        <v>0</v>
      </c>
      <c r="L28" s="11">
        <f t="shared" si="2"/>
        <v>506</v>
      </c>
      <c r="M28" s="11">
        <f t="shared" si="0"/>
        <v>22829</v>
      </c>
      <c r="O28" s="20"/>
      <c r="P28" s="20"/>
    </row>
    <row r="29" spans="1:16" x14ac:dyDescent="0.2">
      <c r="B29" s="14" t="s">
        <v>34</v>
      </c>
      <c r="C29" s="15">
        <v>65932</v>
      </c>
      <c r="D29" s="15">
        <v>27151</v>
      </c>
      <c r="E29" s="15">
        <v>0</v>
      </c>
      <c r="F29" s="15">
        <v>0</v>
      </c>
      <c r="G29" s="16">
        <f t="shared" si="1"/>
        <v>93083</v>
      </c>
      <c r="H29" s="15">
        <v>4273</v>
      </c>
      <c r="I29" s="15">
        <v>2300</v>
      </c>
      <c r="J29" s="15">
        <v>0</v>
      </c>
      <c r="K29" s="15">
        <v>0</v>
      </c>
      <c r="L29" s="16">
        <f t="shared" si="2"/>
        <v>6573</v>
      </c>
      <c r="M29" s="16">
        <f t="shared" si="0"/>
        <v>99656</v>
      </c>
      <c r="O29" s="20"/>
      <c r="P29" s="20"/>
    </row>
    <row r="30" spans="1:16" ht="18.75" customHeight="1" x14ac:dyDescent="0.25">
      <c r="B30" s="25" t="s">
        <v>4</v>
      </c>
      <c r="C30" s="17">
        <f>+SUM(C6:C29)</f>
        <v>1509142</v>
      </c>
      <c r="D30" s="17">
        <f t="shared" ref="D30:M30" si="3">+SUM(D6:D29)</f>
        <v>747108</v>
      </c>
      <c r="E30" s="17">
        <f t="shared" si="3"/>
        <v>145</v>
      </c>
      <c r="F30" s="17">
        <f t="shared" si="3"/>
        <v>2129</v>
      </c>
      <c r="G30" s="17">
        <f t="shared" si="3"/>
        <v>2258524</v>
      </c>
      <c r="H30" s="17">
        <f t="shared" si="3"/>
        <v>212236</v>
      </c>
      <c r="I30" s="17">
        <f t="shared" si="3"/>
        <v>15944</v>
      </c>
      <c r="J30" s="17">
        <f t="shared" si="3"/>
        <v>283</v>
      </c>
      <c r="K30" s="17">
        <f t="shared" si="3"/>
        <v>51</v>
      </c>
      <c r="L30" s="17">
        <f t="shared" si="3"/>
        <v>228514</v>
      </c>
      <c r="M30" s="17">
        <f t="shared" si="3"/>
        <v>2487038</v>
      </c>
      <c r="O30" s="21"/>
      <c r="P30" s="21"/>
    </row>
    <row r="31" spans="1:16" x14ac:dyDescent="0.25">
      <c r="B31" s="2" t="s">
        <v>39</v>
      </c>
    </row>
    <row r="32" spans="1:16" x14ac:dyDescent="0.25">
      <c r="B32" s="19" t="s">
        <v>35</v>
      </c>
    </row>
    <row r="33" spans="2:13" x14ac:dyDescent="0.25">
      <c r="B33" s="19" t="s">
        <v>38</v>
      </c>
    </row>
    <row r="34" spans="2:13" ht="15" x14ac:dyDescent="0.25">
      <c r="B34" s="26" t="s">
        <v>40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</sheetData>
  <mergeCells count="8">
    <mergeCell ref="B34:M34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1221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2026-09-21T19:09:19Z</dcterms:created>
  <dcterms:modified xsi:type="dcterms:W3CDTF">2026-10-14T17:33:23Z</dcterms:modified>
</cp:coreProperties>
</file>