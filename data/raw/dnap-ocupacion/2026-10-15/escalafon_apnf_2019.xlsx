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9BF3BDA6-26D2-4F3D-916D-4D92305D7627}" xr6:coauthVersionLast="47" xr6:coauthVersionMax="47" xr10:uidLastSave="{00000000-0000-0000-0000-000000000000}"/>
  <bookViews>
    <workbookView xWindow="-120" yWindow="-120" windowWidth="29040" windowHeight="15840" xr2:uid="{71D6E047-AEA8-4283-8DF4-85FFD6E360C3}"/>
  </bookViews>
  <sheets>
    <sheet name="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" l="1"/>
  <c r="L10" i="1"/>
  <c r="L21" i="1"/>
  <c r="L14" i="1"/>
  <c r="L19" i="1"/>
  <c r="L29" i="1"/>
  <c r="L7" i="1"/>
  <c r="C31" i="1"/>
  <c r="L26" i="1"/>
  <c r="D31" i="1"/>
  <c r="E31" i="1"/>
  <c r="F31" i="1"/>
  <c r="G31" i="1"/>
  <c r="L12" i="1"/>
  <c r="H31" i="1"/>
  <c r="I31" i="1"/>
  <c r="L17" i="1"/>
  <c r="J31" i="1"/>
  <c r="K31" i="1"/>
  <c r="L22" i="1"/>
  <c r="L9" i="1"/>
  <c r="L15" i="1"/>
  <c r="L27" i="1"/>
  <c r="L8" i="1"/>
  <c r="L20" i="1"/>
  <c r="L13" i="1"/>
  <c r="L25" i="1"/>
  <c r="L18" i="1"/>
  <c r="L30" i="1"/>
  <c r="L11" i="1"/>
  <c r="L23" i="1"/>
  <c r="L16" i="1"/>
  <c r="L28" i="1"/>
  <c r="L31" i="1" l="1"/>
</calcChain>
</file>

<file path=xl/sharedStrings.xml><?xml version="1.0" encoding="utf-8"?>
<sst xmlns="http://schemas.openxmlformats.org/spreadsheetml/2006/main" count="44" uniqueCount="43">
  <si>
    <t>PLANTA DE LA ADMINISTRACIÓN PÚBLICA PROVINCIAL NO FINANCIERA POR ESCALAFÓN - 24 JURISDICCIONES</t>
  </si>
  <si>
    <t>CARGOS OCUPADOS CON LIQUIDACIÓN DE HABERES</t>
  </si>
  <si>
    <t>A DICIEMBRE DE 2019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</si>
  <si>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</si>
  <si>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</si>
  <si>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</si>
  <si>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</si>
  <si>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</si>
  <si>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</si>
  <si>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</si>
  <si>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</si>
  <si>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</si>
  <si>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</si>
  <si>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</si>
  <si>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</si>
  <si>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</si>
  <si>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</si>
  <si>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</si>
  <si>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</si>
  <si>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</si>
  <si>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</si>
  <si>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</si>
  <si>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</si>
  <si>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</si>
  <si>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</si>
  <si>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</si>
  <si>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</si>
  <si>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</si>
  <si>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</si>
  <si>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</si>
  <si>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</si>
  <si>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</si>
  <si>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</si>
  <si>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</si>
  <si>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</si>
  <si>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</si>
  <si>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</si>
  <si>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</si>
  <si>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</si>
  <si>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</si>
  <si>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</si>
  <si>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Incluye contratos, becas y pasantías, y personal de programas.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</si>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</sst>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b/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5" fillId="0" borderId="1" xfId="0" applyFont="1" applyBorder="1" applyAlignment="1">
      <alignment horizontal="left" vertical="center"/>
    </xf>
    <xf numFmtId="164" fontId="5" fillId="0" borderId="1" xfId="1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4" fontId="5" fillId="0" borderId="3" xfId="1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64" fontId="5" fillId="0" borderId="2" xfId="1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6" fillId="0" borderId="0" xfId="0" quotePrefix="1" applyFont="1" applyAlignment="1">
      <alignment vertical="center"/>
    </xf>
    <xf numFmtId="0" fontId="7" fillId="0" borderId="0" xfId="2" applyFont="1"/>
    <xf numFmtId="0" fontId="3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quotePrefix="1" applyFont="1" applyAlignment="1">
      <alignment horizontal="right" vertical="center"/>
    </xf>
    <xf numFmtId="0" fontId="7" fillId="0" borderId="0" xfId="0" quotePrefix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2" applyFont="1"/>
    <xf numFmtId="0" fontId="5" fillId="0" borderId="0" xfId="2" applyFont="1"/>
    <xf numFmtId="2" fontId="11" fillId="2" borderId="7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2" fontId="11" fillId="2" borderId="5" xfId="0" applyNumberFormat="1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left"/>
    </xf>
  </cellXfs>
  <cellStyles count="3">
    <cellStyle name="Millares" xfId="1" builtinId="3"/>
    <cellStyle name="Normal" xfId="0" builtinId="0"/>
    <cellStyle name="Normal 2" xfId="2" xr:uid="{19BE3471-E53A-40F1-8D67-6C7F82C759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98205-81B8-4E86-9649-DCE05F27D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0286-D08D-4761-9FBB-9958AA0E4E5B}">
  <dimension ref="A2:M35"/>
  <sheetViews>
    <sheetView tabSelected="1" workbookViewId="0">
      <selection activeCell="B33" sqref="B33"/>
    </sheetView>
  </sheetViews>
  <sheetFormatPr baseColWidth="10" defaultRowHeight="15" x14ac:dyDescent="0.25"/>
  <cols>
    <col min="1" max="1" width="4.7109375" style="12" customWidth="1"/>
    <col min="2" max="2" width="24.28515625" style="12" customWidth="1"/>
    <col min="3" max="11" width="11.42578125" style="12"/>
    <col min="12" max="12" width="11.42578125" style="19"/>
    <col min="13" max="13" width="11.42578125" style="12"/>
    <col min="14" max="16384" width="11.42578125" style="13"/>
  </cols>
  <sheetData>
    <row r="2" spans="1:12" ht="15.75" x14ac:dyDescent="0.2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5">
      <c r="A3" s="14"/>
      <c r="B3" s="23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25">
      <c r="A4" s="14"/>
      <c r="B4" s="24" t="s">
        <v>2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15" customHeight="1" x14ac:dyDescent="0.25">
      <c r="A5" s="14"/>
      <c r="B5" s="25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 s="25" t="s">
        <v>8</v>
      </c>
      <c r="H5" s="25" t="s">
        <v>9</v>
      </c>
      <c r="I5" s="25" t="s">
        <v>10</v>
      </c>
      <c r="J5" s="25" t="s">
        <v>11</v>
      </c>
      <c r="K5" s="25" t="s">
        <v>12</v>
      </c>
      <c r="L5" s="25" t="s">
        <v>13</v>
      </c>
    </row>
    <row r="6" spans="1:12" x14ac:dyDescent="0.25">
      <c r="A6" s="14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x14ac:dyDescent="0.25">
      <c r="A7" s="14"/>
      <c r="B7" s="1" t="s">
        <v>14</v>
      </c>
      <c r="C7" s="2">
        <v>106373</v>
      </c>
      <c r="D7" s="2">
        <v>322826</v>
      </c>
      <c r="E7" s="2">
        <v>55740</v>
      </c>
      <c r="F7" s="2">
        <v>89985</v>
      </c>
      <c r="G7" s="2">
        <v>905</v>
      </c>
      <c r="H7" s="2">
        <v>1046</v>
      </c>
      <c r="I7" s="2">
        <v>29398</v>
      </c>
      <c r="J7" s="2">
        <v>2467</v>
      </c>
      <c r="K7" s="2">
        <v>31364</v>
      </c>
      <c r="L7" s="3">
        <f t="shared" ref="L7:L31" si="0">+SUM(C7:K7)</f>
        <v>640104</v>
      </c>
    </row>
    <row r="8" spans="1:12" x14ac:dyDescent="0.25">
      <c r="A8" s="14"/>
      <c r="B8" s="4" t="s">
        <v>15</v>
      </c>
      <c r="C8" s="5">
        <v>35540</v>
      </c>
      <c r="D8" s="5">
        <v>74539</v>
      </c>
      <c r="E8" s="5">
        <v>35400</v>
      </c>
      <c r="F8" s="5">
        <v>31896</v>
      </c>
      <c r="G8" s="5">
        <v>0</v>
      </c>
      <c r="H8" s="5">
        <v>540</v>
      </c>
      <c r="I8" s="5">
        <v>20149</v>
      </c>
      <c r="J8" s="5">
        <v>3906</v>
      </c>
      <c r="K8" s="5">
        <v>7411</v>
      </c>
      <c r="L8" s="6">
        <f t="shared" si="0"/>
        <v>209381</v>
      </c>
    </row>
    <row r="9" spans="1:12" x14ac:dyDescent="0.25">
      <c r="A9" s="14"/>
      <c r="B9" s="4" t="s">
        <v>16</v>
      </c>
      <c r="C9" s="5">
        <v>11333</v>
      </c>
      <c r="D9" s="5">
        <v>18381</v>
      </c>
      <c r="E9" s="5">
        <v>6353</v>
      </c>
      <c r="F9" s="5">
        <v>4002</v>
      </c>
      <c r="G9" s="5">
        <v>1135</v>
      </c>
      <c r="H9" s="5">
        <v>1225</v>
      </c>
      <c r="I9" s="5">
        <v>402</v>
      </c>
      <c r="J9" s="5">
        <v>2502</v>
      </c>
      <c r="K9" s="5">
        <v>1761</v>
      </c>
      <c r="L9" s="6">
        <f t="shared" si="0"/>
        <v>47094</v>
      </c>
    </row>
    <row r="10" spans="1:12" x14ac:dyDescent="0.25">
      <c r="A10" s="14"/>
      <c r="B10" s="4" t="s">
        <v>17</v>
      </c>
      <c r="C10" s="5">
        <v>16967</v>
      </c>
      <c r="D10" s="5">
        <v>39880</v>
      </c>
      <c r="E10" s="5">
        <v>11247</v>
      </c>
      <c r="F10" s="5">
        <v>9444</v>
      </c>
      <c r="G10" s="5">
        <v>970</v>
      </c>
      <c r="H10" s="5">
        <v>193</v>
      </c>
      <c r="I10" s="5">
        <v>745</v>
      </c>
      <c r="J10" s="5">
        <v>1973</v>
      </c>
      <c r="K10" s="5">
        <v>4103</v>
      </c>
      <c r="L10" s="6">
        <f t="shared" si="0"/>
        <v>85522</v>
      </c>
    </row>
    <row r="11" spans="1:12" x14ac:dyDescent="0.25">
      <c r="A11" s="14"/>
      <c r="B11" s="4" t="s">
        <v>18</v>
      </c>
      <c r="C11" s="5">
        <v>3331</v>
      </c>
      <c r="D11" s="5">
        <v>20020</v>
      </c>
      <c r="E11" s="5">
        <v>6498</v>
      </c>
      <c r="F11" s="5">
        <v>5498</v>
      </c>
      <c r="G11" s="5">
        <v>666</v>
      </c>
      <c r="H11" s="5">
        <v>61</v>
      </c>
      <c r="I11" s="5">
        <v>8171</v>
      </c>
      <c r="J11" s="5">
        <v>350</v>
      </c>
      <c r="K11" s="5">
        <v>1840</v>
      </c>
      <c r="L11" s="6">
        <f t="shared" si="0"/>
        <v>46435</v>
      </c>
    </row>
    <row r="12" spans="1:12" x14ac:dyDescent="0.25">
      <c r="A12" s="14"/>
      <c r="B12" s="4" t="s">
        <v>19</v>
      </c>
      <c r="C12" s="5">
        <v>17317</v>
      </c>
      <c r="D12" s="5">
        <v>62051</v>
      </c>
      <c r="E12" s="5">
        <v>11495</v>
      </c>
      <c r="F12" s="5">
        <v>25357</v>
      </c>
      <c r="G12" s="5">
        <v>320</v>
      </c>
      <c r="H12" s="5">
        <v>195</v>
      </c>
      <c r="I12" s="5">
        <v>1331</v>
      </c>
      <c r="J12" s="5">
        <v>1608</v>
      </c>
      <c r="K12" s="5">
        <v>8368</v>
      </c>
      <c r="L12" s="6">
        <f t="shared" si="0"/>
        <v>128042</v>
      </c>
    </row>
    <row r="13" spans="1:12" x14ac:dyDescent="0.25">
      <c r="A13" s="14"/>
      <c r="B13" s="4" t="s">
        <v>20</v>
      </c>
      <c r="C13" s="5">
        <v>6788</v>
      </c>
      <c r="D13" s="5">
        <v>32711</v>
      </c>
      <c r="E13" s="5">
        <v>7100</v>
      </c>
      <c r="F13" s="5">
        <v>9468</v>
      </c>
      <c r="G13" s="5">
        <v>393</v>
      </c>
      <c r="H13" s="5">
        <v>491</v>
      </c>
      <c r="I13" s="5">
        <v>100</v>
      </c>
      <c r="J13" s="5">
        <v>2479</v>
      </c>
      <c r="K13" s="5">
        <v>2665</v>
      </c>
      <c r="L13" s="6">
        <f t="shared" si="0"/>
        <v>62195</v>
      </c>
    </row>
    <row r="14" spans="1:12" x14ac:dyDescent="0.25">
      <c r="A14" s="14"/>
      <c r="B14" s="4" t="s">
        <v>21</v>
      </c>
      <c r="C14" s="5">
        <v>24514</v>
      </c>
      <c r="D14" s="5">
        <v>36176</v>
      </c>
      <c r="E14" s="5">
        <v>10099</v>
      </c>
      <c r="F14" s="5">
        <v>12013</v>
      </c>
      <c r="G14" s="5">
        <v>1833</v>
      </c>
      <c r="H14" s="5">
        <v>777</v>
      </c>
      <c r="I14" s="5">
        <v>349</v>
      </c>
      <c r="J14" s="5">
        <v>519</v>
      </c>
      <c r="K14" s="5">
        <v>2574</v>
      </c>
      <c r="L14" s="6">
        <f t="shared" si="0"/>
        <v>88854</v>
      </c>
    </row>
    <row r="15" spans="1:12" x14ac:dyDescent="0.25">
      <c r="A15" s="14"/>
      <c r="B15" s="4" t="s">
        <v>22</v>
      </c>
      <c r="C15" s="5">
        <v>9904</v>
      </c>
      <c r="D15" s="5">
        <v>14983.033333333335</v>
      </c>
      <c r="E15" s="5">
        <v>6362</v>
      </c>
      <c r="F15" s="5">
        <v>5518</v>
      </c>
      <c r="G15" s="5">
        <v>354</v>
      </c>
      <c r="H15" s="5">
        <v>198</v>
      </c>
      <c r="I15" s="5">
        <v>514</v>
      </c>
      <c r="J15" s="5">
        <v>1372</v>
      </c>
      <c r="K15" s="5">
        <v>1746</v>
      </c>
      <c r="L15" s="6">
        <f t="shared" si="0"/>
        <v>40951.033333333333</v>
      </c>
    </row>
    <row r="16" spans="1:12" x14ac:dyDescent="0.25">
      <c r="A16" s="15"/>
      <c r="B16" s="4" t="s">
        <v>23</v>
      </c>
      <c r="C16" s="5">
        <v>13264</v>
      </c>
      <c r="D16" s="5">
        <v>25504</v>
      </c>
      <c r="E16" s="5">
        <v>9733</v>
      </c>
      <c r="F16" s="5">
        <v>8965</v>
      </c>
      <c r="G16" s="5">
        <v>512</v>
      </c>
      <c r="H16" s="5">
        <v>516</v>
      </c>
      <c r="I16" s="5">
        <v>1086</v>
      </c>
      <c r="J16" s="5">
        <v>979</v>
      </c>
      <c r="K16" s="5">
        <v>1850</v>
      </c>
      <c r="L16" s="6">
        <f t="shared" si="0"/>
        <v>62409</v>
      </c>
    </row>
    <row r="17" spans="1:12" x14ac:dyDescent="0.25">
      <c r="A17" s="16" t="s">
        <v>24</v>
      </c>
      <c r="B17" s="4" t="s">
        <v>25</v>
      </c>
      <c r="C17" s="5">
        <v>7003</v>
      </c>
      <c r="D17" s="5">
        <v>10929</v>
      </c>
      <c r="E17" s="5">
        <v>4253</v>
      </c>
      <c r="F17" s="5">
        <v>2817</v>
      </c>
      <c r="G17" s="5">
        <v>545</v>
      </c>
      <c r="H17" s="5">
        <v>312</v>
      </c>
      <c r="I17" s="5">
        <v>336</v>
      </c>
      <c r="J17" s="5">
        <v>412</v>
      </c>
      <c r="K17" s="5">
        <v>1311</v>
      </c>
      <c r="L17" s="6">
        <f t="shared" si="0"/>
        <v>27918</v>
      </c>
    </row>
    <row r="18" spans="1:12" x14ac:dyDescent="0.25">
      <c r="A18" s="14"/>
      <c r="B18" s="4" t="s">
        <v>26</v>
      </c>
      <c r="C18" s="5">
        <v>11258</v>
      </c>
      <c r="D18" s="5">
        <v>15598</v>
      </c>
      <c r="E18" s="5">
        <v>5935</v>
      </c>
      <c r="F18" s="5">
        <v>4446</v>
      </c>
      <c r="G18" s="5">
        <v>364</v>
      </c>
      <c r="H18" s="5">
        <v>1035</v>
      </c>
      <c r="I18" s="5">
        <v>626</v>
      </c>
      <c r="J18" s="5">
        <v>990</v>
      </c>
      <c r="K18" s="5">
        <v>1228</v>
      </c>
      <c r="L18" s="6">
        <f t="shared" si="0"/>
        <v>41480</v>
      </c>
    </row>
    <row r="19" spans="1:12" x14ac:dyDescent="0.25">
      <c r="A19" s="14"/>
      <c r="B19" s="4" t="s">
        <v>27</v>
      </c>
      <c r="C19" s="5">
        <v>14735.366666666667</v>
      </c>
      <c r="D19" s="5">
        <v>42712.266666666663</v>
      </c>
      <c r="E19" s="5">
        <v>15419.975000000002</v>
      </c>
      <c r="F19" s="5">
        <v>11910.933333333332</v>
      </c>
      <c r="G19" s="5">
        <v>909</v>
      </c>
      <c r="H19" s="5">
        <v>278.4666666666667</v>
      </c>
      <c r="I19" s="5">
        <v>835.18333333333317</v>
      </c>
      <c r="J19" s="5">
        <v>1028</v>
      </c>
      <c r="K19" s="5">
        <v>5267.166666666667</v>
      </c>
      <c r="L19" s="6">
        <f t="shared" si="0"/>
        <v>93096.358333333337</v>
      </c>
    </row>
    <row r="20" spans="1:12" x14ac:dyDescent="0.25">
      <c r="A20" s="15"/>
      <c r="B20" s="4" t="s">
        <v>28</v>
      </c>
      <c r="C20" s="5">
        <v>7791</v>
      </c>
      <c r="D20" s="5">
        <v>30716</v>
      </c>
      <c r="E20" s="5">
        <v>5242</v>
      </c>
      <c r="F20" s="5">
        <v>11949</v>
      </c>
      <c r="G20" s="5">
        <v>597</v>
      </c>
      <c r="H20" s="5">
        <v>211</v>
      </c>
      <c r="I20" s="5">
        <v>19</v>
      </c>
      <c r="J20" s="5">
        <v>1178</v>
      </c>
      <c r="K20" s="5">
        <v>3911</v>
      </c>
      <c r="L20" s="6">
        <f t="shared" si="0"/>
        <v>61614</v>
      </c>
    </row>
    <row r="21" spans="1:12" x14ac:dyDescent="0.25">
      <c r="A21" s="14"/>
      <c r="B21" s="4" t="s">
        <v>29</v>
      </c>
      <c r="C21" s="5">
        <v>4117</v>
      </c>
      <c r="D21" s="5">
        <v>27541</v>
      </c>
      <c r="E21" s="5">
        <v>9244</v>
      </c>
      <c r="F21" s="5">
        <v>6737</v>
      </c>
      <c r="G21" s="5">
        <v>535</v>
      </c>
      <c r="H21" s="5">
        <v>1792</v>
      </c>
      <c r="I21" s="5">
        <v>14342</v>
      </c>
      <c r="J21" s="5">
        <v>746</v>
      </c>
      <c r="K21" s="5">
        <v>2212</v>
      </c>
      <c r="L21" s="6">
        <f t="shared" si="0"/>
        <v>67266</v>
      </c>
    </row>
    <row r="22" spans="1:12" x14ac:dyDescent="0.25">
      <c r="A22" s="14"/>
      <c r="B22" s="4" t="s">
        <v>30</v>
      </c>
      <c r="C22" s="5">
        <v>11919</v>
      </c>
      <c r="D22" s="5">
        <v>27543</v>
      </c>
      <c r="E22" s="5">
        <v>6794</v>
      </c>
      <c r="F22" s="5">
        <v>8329</v>
      </c>
      <c r="G22" s="5">
        <v>409</v>
      </c>
      <c r="H22" s="5">
        <v>243</v>
      </c>
      <c r="I22" s="5">
        <v>378</v>
      </c>
      <c r="J22" s="5">
        <v>965</v>
      </c>
      <c r="K22" s="5">
        <v>2424</v>
      </c>
      <c r="L22" s="6">
        <f t="shared" si="0"/>
        <v>59004</v>
      </c>
    </row>
    <row r="23" spans="1:12" x14ac:dyDescent="0.25">
      <c r="A23" s="14"/>
      <c r="B23" s="4" t="s">
        <v>31</v>
      </c>
      <c r="C23" s="5">
        <v>12043</v>
      </c>
      <c r="D23" s="5">
        <v>33463</v>
      </c>
      <c r="E23" s="5">
        <v>9102</v>
      </c>
      <c r="F23" s="5">
        <v>14017</v>
      </c>
      <c r="G23" s="5">
        <v>587</v>
      </c>
      <c r="H23" s="5">
        <v>57</v>
      </c>
      <c r="I23" s="5">
        <v>133</v>
      </c>
      <c r="J23" s="5">
        <v>1216</v>
      </c>
      <c r="K23" s="5">
        <v>4089</v>
      </c>
      <c r="L23" s="6">
        <f t="shared" si="0"/>
        <v>74707</v>
      </c>
    </row>
    <row r="24" spans="1:12" x14ac:dyDescent="0.25">
      <c r="A24" s="14"/>
      <c r="B24" s="4" t="s">
        <v>32</v>
      </c>
      <c r="C24" s="5">
        <v>10487</v>
      </c>
      <c r="D24" s="5">
        <v>19387</v>
      </c>
      <c r="E24" s="5">
        <v>8281</v>
      </c>
      <c r="F24" s="5">
        <v>6266</v>
      </c>
      <c r="G24" s="5">
        <v>303</v>
      </c>
      <c r="H24" s="5">
        <v>568</v>
      </c>
      <c r="I24" s="5">
        <v>324</v>
      </c>
      <c r="J24" s="5">
        <v>365</v>
      </c>
      <c r="K24" s="5">
        <v>1540</v>
      </c>
      <c r="L24" s="6">
        <f t="shared" si="0"/>
        <v>47521</v>
      </c>
    </row>
    <row r="25" spans="1:12" x14ac:dyDescent="0.25">
      <c r="A25" s="16" t="s">
        <v>24</v>
      </c>
      <c r="B25" s="4" t="s">
        <v>33</v>
      </c>
      <c r="C25" s="5">
        <v>11462</v>
      </c>
      <c r="D25" s="5">
        <v>11544</v>
      </c>
      <c r="E25" s="5">
        <v>4522</v>
      </c>
      <c r="F25" s="5">
        <v>4324</v>
      </c>
      <c r="G25" s="5">
        <v>69</v>
      </c>
      <c r="H25" s="5">
        <v>909</v>
      </c>
      <c r="I25" s="5">
        <v>41</v>
      </c>
      <c r="J25" s="5">
        <v>207</v>
      </c>
      <c r="K25" s="5">
        <v>1398</v>
      </c>
      <c r="L25" s="6">
        <f t="shared" si="0"/>
        <v>34476</v>
      </c>
    </row>
    <row r="26" spans="1:12" x14ac:dyDescent="0.25">
      <c r="A26" s="14"/>
      <c r="B26" s="4" t="s">
        <v>34</v>
      </c>
      <c r="C26" s="5">
        <v>7909</v>
      </c>
      <c r="D26" s="5">
        <v>13496</v>
      </c>
      <c r="E26" s="5">
        <v>3645</v>
      </c>
      <c r="F26" s="5">
        <v>5689</v>
      </c>
      <c r="G26" s="5">
        <v>782</v>
      </c>
      <c r="H26" s="5">
        <v>777</v>
      </c>
      <c r="I26" s="5">
        <v>892</v>
      </c>
      <c r="J26" s="5">
        <v>726</v>
      </c>
      <c r="K26" s="5">
        <v>1350</v>
      </c>
      <c r="L26" s="6">
        <f t="shared" si="0"/>
        <v>35266</v>
      </c>
    </row>
    <row r="27" spans="1:12" x14ac:dyDescent="0.25">
      <c r="A27" s="14"/>
      <c r="B27" s="4" t="s">
        <v>35</v>
      </c>
      <c r="C27" s="5">
        <v>141075</v>
      </c>
      <c r="D27" s="5">
        <v>60735</v>
      </c>
      <c r="E27" s="5">
        <v>8842</v>
      </c>
      <c r="F27" s="5">
        <v>25154</v>
      </c>
      <c r="G27" s="5">
        <v>1243</v>
      </c>
      <c r="H27" s="5">
        <v>953</v>
      </c>
      <c r="I27" s="5">
        <v>1843</v>
      </c>
      <c r="J27" s="5">
        <v>1505</v>
      </c>
      <c r="K27" s="5">
        <v>4716</v>
      </c>
      <c r="L27" s="6">
        <f t="shared" si="0"/>
        <v>246066</v>
      </c>
    </row>
    <row r="28" spans="1:12" x14ac:dyDescent="0.25">
      <c r="A28" s="14"/>
      <c r="B28" s="4" t="s">
        <v>36</v>
      </c>
      <c r="C28" s="5">
        <v>13415</v>
      </c>
      <c r="D28" s="5">
        <v>26286</v>
      </c>
      <c r="E28" s="5">
        <v>6601</v>
      </c>
      <c r="F28" s="5">
        <v>8010</v>
      </c>
      <c r="G28" s="5">
        <v>857</v>
      </c>
      <c r="H28" s="5">
        <v>515</v>
      </c>
      <c r="I28" s="5">
        <v>3098</v>
      </c>
      <c r="J28" s="5">
        <v>366</v>
      </c>
      <c r="K28" s="5">
        <v>2827</v>
      </c>
      <c r="L28" s="6">
        <f t="shared" si="0"/>
        <v>61975</v>
      </c>
    </row>
    <row r="29" spans="1:12" x14ac:dyDescent="0.25">
      <c r="A29" s="14"/>
      <c r="B29" s="4" t="s">
        <v>37</v>
      </c>
      <c r="C29" s="5">
        <v>4703</v>
      </c>
      <c r="D29" s="5">
        <v>7695</v>
      </c>
      <c r="E29" s="5">
        <v>2435</v>
      </c>
      <c r="F29" s="5">
        <v>2372</v>
      </c>
      <c r="G29" s="5">
        <v>149</v>
      </c>
      <c r="H29" s="5">
        <v>125</v>
      </c>
      <c r="I29" s="5">
        <v>830</v>
      </c>
      <c r="J29" s="5">
        <v>342</v>
      </c>
      <c r="K29" s="5">
        <v>713</v>
      </c>
      <c r="L29" s="6">
        <f t="shared" si="0"/>
        <v>19364</v>
      </c>
    </row>
    <row r="30" spans="1:12" x14ac:dyDescent="0.25">
      <c r="A30" s="14"/>
      <c r="B30" s="7" t="s">
        <v>38</v>
      </c>
      <c r="C30" s="8">
        <v>15276</v>
      </c>
      <c r="D30" s="8">
        <v>31761</v>
      </c>
      <c r="E30" s="8">
        <v>24909</v>
      </c>
      <c r="F30" s="8">
        <v>11292</v>
      </c>
      <c r="G30" s="8">
        <v>1281</v>
      </c>
      <c r="H30" s="8">
        <v>171</v>
      </c>
      <c r="I30" s="8">
        <v>1496</v>
      </c>
      <c r="J30" s="8">
        <v>4392</v>
      </c>
      <c r="K30" s="8">
        <v>4612</v>
      </c>
      <c r="L30" s="9">
        <f t="shared" si="0"/>
        <v>95190</v>
      </c>
    </row>
    <row r="31" spans="1:12" x14ac:dyDescent="0.25">
      <c r="A31" s="14"/>
      <c r="B31" s="21" t="s">
        <v>39</v>
      </c>
      <c r="C31" s="10">
        <f t="shared" ref="C31:K31" si="1">SUM(C7:C30)</f>
        <v>518524.36666666664</v>
      </c>
      <c r="D31" s="10">
        <f t="shared" si="1"/>
        <v>1006477.3</v>
      </c>
      <c r="E31" s="10">
        <f t="shared" si="1"/>
        <v>275251.97499999998</v>
      </c>
      <c r="F31" s="10">
        <f t="shared" si="1"/>
        <v>325458.93333333335</v>
      </c>
      <c r="G31" s="10">
        <f t="shared" si="1"/>
        <v>15718</v>
      </c>
      <c r="H31" s="10">
        <f t="shared" si="1"/>
        <v>13188.466666666667</v>
      </c>
      <c r="I31" s="10">
        <f t="shared" si="1"/>
        <v>87438.183333333334</v>
      </c>
      <c r="J31" s="10">
        <f t="shared" si="1"/>
        <v>32593</v>
      </c>
      <c r="K31" s="10">
        <f t="shared" si="1"/>
        <v>101280.16666666667</v>
      </c>
      <c r="L31" s="10">
        <f t="shared" si="0"/>
        <v>2375930.3916666666</v>
      </c>
    </row>
    <row r="32" spans="1:12" x14ac:dyDescent="0.25">
      <c r="A32" s="14"/>
      <c r="B32" s="11" t="s">
        <v>40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x14ac:dyDescent="0.25">
      <c r="A33" s="14"/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x14ac:dyDescent="0.25">
      <c r="B34" s="20" t="s">
        <v>41</v>
      </c>
    </row>
    <row r="35" spans="1:12" x14ac:dyDescent="0.25">
      <c r="B35" s="27" t="s">
        <v>42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</row>
  </sheetData>
  <mergeCells count="15">
    <mergeCell ref="B35:L35"/>
    <mergeCell ref="I5:I6"/>
    <mergeCell ref="J5:J6"/>
    <mergeCell ref="K5:K6"/>
    <mergeCell ref="L5:L6"/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2019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2026-09-22T15:44:04Z</dcterms:created>
  <dcterms:modified xsi:type="dcterms:W3CDTF">2026-10-14T17:41:42Z</dcterms:modified>
</cp:coreProperties>
</file>