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F1C81110-31E2-448D-81C3-A01ED06291D2}" xr6:coauthVersionLast="47" xr6:coauthVersionMax="47" xr10:uidLastSave="{00000000-0000-0000-0000-000000000000}"/>
  <bookViews>
    <workbookView xWindow="-26505" yWindow="2430" windowWidth="19275" windowHeight="10815" xr2:uid="{7D29FDB4-A4B9-4DCF-AA99-D59514AECAF3}"/>
  </bookViews>
  <sheets>
    <sheet name="12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K30" i="1" l="1"/>
  <c r="J30" i="1"/>
  <c r="I30" i="1"/>
  <c r="H30" i="1"/>
  <c r="L29" i="1"/>
  <c r="G29" i="1"/>
  <c r="L28" i="1"/>
  <c r="G28" i="1"/>
  <c r="L27" i="1"/>
  <c r="G27" i="1"/>
  <c r="L26" i="1"/>
  <c r="L25" i="1"/>
  <c r="G25" i="1"/>
  <c r="L24" i="1"/>
  <c r="G24" i="1"/>
  <c r="L23" i="1"/>
  <c r="G23" i="1"/>
  <c r="L22" i="1"/>
  <c r="G22" i="1"/>
  <c r="L21" i="1"/>
  <c r="M21" i="1" s="1"/>
  <c r="G21" i="1"/>
  <c r="L20" i="1"/>
  <c r="G20" i="1"/>
  <c r="L19" i="1"/>
  <c r="G19" i="1"/>
  <c r="L18" i="1"/>
  <c r="G18" i="1"/>
  <c r="L17" i="1"/>
  <c r="G17" i="1"/>
  <c r="L16" i="1"/>
  <c r="G16" i="1"/>
  <c r="L15" i="1"/>
  <c r="G15" i="1"/>
  <c r="L14" i="1"/>
  <c r="G14" i="1"/>
  <c r="L13" i="1"/>
  <c r="G13" i="1"/>
  <c r="L12" i="1"/>
  <c r="G12" i="1"/>
  <c r="L11" i="1"/>
  <c r="G11" i="1"/>
  <c r="L10" i="1"/>
  <c r="G10" i="1"/>
  <c r="L9" i="1"/>
  <c r="G9" i="1"/>
  <c r="M9" i="1" s="1"/>
  <c r="L8" i="1"/>
  <c r="L7" i="1"/>
  <c r="G7" i="1"/>
  <c r="L6" i="1"/>
  <c r="G6" i="1"/>
  <c r="M25" i="1" l="1"/>
  <c r="M28" i="1"/>
  <c r="M17" i="1"/>
  <c r="M12" i="1"/>
  <c r="G26" i="1"/>
  <c r="G30" i="1" s="1"/>
  <c r="C30" i="1"/>
  <c r="D30" i="1"/>
  <c r="E30" i="1"/>
  <c r="F30" i="1"/>
  <c r="L30" i="1"/>
  <c r="M24" i="1"/>
  <c r="M13" i="1"/>
  <c r="M14" i="1"/>
  <c r="M15" i="1"/>
  <c r="M16" i="1"/>
  <c r="M27" i="1"/>
  <c r="M20" i="1"/>
  <c r="M6" i="1"/>
  <c r="M8" i="1"/>
  <c r="M29" i="1"/>
  <c r="M19" i="1"/>
  <c r="M22" i="1"/>
  <c r="M18" i="1"/>
  <c r="M11" i="1"/>
  <c r="M7" i="1"/>
  <c r="M23" i="1"/>
  <c r="M10" i="1"/>
  <c r="M26" i="1" l="1"/>
  <c r="M30" i="1" s="1"/>
</calcChain>
</file>

<file path=xl/sharedStrings.xml><?xml version="1.0" encoding="utf-8"?>
<sst xmlns="http://schemas.openxmlformats.org/spreadsheetml/2006/main" count="51" uniqueCount="43">
  <si>
    <t>PLANTA DE LA ADMINISTRACIÓN PÚBLICA PROVINCIAL NO FINANCIERA POR CARÁCTER INSTITUCIONAL - 24 JURISDICCIONES</t>
  </si>
  <si>
    <t>Jurisdicción</t>
  </si>
  <si>
    <t>Planta Permanente y Transitoria</t>
  </si>
  <si>
    <t>Contratos, Becas y Programas</t>
  </si>
  <si>
    <t>Total</t>
  </si>
  <si>
    <t>Administración central</t>
  </si>
  <si>
    <t>Organismos descentralizados</t>
  </si>
  <si>
    <t>Fondos fiduciarios y cuentas especiales</t>
  </si>
  <si>
    <t>Instituciones de la seguridad social</t>
  </si>
  <si>
    <t>Subtotal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</si>
  <si>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</si>
  <si>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</si>
  <si>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</si>
  <si>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</si>
  <si>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</si>
  <si>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</si>
  <si>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</si>
  <si>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</si>
  <si>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</si>
  <si>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</si>
  <si>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</si>
  <si>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</si>
  <si>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</si>
  <si>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</si>
  <si>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</si>
  <si>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</si>
  <si>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</si>
  <si>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</si>
  <si>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</si>
  <si>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</si>
  <si>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</si>
  <si>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</si>
  <si>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</si>
  <si>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</si>
  <si>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</si>
  <si>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(*): Sólo cargos presupuestados para el ejercicio según ley de presupuesto anual. La Pampa no incluye cargos del ISS.</t>
  </si>
  <si>
    <t>(**)</t>
  </si>
  <si>
    <r>
      <t>Fuente</t>
    </r>
    <r>
      <rPr>
        <sz val="10"/>
        <color theme="1"/>
        <rFont val="Roboto"/>
      </rPr>
      <t>: Elaborado en base a información provista por las jurisdicciones</t>
    </r>
  </si>
  <si>
    <t>(1): Cargos Ocupados con y sin remuneración, informado por las jurisdicciones sin discriminar.</t>
  </si>
  <si>
    <t>(**): Sólo cargos totales. Detalle no informado por la jurisdicción.</t>
  </si>
  <si>
    <t>A DICIEMBRE DE 2010</t>
  </si>
  <si>
    <t>Subsecretaría de Coordinación Fiscal Provincial</t>
  </si>
  <si>
    <r>
      <t>CARGOS OCUPADOS</t>
    </r>
    <r>
      <rPr>
        <vertAlign val="superscript"/>
        <sz val="14"/>
        <color theme="1"/>
        <rFont val="Roboto"/>
      </rPr>
      <t>(1)</t>
    </r>
    <r>
      <rPr>
        <sz val="14"/>
        <color theme="1"/>
        <rFont val="Roboto"/>
      </rPr>
      <t xml:space="preserve"> SEGÚN MODALIDAD POR JURISDICCIÓN  - 24 JURISDICCIONES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</si>
</sst>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Control: &quot;_#\.##0.00_-;&quot;Control: &quot;\-#,##0.00_-;&quot;Control: -&quot;??_-;_-@_-"/>
    <numFmt numFmtId="165" formatCode="_-* #,##0_-;\-* #,##0_-;_-* &quot;-&quot;??_-;_-@_-"/>
    <numFmt numFmtId="166" formatCode="#,##0;\(#,##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2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sz val="11"/>
      <name val="Calibri"/>
      <family val="2"/>
    </font>
    <font>
      <sz val="10"/>
      <name val="Roboto"/>
    </font>
    <font>
      <sz val="14"/>
      <color theme="1"/>
      <name val="Roboto"/>
    </font>
    <font>
      <vertAlign val="superscript"/>
      <sz val="14"/>
      <color theme="1"/>
      <name val="Roboto"/>
    </font>
    <font>
      <sz val="11"/>
      <color theme="0"/>
      <name val="Roboto"/>
    </font>
    <font>
      <b/>
      <sz val="10"/>
      <color theme="0"/>
      <name val="Roboto"/>
    </font>
    <font>
      <sz val="10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rgb="FF242C4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7" fillId="0" borderId="3" xfId="2" applyFont="1" applyBorder="1" applyAlignment="1">
      <alignment horizontal="left"/>
    </xf>
    <xf numFmtId="165" fontId="5" fillId="0" borderId="3" xfId="0" applyNumberFormat="1" applyFont="1" applyBorder="1" applyAlignment="1">
      <alignment vertical="center"/>
    </xf>
    <xf numFmtId="0" fontId="7" fillId="0" borderId="4" xfId="2" applyFont="1" applyBorder="1" applyAlignment="1">
      <alignment horizontal="left"/>
    </xf>
    <xf numFmtId="165" fontId="5" fillId="0" borderId="4" xfId="0" applyNumberFormat="1" applyFont="1" applyBorder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7" fillId="0" borderId="5" xfId="2" applyFont="1" applyBorder="1" applyAlignment="1">
      <alignment horizontal="left"/>
    </xf>
    <xf numFmtId="165" fontId="5" fillId="0" borderId="5" xfId="0" applyNumberFormat="1" applyFont="1" applyBorder="1" applyAlignment="1">
      <alignment vertical="center"/>
    </xf>
    <xf numFmtId="165" fontId="5" fillId="0" borderId="2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5" fontId="2" fillId="0" borderId="3" xfId="1" applyNumberFormat="1" applyFont="1" applyFill="1" applyBorder="1" applyAlignment="1">
      <alignment vertical="center"/>
    </xf>
    <xf numFmtId="165" fontId="2" fillId="0" borderId="4" xfId="1" applyNumberFormat="1" applyFont="1" applyFill="1" applyBorder="1" applyAlignment="1">
      <alignment vertical="center"/>
    </xf>
    <xf numFmtId="165" fontId="2" fillId="0" borderId="5" xfId="1" applyNumberFormat="1" applyFont="1" applyFill="1" applyBorder="1" applyAlignment="1">
      <alignment vertical="center"/>
    </xf>
    <xf numFmtId="0" fontId="11" fillId="2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2" fontId="11" fillId="2" borderId="6" xfId="0" applyNumberFormat="1" applyFont="1" applyFill="1" applyBorder="1" applyAlignment="1">
      <alignment horizontal="left" vertical="center" wrapText="1"/>
    </xf>
    <xf numFmtId="0" fontId="10" fillId="2" borderId="0" xfId="2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11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699702B6-A839-489C-B3AF-DCBCF3A0D3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19EE33-3679-40A7-95B6-CD1179839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693F84-6B30-4E9F-9FBB-2B6114AD3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AD40-279C-4732-A47A-FFA69A08C376}">
  <dimension ref="A1:P35"/>
  <sheetViews>
    <sheetView tabSelected="1" workbookViewId="0">
      <selection activeCell="B2" sqref="B2:M2"/>
    </sheetView>
  </sheetViews>
  <sheetFormatPr baseColWidth="10" defaultRowHeight="12.75" x14ac:dyDescent="0.25"/>
  <cols>
    <col min="1" max="1" width="4" style="1" bestFit="1" customWidth="1"/>
    <col min="2" max="2" width="18" style="2" bestFit="1" customWidth="1"/>
    <col min="3" max="3" width="14.7109375" style="2" bestFit="1" customWidth="1"/>
    <col min="4" max="4" width="14.85546875" style="2" customWidth="1"/>
    <col min="5" max="5" width="11" style="2" bestFit="1" customWidth="1"/>
    <col min="6" max="6" width="11.5703125" style="2" customWidth="1"/>
    <col min="7" max="7" width="10.5703125" style="14" bestFit="1" customWidth="1"/>
    <col min="8" max="8" width="13.28515625" style="2" bestFit="1" customWidth="1"/>
    <col min="9" max="9" width="14.85546875" style="2" customWidth="1"/>
    <col min="10" max="10" width="11" style="2" bestFit="1" customWidth="1"/>
    <col min="11" max="11" width="11.5703125" style="2" bestFit="1" customWidth="1"/>
    <col min="12" max="12" width="9" style="14" bestFit="1" customWidth="1"/>
    <col min="13" max="13" width="10.5703125" style="2" bestFit="1" customWidth="1"/>
    <col min="14" max="14" width="11.42578125" style="2"/>
    <col min="15" max="15" width="13.140625" style="2" bestFit="1" customWidth="1"/>
    <col min="16" max="16384" width="11.42578125" style="2"/>
  </cols>
  <sheetData>
    <row r="1" spans="1:16" ht="24" customHeight="1" x14ac:dyDescent="0.25"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O1" s="3"/>
    </row>
    <row r="2" spans="1:16" ht="23.25" customHeight="1" x14ac:dyDescent="0.25">
      <c r="B2" s="26" t="s">
        <v>42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6" ht="23.25" customHeight="1" x14ac:dyDescent="0.25">
      <c r="B3" s="27" t="s">
        <v>40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6" ht="23.25" customHeight="1" x14ac:dyDescent="0.25">
      <c r="B4" s="28" t="s">
        <v>1</v>
      </c>
      <c r="C4" s="29" t="s">
        <v>2</v>
      </c>
      <c r="D4" s="29"/>
      <c r="E4" s="29"/>
      <c r="F4" s="29"/>
      <c r="G4" s="29"/>
      <c r="H4" s="29" t="s">
        <v>3</v>
      </c>
      <c r="I4" s="29"/>
      <c r="J4" s="29"/>
      <c r="K4" s="29"/>
      <c r="L4" s="29"/>
      <c r="M4" s="28" t="s">
        <v>4</v>
      </c>
    </row>
    <row r="5" spans="1:16" s="5" customFormat="1" ht="51" x14ac:dyDescent="0.25">
      <c r="A5" s="4"/>
      <c r="B5" s="28"/>
      <c r="C5" s="22" t="s">
        <v>5</v>
      </c>
      <c r="D5" s="22" t="s">
        <v>6</v>
      </c>
      <c r="E5" s="22" t="s">
        <v>7</v>
      </c>
      <c r="F5" s="22" t="s">
        <v>8</v>
      </c>
      <c r="G5" s="21" t="s">
        <v>9</v>
      </c>
      <c r="H5" s="22" t="s">
        <v>5</v>
      </c>
      <c r="I5" s="22" t="s">
        <v>6</v>
      </c>
      <c r="J5" s="22" t="s">
        <v>7</v>
      </c>
      <c r="K5" s="22" t="s">
        <v>8</v>
      </c>
      <c r="L5" s="21" t="s">
        <v>9</v>
      </c>
      <c r="M5" s="28"/>
    </row>
    <row r="6" spans="1:16" x14ac:dyDescent="0.2">
      <c r="B6" s="6" t="s">
        <v>10</v>
      </c>
      <c r="C6" s="18">
        <v>156678</v>
      </c>
      <c r="D6" s="18">
        <v>462137</v>
      </c>
      <c r="E6" s="18">
        <v>0</v>
      </c>
      <c r="F6" s="18">
        <v>858</v>
      </c>
      <c r="G6" s="7">
        <f>+SUM(C6:F6)</f>
        <v>619673</v>
      </c>
      <c r="H6" s="18">
        <v>138</v>
      </c>
      <c r="I6" s="18">
        <v>55</v>
      </c>
      <c r="J6" s="18">
        <v>0</v>
      </c>
      <c r="K6" s="18">
        <v>0</v>
      </c>
      <c r="L6" s="7">
        <f>+SUM(H6:K6)</f>
        <v>193</v>
      </c>
      <c r="M6" s="7">
        <f t="shared" ref="M6:M29" si="0">+L6+G6</f>
        <v>619866</v>
      </c>
      <c r="O6" s="16"/>
      <c r="P6" s="16"/>
    </row>
    <row r="7" spans="1:16" x14ac:dyDescent="0.2">
      <c r="A7" s="1" t="s">
        <v>36</v>
      </c>
      <c r="B7" s="8" t="s">
        <v>11</v>
      </c>
      <c r="C7" s="19">
        <v>145548</v>
      </c>
      <c r="D7" s="19">
        <v>0</v>
      </c>
      <c r="E7" s="19">
        <v>0</v>
      </c>
      <c r="F7" s="19">
        <v>0</v>
      </c>
      <c r="G7" s="9">
        <f t="shared" ref="G7:G29" si="1">+SUM(C7:F7)</f>
        <v>145548</v>
      </c>
      <c r="H7" s="19">
        <v>0</v>
      </c>
      <c r="I7" s="19">
        <v>0</v>
      </c>
      <c r="J7" s="19">
        <v>0</v>
      </c>
      <c r="K7" s="19">
        <v>0</v>
      </c>
      <c r="L7" s="9">
        <f t="shared" ref="L7:L29" si="2">+SUM(H7:K7)</f>
        <v>0</v>
      </c>
      <c r="M7" s="9">
        <f t="shared" si="0"/>
        <v>145548</v>
      </c>
      <c r="O7" s="16"/>
      <c r="P7" s="16"/>
    </row>
    <row r="8" spans="1:16" x14ac:dyDescent="0.2">
      <c r="B8" s="8" t="s">
        <v>12</v>
      </c>
      <c r="C8" s="19">
        <v>33535</v>
      </c>
      <c r="D8" s="19">
        <v>2877</v>
      </c>
      <c r="E8" s="19">
        <v>0</v>
      </c>
      <c r="F8" s="19">
        <v>0</v>
      </c>
      <c r="G8" s="9">
        <f t="shared" si="1"/>
        <v>36412</v>
      </c>
      <c r="H8" s="19">
        <v>1019</v>
      </c>
      <c r="I8" s="19">
        <v>301</v>
      </c>
      <c r="J8" s="19">
        <v>0</v>
      </c>
      <c r="K8" s="19">
        <v>0</v>
      </c>
      <c r="L8" s="9">
        <f t="shared" si="2"/>
        <v>1320</v>
      </c>
      <c r="M8" s="9">
        <f t="shared" si="0"/>
        <v>37732</v>
      </c>
      <c r="O8" s="16"/>
      <c r="P8" s="16"/>
    </row>
    <row r="9" spans="1:16" x14ac:dyDescent="0.2">
      <c r="B9" s="8" t="s">
        <v>13</v>
      </c>
      <c r="C9" s="19">
        <v>55868</v>
      </c>
      <c r="D9" s="19">
        <v>1645</v>
      </c>
      <c r="E9" s="19">
        <v>0</v>
      </c>
      <c r="F9" s="19">
        <v>686</v>
      </c>
      <c r="G9" s="9">
        <f t="shared" si="1"/>
        <v>58199</v>
      </c>
      <c r="H9" s="19">
        <v>0</v>
      </c>
      <c r="I9" s="19">
        <v>0</v>
      </c>
      <c r="J9" s="19">
        <v>0</v>
      </c>
      <c r="K9" s="19">
        <v>0</v>
      </c>
      <c r="L9" s="9">
        <f t="shared" si="2"/>
        <v>0</v>
      </c>
      <c r="M9" s="9">
        <f t="shared" si="0"/>
        <v>58199</v>
      </c>
      <c r="O9" s="16"/>
      <c r="P9" s="16"/>
    </row>
    <row r="10" spans="1:16" x14ac:dyDescent="0.2">
      <c r="B10" s="8" t="s">
        <v>14</v>
      </c>
      <c r="C10" s="19">
        <v>35477</v>
      </c>
      <c r="D10" s="19">
        <v>1183</v>
      </c>
      <c r="E10" s="19">
        <v>0</v>
      </c>
      <c r="F10" s="19">
        <v>0</v>
      </c>
      <c r="G10" s="9">
        <f t="shared" si="1"/>
        <v>36660</v>
      </c>
      <c r="H10" s="19">
        <v>0</v>
      </c>
      <c r="I10" s="19">
        <v>0</v>
      </c>
      <c r="J10" s="19">
        <v>0</v>
      </c>
      <c r="K10" s="19">
        <v>0</v>
      </c>
      <c r="L10" s="9">
        <f t="shared" si="2"/>
        <v>0</v>
      </c>
      <c r="M10" s="9">
        <f t="shared" si="0"/>
        <v>36660</v>
      </c>
      <c r="O10" s="16"/>
      <c r="P10" s="16"/>
    </row>
    <row r="11" spans="1:16" x14ac:dyDescent="0.2">
      <c r="B11" s="8" t="s">
        <v>15</v>
      </c>
      <c r="C11" s="19">
        <v>112199</v>
      </c>
      <c r="D11" s="19">
        <v>725</v>
      </c>
      <c r="E11" s="19">
        <v>0</v>
      </c>
      <c r="F11" s="19">
        <v>369</v>
      </c>
      <c r="G11" s="9">
        <f t="shared" si="1"/>
        <v>113293</v>
      </c>
      <c r="H11" s="19">
        <v>0</v>
      </c>
      <c r="I11" s="19">
        <v>0</v>
      </c>
      <c r="J11" s="19">
        <v>0</v>
      </c>
      <c r="K11" s="19">
        <v>0</v>
      </c>
      <c r="L11" s="9">
        <f t="shared" si="2"/>
        <v>0</v>
      </c>
      <c r="M11" s="9">
        <f t="shared" si="0"/>
        <v>113293</v>
      </c>
      <c r="O11" s="16"/>
      <c r="P11" s="16"/>
    </row>
    <row r="12" spans="1:16" x14ac:dyDescent="0.2">
      <c r="B12" s="8" t="s">
        <v>16</v>
      </c>
      <c r="C12" s="19">
        <v>49733</v>
      </c>
      <c r="D12" s="19">
        <v>1295</v>
      </c>
      <c r="E12" s="19">
        <v>0</v>
      </c>
      <c r="F12" s="19">
        <v>127</v>
      </c>
      <c r="G12" s="9">
        <f t="shared" si="1"/>
        <v>51155</v>
      </c>
      <c r="H12" s="19">
        <v>3542</v>
      </c>
      <c r="I12" s="19">
        <v>48</v>
      </c>
      <c r="J12" s="19">
        <v>0</v>
      </c>
      <c r="K12" s="19">
        <v>0</v>
      </c>
      <c r="L12" s="9">
        <f t="shared" si="2"/>
        <v>3590</v>
      </c>
      <c r="M12" s="9">
        <f t="shared" si="0"/>
        <v>54745</v>
      </c>
      <c r="O12" s="16"/>
      <c r="P12" s="16"/>
    </row>
    <row r="13" spans="1:16" x14ac:dyDescent="0.2">
      <c r="B13" s="8" t="s">
        <v>17</v>
      </c>
      <c r="C13" s="19">
        <v>28709</v>
      </c>
      <c r="D13" s="19">
        <v>40224</v>
      </c>
      <c r="E13" s="19">
        <v>0</v>
      </c>
      <c r="F13" s="19">
        <v>193</v>
      </c>
      <c r="G13" s="9">
        <f t="shared" si="1"/>
        <v>69126</v>
      </c>
      <c r="H13" s="19">
        <v>4511</v>
      </c>
      <c r="I13" s="19">
        <v>0</v>
      </c>
      <c r="J13" s="19">
        <v>0</v>
      </c>
      <c r="K13" s="19">
        <v>0</v>
      </c>
      <c r="L13" s="9">
        <f t="shared" si="2"/>
        <v>4511</v>
      </c>
      <c r="M13" s="9">
        <f t="shared" si="0"/>
        <v>73637</v>
      </c>
      <c r="O13" s="16"/>
      <c r="P13" s="16"/>
    </row>
    <row r="14" spans="1:16" x14ac:dyDescent="0.2">
      <c r="B14" s="8" t="s">
        <v>18</v>
      </c>
      <c r="C14" s="19">
        <v>36237</v>
      </c>
      <c r="D14" s="19">
        <v>0</v>
      </c>
      <c r="E14" s="19">
        <v>0</v>
      </c>
      <c r="F14" s="19">
        <v>204</v>
      </c>
      <c r="G14" s="9">
        <f t="shared" si="1"/>
        <v>36441</v>
      </c>
      <c r="H14" s="19">
        <v>0</v>
      </c>
      <c r="I14" s="19">
        <v>0</v>
      </c>
      <c r="J14" s="19">
        <v>0</v>
      </c>
      <c r="K14" s="19">
        <v>0</v>
      </c>
      <c r="L14" s="9">
        <f t="shared" si="2"/>
        <v>0</v>
      </c>
      <c r="M14" s="9">
        <f t="shared" si="0"/>
        <v>36441</v>
      </c>
      <c r="O14" s="16"/>
      <c r="P14" s="16"/>
    </row>
    <row r="15" spans="1:16" x14ac:dyDescent="0.2">
      <c r="B15" s="8" t="s">
        <v>19</v>
      </c>
      <c r="C15" s="19">
        <v>50141</v>
      </c>
      <c r="D15" s="19">
        <v>395</v>
      </c>
      <c r="E15" s="19">
        <v>0</v>
      </c>
      <c r="F15" s="19">
        <v>0</v>
      </c>
      <c r="G15" s="9">
        <f t="shared" si="1"/>
        <v>50536</v>
      </c>
      <c r="H15" s="19">
        <v>0</v>
      </c>
      <c r="I15" s="19">
        <v>0</v>
      </c>
      <c r="J15" s="19">
        <v>0</v>
      </c>
      <c r="K15" s="19">
        <v>0</v>
      </c>
      <c r="L15" s="9">
        <f t="shared" si="2"/>
        <v>0</v>
      </c>
      <c r="M15" s="9">
        <f t="shared" si="0"/>
        <v>50536</v>
      </c>
      <c r="O15" s="16"/>
      <c r="P15" s="16"/>
    </row>
    <row r="16" spans="1:16" x14ac:dyDescent="0.2">
      <c r="A16" s="10" t="s">
        <v>20</v>
      </c>
      <c r="B16" s="8" t="s">
        <v>21</v>
      </c>
      <c r="C16" s="19">
        <v>21408</v>
      </c>
      <c r="D16" s="19">
        <v>271</v>
      </c>
      <c r="E16" s="19">
        <v>0</v>
      </c>
      <c r="F16" s="19">
        <v>0</v>
      </c>
      <c r="G16" s="9">
        <f t="shared" si="1"/>
        <v>21679</v>
      </c>
      <c r="H16" s="19">
        <v>12</v>
      </c>
      <c r="I16" s="19">
        <v>579</v>
      </c>
      <c r="J16" s="19">
        <v>0</v>
      </c>
      <c r="K16" s="19">
        <v>0</v>
      </c>
      <c r="L16" s="9">
        <f t="shared" si="2"/>
        <v>591</v>
      </c>
      <c r="M16" s="9">
        <f t="shared" si="0"/>
        <v>22270</v>
      </c>
      <c r="O16" s="16"/>
      <c r="P16" s="16"/>
    </row>
    <row r="17" spans="1:16" x14ac:dyDescent="0.2">
      <c r="B17" s="8" t="s">
        <v>22</v>
      </c>
      <c r="C17" s="19">
        <v>29081</v>
      </c>
      <c r="D17" s="19">
        <v>0</v>
      </c>
      <c r="E17" s="19">
        <v>0</v>
      </c>
      <c r="F17" s="19">
        <v>0</v>
      </c>
      <c r="G17" s="9">
        <f t="shared" si="1"/>
        <v>29081</v>
      </c>
      <c r="H17" s="19">
        <v>0</v>
      </c>
      <c r="I17" s="19">
        <v>0</v>
      </c>
      <c r="J17" s="19">
        <v>0</v>
      </c>
      <c r="K17" s="19">
        <v>0</v>
      </c>
      <c r="L17" s="9">
        <f t="shared" si="2"/>
        <v>0</v>
      </c>
      <c r="M17" s="9">
        <f t="shared" si="0"/>
        <v>29081</v>
      </c>
      <c r="O17" s="16"/>
      <c r="P17" s="16"/>
    </row>
    <row r="18" spans="1:16" x14ac:dyDescent="0.2">
      <c r="B18" s="8" t="s">
        <v>23</v>
      </c>
      <c r="C18" s="19">
        <v>23809</v>
      </c>
      <c r="D18" s="19">
        <v>55835</v>
      </c>
      <c r="E18" s="19">
        <v>0</v>
      </c>
      <c r="F18" s="19">
        <v>0</v>
      </c>
      <c r="G18" s="9">
        <f t="shared" si="1"/>
        <v>79644</v>
      </c>
      <c r="H18" s="19">
        <v>3015</v>
      </c>
      <c r="I18" s="19">
        <v>1712</v>
      </c>
      <c r="J18" s="19">
        <v>413</v>
      </c>
      <c r="K18" s="19">
        <v>0</v>
      </c>
      <c r="L18" s="9">
        <f t="shared" si="2"/>
        <v>5140</v>
      </c>
      <c r="M18" s="9">
        <f t="shared" si="0"/>
        <v>84784</v>
      </c>
      <c r="O18" s="16"/>
      <c r="P18" s="16"/>
    </row>
    <row r="19" spans="1:16" x14ac:dyDescent="0.2">
      <c r="A19" s="1" t="s">
        <v>36</v>
      </c>
      <c r="B19" s="8" t="s">
        <v>24</v>
      </c>
      <c r="C19" s="19">
        <v>50494</v>
      </c>
      <c r="D19" s="19">
        <v>0</v>
      </c>
      <c r="E19" s="19">
        <v>0</v>
      </c>
      <c r="F19" s="19">
        <v>0</v>
      </c>
      <c r="G19" s="9">
        <f t="shared" si="1"/>
        <v>50494</v>
      </c>
      <c r="H19" s="19">
        <v>0</v>
      </c>
      <c r="I19" s="19">
        <v>0</v>
      </c>
      <c r="J19" s="19">
        <v>0</v>
      </c>
      <c r="K19" s="19">
        <v>0</v>
      </c>
      <c r="L19" s="9">
        <f t="shared" si="2"/>
        <v>0</v>
      </c>
      <c r="M19" s="9">
        <f t="shared" si="0"/>
        <v>50494</v>
      </c>
      <c r="O19" s="16"/>
      <c r="P19" s="16"/>
    </row>
    <row r="20" spans="1:16" x14ac:dyDescent="0.2">
      <c r="B20" s="8" t="s">
        <v>25</v>
      </c>
      <c r="C20" s="19">
        <v>26075</v>
      </c>
      <c r="D20" s="19">
        <v>27731</v>
      </c>
      <c r="E20" s="19">
        <v>0</v>
      </c>
      <c r="F20" s="19">
        <v>0</v>
      </c>
      <c r="G20" s="9">
        <f t="shared" si="1"/>
        <v>53806</v>
      </c>
      <c r="H20" s="19">
        <v>0</v>
      </c>
      <c r="I20" s="19">
        <v>0</v>
      </c>
      <c r="J20" s="19">
        <v>0</v>
      </c>
      <c r="K20" s="19">
        <v>0</v>
      </c>
      <c r="L20" s="9">
        <f t="shared" si="2"/>
        <v>0</v>
      </c>
      <c r="M20" s="9">
        <f t="shared" si="0"/>
        <v>53806</v>
      </c>
      <c r="O20" s="16"/>
      <c r="P20" s="16"/>
    </row>
    <row r="21" spans="1:16" x14ac:dyDescent="0.2">
      <c r="B21" s="8" t="s">
        <v>26</v>
      </c>
      <c r="C21" s="19">
        <v>22865</v>
      </c>
      <c r="D21" s="19">
        <v>20822</v>
      </c>
      <c r="E21" s="19">
        <v>0</v>
      </c>
      <c r="F21" s="19">
        <v>0</v>
      </c>
      <c r="G21" s="9">
        <f t="shared" si="1"/>
        <v>43687</v>
      </c>
      <c r="H21" s="19">
        <v>368</v>
      </c>
      <c r="I21" s="19">
        <v>8</v>
      </c>
      <c r="J21" s="19">
        <v>0</v>
      </c>
      <c r="K21" s="19">
        <v>0</v>
      </c>
      <c r="L21" s="9">
        <f t="shared" si="2"/>
        <v>376</v>
      </c>
      <c r="M21" s="9">
        <f t="shared" si="0"/>
        <v>44063</v>
      </c>
      <c r="O21" s="16"/>
      <c r="P21" s="16"/>
    </row>
    <row r="22" spans="1:16" x14ac:dyDescent="0.2">
      <c r="B22" s="8" t="s">
        <v>27</v>
      </c>
      <c r="C22" s="19">
        <v>56267</v>
      </c>
      <c r="D22" s="19">
        <v>904</v>
      </c>
      <c r="E22" s="19">
        <v>0</v>
      </c>
      <c r="F22" s="19">
        <v>0</v>
      </c>
      <c r="G22" s="9">
        <f t="shared" si="1"/>
        <v>57171</v>
      </c>
      <c r="H22" s="19">
        <v>148</v>
      </c>
      <c r="I22" s="19">
        <v>0</v>
      </c>
      <c r="J22" s="19">
        <v>0</v>
      </c>
      <c r="K22" s="19">
        <v>0</v>
      </c>
      <c r="L22" s="9">
        <f t="shared" si="2"/>
        <v>148</v>
      </c>
      <c r="M22" s="9">
        <f t="shared" si="0"/>
        <v>57319</v>
      </c>
      <c r="O22" s="16"/>
      <c r="P22" s="16"/>
    </row>
    <row r="23" spans="1:16" x14ac:dyDescent="0.2">
      <c r="B23" s="8" t="s">
        <v>28</v>
      </c>
      <c r="C23" s="19">
        <v>29588</v>
      </c>
      <c r="D23" s="19">
        <v>1655</v>
      </c>
      <c r="E23" s="19">
        <v>0</v>
      </c>
      <c r="F23" s="19">
        <v>0</v>
      </c>
      <c r="G23" s="9">
        <f t="shared" si="1"/>
        <v>31243</v>
      </c>
      <c r="H23" s="19">
        <v>3907</v>
      </c>
      <c r="I23" s="19">
        <v>1247</v>
      </c>
      <c r="J23" s="19">
        <v>0</v>
      </c>
      <c r="K23" s="19">
        <v>0</v>
      </c>
      <c r="L23" s="9">
        <f t="shared" si="2"/>
        <v>5154</v>
      </c>
      <c r="M23" s="9">
        <f t="shared" si="0"/>
        <v>36397</v>
      </c>
      <c r="O23" s="16"/>
      <c r="P23" s="16"/>
    </row>
    <row r="24" spans="1:16" x14ac:dyDescent="0.2">
      <c r="A24" s="10" t="s">
        <v>20</v>
      </c>
      <c r="B24" s="8" t="s">
        <v>29</v>
      </c>
      <c r="C24" s="19">
        <v>20304</v>
      </c>
      <c r="D24" s="19">
        <v>0</v>
      </c>
      <c r="E24" s="19">
        <v>0</v>
      </c>
      <c r="F24" s="19">
        <v>0</v>
      </c>
      <c r="G24" s="9">
        <f t="shared" si="1"/>
        <v>20304</v>
      </c>
      <c r="H24" s="19">
        <v>0</v>
      </c>
      <c r="I24" s="19">
        <v>0</v>
      </c>
      <c r="J24" s="19">
        <v>0</v>
      </c>
      <c r="K24" s="19">
        <v>0</v>
      </c>
      <c r="L24" s="9">
        <f t="shared" si="2"/>
        <v>0</v>
      </c>
      <c r="M24" s="9">
        <f t="shared" si="0"/>
        <v>20304</v>
      </c>
      <c r="O24" s="16"/>
      <c r="P24" s="16"/>
    </row>
    <row r="25" spans="1:16" x14ac:dyDescent="0.2">
      <c r="B25" s="8" t="s">
        <v>30</v>
      </c>
      <c r="C25" s="19">
        <v>22705</v>
      </c>
      <c r="D25" s="19">
        <v>2681</v>
      </c>
      <c r="E25" s="19">
        <v>9</v>
      </c>
      <c r="F25" s="19">
        <v>105</v>
      </c>
      <c r="G25" s="9">
        <f t="shared" si="1"/>
        <v>25500</v>
      </c>
      <c r="H25" s="19">
        <v>0</v>
      </c>
      <c r="I25" s="19">
        <v>0</v>
      </c>
      <c r="J25" s="19">
        <v>0</v>
      </c>
      <c r="K25" s="19">
        <v>0</v>
      </c>
      <c r="L25" s="9">
        <f t="shared" si="2"/>
        <v>0</v>
      </c>
      <c r="M25" s="9">
        <f t="shared" si="0"/>
        <v>25500</v>
      </c>
      <c r="O25" s="16"/>
      <c r="P25" s="16"/>
    </row>
    <row r="26" spans="1:16" x14ac:dyDescent="0.2">
      <c r="B26" s="8" t="s">
        <v>31</v>
      </c>
      <c r="C26" s="19">
        <v>108119</v>
      </c>
      <c r="D26" s="19">
        <v>3263</v>
      </c>
      <c r="E26" s="19">
        <v>0</v>
      </c>
      <c r="F26" s="19">
        <v>246</v>
      </c>
      <c r="G26" s="9">
        <f t="shared" si="1"/>
        <v>111628</v>
      </c>
      <c r="H26" s="19">
        <v>0</v>
      </c>
      <c r="I26" s="19">
        <v>0</v>
      </c>
      <c r="J26" s="19">
        <v>0</v>
      </c>
      <c r="K26" s="19">
        <v>0</v>
      </c>
      <c r="L26" s="9">
        <f t="shared" si="2"/>
        <v>0</v>
      </c>
      <c r="M26" s="9">
        <f t="shared" si="0"/>
        <v>111628</v>
      </c>
      <c r="O26" s="16"/>
      <c r="P26" s="16"/>
    </row>
    <row r="27" spans="1:16" x14ac:dyDescent="0.2">
      <c r="B27" s="8" t="s">
        <v>32</v>
      </c>
      <c r="C27" s="19">
        <v>17510</v>
      </c>
      <c r="D27" s="19">
        <v>28600</v>
      </c>
      <c r="E27" s="19">
        <v>0</v>
      </c>
      <c r="F27" s="19">
        <v>0</v>
      </c>
      <c r="G27" s="9">
        <f t="shared" si="1"/>
        <v>46110</v>
      </c>
      <c r="H27" s="19">
        <v>6728</v>
      </c>
      <c r="I27" s="19">
        <v>399</v>
      </c>
      <c r="J27" s="19">
        <v>0</v>
      </c>
      <c r="K27" s="19">
        <v>0</v>
      </c>
      <c r="L27" s="9">
        <f t="shared" si="2"/>
        <v>7127</v>
      </c>
      <c r="M27" s="9">
        <f t="shared" si="0"/>
        <v>53237</v>
      </c>
      <c r="O27" s="16"/>
      <c r="P27" s="16"/>
    </row>
    <row r="28" spans="1:16" x14ac:dyDescent="0.2">
      <c r="B28" s="8" t="s">
        <v>33</v>
      </c>
      <c r="C28" s="19">
        <v>15783</v>
      </c>
      <c r="D28" s="19">
        <v>402</v>
      </c>
      <c r="E28" s="19">
        <v>0</v>
      </c>
      <c r="F28" s="19">
        <v>62</v>
      </c>
      <c r="G28" s="9">
        <f t="shared" si="1"/>
        <v>16247</v>
      </c>
      <c r="H28" s="19">
        <v>0</v>
      </c>
      <c r="I28" s="19">
        <v>16</v>
      </c>
      <c r="J28" s="19">
        <v>0</v>
      </c>
      <c r="K28" s="19">
        <v>0</v>
      </c>
      <c r="L28" s="9">
        <f t="shared" si="2"/>
        <v>16</v>
      </c>
      <c r="M28" s="9">
        <f t="shared" si="0"/>
        <v>16263</v>
      </c>
      <c r="O28" s="16"/>
      <c r="P28" s="16"/>
    </row>
    <row r="29" spans="1:16" x14ac:dyDescent="0.2">
      <c r="B29" s="11" t="s">
        <v>34</v>
      </c>
      <c r="C29" s="20">
        <v>54780</v>
      </c>
      <c r="D29" s="20">
        <v>17119</v>
      </c>
      <c r="E29" s="20">
        <v>0</v>
      </c>
      <c r="F29" s="20">
        <v>0</v>
      </c>
      <c r="G29" s="12">
        <f t="shared" si="1"/>
        <v>71899</v>
      </c>
      <c r="H29" s="20">
        <v>0</v>
      </c>
      <c r="I29" s="20">
        <v>0</v>
      </c>
      <c r="J29" s="20">
        <v>0</v>
      </c>
      <c r="K29" s="20">
        <v>0</v>
      </c>
      <c r="L29" s="12">
        <f t="shared" si="2"/>
        <v>0</v>
      </c>
      <c r="M29" s="12">
        <f t="shared" si="0"/>
        <v>71899</v>
      </c>
      <c r="O29" s="16"/>
      <c r="P29" s="16"/>
    </row>
    <row r="30" spans="1:16" ht="18.75" customHeight="1" x14ac:dyDescent="0.25">
      <c r="B30" s="23" t="s">
        <v>4</v>
      </c>
      <c r="C30" s="13">
        <f>+SUM(C6:C29)</f>
        <v>1202913</v>
      </c>
      <c r="D30" s="13">
        <f t="shared" ref="D30:M30" si="3">+SUM(D6:D29)</f>
        <v>669764</v>
      </c>
      <c r="E30" s="13">
        <f t="shared" si="3"/>
        <v>9</v>
      </c>
      <c r="F30" s="13">
        <f t="shared" si="3"/>
        <v>2850</v>
      </c>
      <c r="G30" s="13">
        <f t="shared" si="3"/>
        <v>1875536</v>
      </c>
      <c r="H30" s="13">
        <f t="shared" si="3"/>
        <v>23388</v>
      </c>
      <c r="I30" s="13">
        <f t="shared" si="3"/>
        <v>4365</v>
      </c>
      <c r="J30" s="13">
        <f t="shared" si="3"/>
        <v>413</v>
      </c>
      <c r="K30" s="13">
        <f t="shared" si="3"/>
        <v>0</v>
      </c>
      <c r="L30" s="13">
        <f t="shared" si="3"/>
        <v>28166</v>
      </c>
      <c r="M30" s="13">
        <f t="shared" si="3"/>
        <v>1903702</v>
      </c>
      <c r="O30" s="17"/>
      <c r="P30" s="17"/>
    </row>
    <row r="31" spans="1:16" x14ac:dyDescent="0.25">
      <c r="B31" s="14" t="s">
        <v>37</v>
      </c>
    </row>
    <row r="32" spans="1:16" x14ac:dyDescent="0.25">
      <c r="B32" s="15" t="s">
        <v>38</v>
      </c>
    </row>
    <row r="33" spans="2:13" x14ac:dyDescent="0.25">
      <c r="B33" s="15" t="s">
        <v>35</v>
      </c>
    </row>
    <row r="34" spans="2:13" x14ac:dyDescent="0.25">
      <c r="B34" s="15" t="s">
        <v>39</v>
      </c>
    </row>
    <row r="35" spans="2:13" ht="15" x14ac:dyDescent="0.25">
      <c r="B35" s="24" t="s">
        <v>41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</sheetData>
  <mergeCells count="8">
    <mergeCell ref="B35:M35"/>
    <mergeCell ref="B1:M1"/>
    <mergeCell ref="B2:M2"/>
    <mergeCell ref="B3:M3"/>
    <mergeCell ref="B4:B5"/>
    <mergeCell ref="C4:G4"/>
    <mergeCell ref="H4:L4"/>
    <mergeCell ref="M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1210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2026-09-21T19:08:11Z</dcterms:created>
  <dcterms:modified xsi:type="dcterms:W3CDTF">2026-10-14T17:37:59Z</dcterms:modified>
</cp:coreProperties>
</file>