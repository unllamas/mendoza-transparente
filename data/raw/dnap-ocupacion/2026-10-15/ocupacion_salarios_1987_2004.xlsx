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1.xml" ContentType="application/vnd.ms-excel.controlproperties+xml"/>
  <Override PartName="/xl/drawings/drawing14.xml" ContentType="application/vnd.openxmlformats-officedocument.drawing+xml"/>
  <Override PartName="/xl/ctrlProps/ctrlProp2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3.xml" ContentType="application/vnd.ms-excel.controlproperties+xml"/>
  <Override PartName="/xl/drawings/drawing17.xml" ContentType="application/vnd.openxmlformats-officedocument.drawing+xml"/>
  <Override PartName="/xl/ctrlProps/ctrlProp4.xml" ContentType="application/vnd.ms-excel.controlproperties+xml"/>
  <Override PartName="/xl/drawings/drawing18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813CDEF7-D98D-410A-B30A-5210CDA4A45D}" xr6:coauthVersionLast="47" xr6:coauthVersionMax="47" xr10:uidLastSave="{00000000-0000-0000-0000-000000000000}"/>
  <bookViews>
    <workbookView xWindow="-120" yWindow="-120" windowWidth="29040" windowHeight="15840" tabRatio="895" activeTab="17" xr2:uid="{00000000-000D-0000-FFFF-FFFF00000000}"/>
  </bookViews>
  <sheets>
    <sheet name="1987" sheetId="31" r:id="rId1"/>
    <sheet name="1988" sheetId="32" r:id="rId2"/>
    <sheet name="1989" sheetId="33" r:id="rId3"/>
    <sheet name="1990" sheetId="34" r:id="rId4"/>
    <sheet name="1991" sheetId="5" r:id="rId5"/>
    <sheet name="1992" sheetId="6" r:id="rId6"/>
    <sheet name="1993" sheetId="7" r:id="rId7"/>
    <sheet name="1994" sheetId="8" r:id="rId8"/>
    <sheet name="1995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2" sheetId="16" r:id="rId16"/>
    <sheet name="2003" sheetId="17" r:id="rId17"/>
    <sheet name="2004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8" l="1"/>
  <c r="F31" i="15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C31" i="33"/>
  <c r="E31" i="33" s="1"/>
  <c r="F31" i="5"/>
  <c r="D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28" i="16"/>
  <c r="E24" i="16"/>
  <c r="E22" i="16"/>
  <c r="E29" i="17"/>
  <c r="E28" i="17"/>
  <c r="E25" i="17"/>
  <c r="E24" i="17"/>
  <c r="E21" i="17"/>
  <c r="E17" i="17"/>
  <c r="E16" i="17"/>
  <c r="E12" i="17"/>
  <c r="E9" i="17"/>
  <c r="C31" i="14"/>
  <c r="E31" i="14" s="1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7" i="13"/>
  <c r="C31" i="13"/>
  <c r="E31" i="13"/>
  <c r="F31" i="18"/>
  <c r="D31" i="18"/>
  <c r="G31" i="18" s="1"/>
  <c r="C31" i="18"/>
  <c r="E31" i="18" s="1"/>
  <c r="G30" i="18"/>
  <c r="E30" i="18"/>
  <c r="G29" i="18"/>
  <c r="E29" i="18"/>
  <c r="G28" i="18"/>
  <c r="E28" i="18"/>
  <c r="G27" i="18"/>
  <c r="E27" i="18"/>
  <c r="G26" i="18"/>
  <c r="E26" i="18"/>
  <c r="G25" i="18"/>
  <c r="E25" i="18"/>
  <c r="G24" i="18"/>
  <c r="E24" i="18"/>
  <c r="G23" i="18"/>
  <c r="E23" i="18"/>
  <c r="G22" i="18"/>
  <c r="E22" i="18"/>
  <c r="G21" i="18"/>
  <c r="E21" i="18"/>
  <c r="G20" i="18"/>
  <c r="E20" i="18"/>
  <c r="G19" i="18"/>
  <c r="E19" i="18"/>
  <c r="G18" i="18"/>
  <c r="E18" i="18"/>
  <c r="G17" i="18"/>
  <c r="E17" i="18"/>
  <c r="G16" i="18"/>
  <c r="E16" i="18"/>
  <c r="G15" i="18"/>
  <c r="E15" i="18"/>
  <c r="G14" i="18"/>
  <c r="E14" i="18"/>
  <c r="G13" i="18"/>
  <c r="E13" i="18"/>
  <c r="G12" i="18"/>
  <c r="E12" i="18"/>
  <c r="G11" i="18"/>
  <c r="E11" i="18"/>
  <c r="G10" i="18"/>
  <c r="E10" i="18"/>
  <c r="G9" i="18"/>
  <c r="E9" i="18"/>
  <c r="G8" i="18"/>
  <c r="E8" i="18"/>
  <c r="G7" i="18"/>
  <c r="F31" i="17"/>
  <c r="D31" i="17"/>
  <c r="E31" i="17" s="1"/>
  <c r="G30" i="17"/>
  <c r="E30" i="17"/>
  <c r="G29" i="17"/>
  <c r="G28" i="17"/>
  <c r="G27" i="17"/>
  <c r="E27" i="17"/>
  <c r="G26" i="17"/>
  <c r="E26" i="17"/>
  <c r="G25" i="17"/>
  <c r="G24" i="17"/>
  <c r="G23" i="17"/>
  <c r="E23" i="17"/>
  <c r="G22" i="17"/>
  <c r="E22" i="17"/>
  <c r="G21" i="17"/>
  <c r="G20" i="17"/>
  <c r="E20" i="17"/>
  <c r="G19" i="17"/>
  <c r="E19" i="17"/>
  <c r="G18" i="17"/>
  <c r="E18" i="17"/>
  <c r="G17" i="17"/>
  <c r="G16" i="17"/>
  <c r="G15" i="17"/>
  <c r="E15" i="17"/>
  <c r="G14" i="17"/>
  <c r="E14" i="17"/>
  <c r="G13" i="17"/>
  <c r="E13" i="17"/>
  <c r="G12" i="17"/>
  <c r="G11" i="17"/>
  <c r="E11" i="17"/>
  <c r="G10" i="17"/>
  <c r="E10" i="17"/>
  <c r="G9" i="17"/>
  <c r="G8" i="17"/>
  <c r="E8" i="17"/>
  <c r="G7" i="17"/>
  <c r="E7" i="17"/>
  <c r="F31" i="16"/>
  <c r="D31" i="16"/>
  <c r="G31" i="16" s="1"/>
  <c r="G30" i="16"/>
  <c r="E30" i="16"/>
  <c r="G29" i="16"/>
  <c r="E29" i="16"/>
  <c r="G28" i="16"/>
  <c r="G27" i="16"/>
  <c r="E27" i="16"/>
  <c r="G26" i="16"/>
  <c r="E26" i="16"/>
  <c r="G25" i="16"/>
  <c r="E25" i="16"/>
  <c r="G24" i="16"/>
  <c r="G23" i="16"/>
  <c r="E23" i="16"/>
  <c r="G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G8" i="16"/>
  <c r="E8" i="16"/>
  <c r="G7" i="16"/>
  <c r="E7" i="16"/>
  <c r="C31" i="17"/>
  <c r="C31" i="16"/>
  <c r="C31" i="5"/>
  <c r="E31" i="16" l="1"/>
  <c r="E31" i="5"/>
  <c r="G31" i="17"/>
  <c r="G31" i="5"/>
</calcChain>
</file>

<file path=xl/sharedStrings.xml><?xml version="1.0" encoding="utf-8"?>
<sst xmlns="http://schemas.openxmlformats.org/spreadsheetml/2006/main" count="663" uniqueCount="73">
  <si>
    <t>AÑO 1987</t>
  </si>
  <si>
    <t>PROVINCIAS</t>
  </si>
  <si>
    <t>PLANTA
OCUPADA</t>
  </si>
  <si>
    <t>HABITANTES</t>
  </si>
  <si>
    <t>EMPLEADOS
CADA MIL
 HABITANTES</t>
  </si>
  <si>
    <t>G.C.B.A.</t>
  </si>
  <si>
    <t>BUENOS AIRES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</si>
  <si>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</si>
  <si>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</si>
  <si>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</si>
  <si>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</si>
  <si>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</si>
  <si>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</si>
  <si>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</si>
  <si>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</si>
  <si>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</si>
  <si>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</si>
  <si>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</si>
  <si>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</si>
  <si>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</si>
  <si>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</si>
  <si>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</si>
  <si>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</si>
  <si>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</si>
  <si>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</si>
  <si>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</si>
  <si>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TUCUMAN</t>
  </si>
  <si>
    <t>TOTAL</t>
  </si>
  <si>
    <t>AÑO 1988</t>
  </si>
  <si>
    <t>AÑO 1989</t>
  </si>
  <si>
    <t>AÑO 1990</t>
  </si>
  <si>
    <t>AÑO 1991</t>
  </si>
  <si>
    <t>AÑO 1992</t>
  </si>
  <si>
    <t>AÑO 1993</t>
  </si>
  <si>
    <t>AÑO 1994</t>
  </si>
  <si>
    <t>AÑO 1995</t>
  </si>
  <si>
    <t>AÑO 1996</t>
  </si>
  <si>
    <t>AÑO 1997</t>
  </si>
  <si>
    <t>AÑO 1998</t>
  </si>
  <si>
    <t>AÑO 1999</t>
  </si>
  <si>
    <t>(1) No incluye el Fondo Nacional de Incentivo Docente.</t>
  </si>
  <si>
    <t>AÑO 2000</t>
  </si>
  <si>
    <t>(2) Los datos de Planta de la provincia de Córdoba corresponden al año 1999.</t>
  </si>
  <si>
    <t>AÑO 2001</t>
  </si>
  <si>
    <t>HABITANTES
CENSO 2001</t>
  </si>
  <si>
    <t>(2) Los datos de Planta de la Provincia de Córdoba corresponden al año 2000.</t>
  </si>
  <si>
    <t>(3) Los datos de Planta de la Provincia de Santa Cruz corresponden al mes de Marzo del 2000.</t>
  </si>
  <si>
    <t>AÑO 2002</t>
  </si>
  <si>
    <t>Los datos de Santa Cruz corresponden a estimaciones en base a información de períodos anteriores.</t>
  </si>
  <si>
    <t>AÑO 2003</t>
  </si>
  <si>
    <t>Los datos de Catamarca, Córdoba, La Pmapa, Neuquén, San Luis, Santa Cruz y Tierra del Fuego corresponden a estimaciones en base a información de períodos anteriores.</t>
  </si>
  <si>
    <t>AÑO 2004</t>
  </si>
  <si>
    <t>GASTO MEDIO
 MENSUAL
 - en pesos -</t>
  </si>
  <si>
    <t>GASTO MEDIO
 MENSUAL
 - en australes -</t>
  </si>
  <si>
    <t>SUBSECRETARÍA DE COORDINACIÓN FISCAL PROVINCIAL</t>
  </si>
  <si>
    <t>TIERRA DEL FUEGO</t>
  </si>
  <si>
    <t>SANTIAGO DEL ESTERO</t>
  </si>
  <si>
    <r>
      <t xml:space="preserve">GASTO EN
 PERSONAL
</t>
    </r>
    <r>
      <rPr>
        <b/>
        <sz val="9"/>
        <color theme="0"/>
        <rFont val="Roboto"/>
      </rPr>
      <t>- en millones de australes -</t>
    </r>
  </si>
  <si>
    <r>
      <t xml:space="preserve">GASTO EN
 PERSONAL
</t>
    </r>
    <r>
      <rPr>
        <b/>
        <sz val="9"/>
        <color theme="0"/>
        <rFont val="Roboto"/>
      </rPr>
      <t>- en miles de australes -</t>
    </r>
  </si>
  <si>
    <r>
      <t xml:space="preserve">GASTO EN
 PERSONAL
</t>
    </r>
    <r>
      <rPr>
        <b/>
        <sz val="9"/>
        <color theme="0"/>
        <rFont val="Roboto"/>
      </rPr>
      <t>- en millones de pesos -</t>
    </r>
  </si>
  <si>
    <r>
      <t xml:space="preserve">GASTO MEDIO
 MENSUAL
</t>
    </r>
    <r>
      <rPr>
        <b/>
        <sz val="10"/>
        <color theme="0"/>
        <rFont val="Roboto"/>
      </rPr>
      <t xml:space="preserve"> - en $ -</t>
    </r>
  </si>
  <si>
    <r>
      <t xml:space="preserve">GASTO EN
 PERSONAL
</t>
    </r>
    <r>
      <rPr>
        <b/>
        <sz val="10"/>
        <color theme="0"/>
        <rFont val="Roboto"/>
      </rPr>
      <t>- en miles de $ -</t>
    </r>
  </si>
  <si>
    <t>ADMINISTRACIÓN CENTRAL Y ORGANISMOS DESCENTRALIZADOS</t>
  </si>
  <si>
    <r>
      <t>CORDOBA</t>
    </r>
    <r>
      <rPr>
        <b/>
        <vertAlign val="superscript"/>
        <sz val="12"/>
        <rFont val="Roboto"/>
      </rPr>
      <t>(2)</t>
    </r>
  </si>
  <si>
    <t>(2) Proyección INDEC 2001-2015</t>
  </si>
  <si>
    <r>
      <t>HABITANTES</t>
    </r>
    <r>
      <rPr>
        <b/>
        <vertAlign val="superscript"/>
        <sz val="11"/>
        <color theme="0"/>
        <rFont val="Roboto"/>
      </rPr>
      <t>(2)</t>
    </r>
  </si>
  <si>
    <r>
      <t>GASTO EN
 PERSONAL</t>
    </r>
    <r>
      <rPr>
        <b/>
        <vertAlign val="superscript"/>
        <sz val="11"/>
        <color theme="0"/>
        <rFont val="Roboto"/>
      </rPr>
      <t>(1)</t>
    </r>
    <r>
      <rPr>
        <b/>
        <sz val="11"/>
        <color theme="0"/>
        <rFont val="Roboto"/>
      </rPr>
      <t xml:space="preserve">
</t>
    </r>
    <r>
      <rPr>
        <b/>
        <sz val="10"/>
        <color theme="0"/>
        <rFont val="Roboto"/>
      </rPr>
      <t>- en miles de $ -</t>
    </r>
  </si>
  <si>
    <t>(1) Incluye Fondo Nacional de Incentivo Docente</t>
  </si>
  <si>
    <r>
      <t>SANTA CRUZ</t>
    </r>
    <r>
      <rPr>
        <b/>
        <vertAlign val="superscript"/>
        <sz val="12"/>
        <rFont val="Roboto"/>
      </rPr>
      <t>(3)</t>
    </r>
  </si>
  <si>
    <t>(3) Los datos de La Pampa, Neuquen, San Luis y Santa Cruz corresponden a estimaciones en base a información de períodos anteriores.</t>
  </si>
  <si>
    <r>
      <t>PLANTA OCUPADA</t>
    </r>
    <r>
      <rPr>
        <b/>
        <vertAlign val="superscript"/>
        <sz val="11"/>
        <color theme="0"/>
        <rFont val="Roboto"/>
      </rPr>
      <t>(3)</t>
    </r>
  </si>
  <si>
    <t>OCUPACION Y GASTO SALARIAL DE PROVINCIAS Y CIUDAD AUTÓNOMA DE BUENOS AIRES</t>
  </si>
  <si>
    <r>
      <rPr>
        <b/>
        <sz val="10"/>
        <rFont val="Roboto"/>
      </rPr>
      <t>Fuente</t>
    </r>
    <r>
      <rPr>
        <sz val="10"/>
        <rFont val="Roboto"/>
      </rPr>
      <t>: Elaborado en base a datos informados por las jurisdicciones e INDEC.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</si>
</sst>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#,##0.0_);\(#,##0.0\)"/>
    <numFmt numFmtId="166" formatCode="0_)"/>
    <numFmt numFmtId="167" formatCode="_-* #,##0\ _P_t_s_-;\-* #,##0\ _P_t_s_-;_-* &quot;-&quot;??\ _P_t_s_-;_-@_-"/>
    <numFmt numFmtId="168" formatCode="#,##0.0"/>
    <numFmt numFmtId="169" formatCode="#,##0.0\ \ \ \ \ 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b/>
      <sz val="11"/>
      <name val="Roboto"/>
    </font>
    <font>
      <b/>
      <sz val="12"/>
      <name val="Roboto"/>
    </font>
    <font>
      <sz val="12"/>
      <name val="Roboto"/>
    </font>
    <font>
      <sz val="11"/>
      <name val="Roboto"/>
    </font>
    <font>
      <b/>
      <sz val="11"/>
      <color theme="0"/>
      <name val="Roboto"/>
    </font>
    <font>
      <b/>
      <sz val="12"/>
      <color theme="0"/>
      <name val="Roboto"/>
    </font>
    <font>
      <b/>
      <sz val="10"/>
      <color theme="0"/>
      <name val="Roboto"/>
    </font>
    <font>
      <b/>
      <sz val="9"/>
      <color theme="0"/>
      <name val="Roboto"/>
    </font>
    <font>
      <b/>
      <vertAlign val="superscript"/>
      <sz val="11"/>
      <color theme="0"/>
      <name val="Roboto"/>
    </font>
    <font>
      <sz val="8"/>
      <color rgb="FF000000"/>
      <name val="Arial"/>
      <family val="2"/>
    </font>
    <font>
      <b/>
      <vertAlign val="superscript"/>
      <sz val="12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2C4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auto="1"/>
      </top>
      <bottom style="medium">
        <color theme="0" tint="-4.9989318521683403E-2"/>
      </bottom>
      <diagonal/>
    </border>
    <border>
      <left style="thin">
        <color theme="0" tint="-4.9989318521683403E-2"/>
      </left>
      <right style="medium">
        <color auto="1"/>
      </right>
      <top style="medium">
        <color auto="1"/>
      </top>
      <bottom style="medium">
        <color theme="0" tint="-4.9989318521683403E-2"/>
      </bottom>
      <diagonal/>
    </border>
    <border>
      <left style="medium">
        <color auto="1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4.9989318521683403E-2"/>
      </top>
      <bottom style="medium">
        <color auto="1"/>
      </bottom>
      <diagonal/>
    </border>
    <border>
      <left style="thin">
        <color theme="0" tint="-4.9989318521683403E-2"/>
      </left>
      <right style="medium">
        <color auto="1"/>
      </right>
      <top style="medium">
        <color theme="0" tint="-4.9989318521683403E-2"/>
      </top>
      <bottom style="medium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3" applyFont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1" xfId="3" applyNumberFormat="1" applyFont="1" applyBorder="1" applyAlignment="1">
      <alignment horizontal="right" vertical="center"/>
    </xf>
    <xf numFmtId="3" fontId="7" fillId="0" borderId="5" xfId="3" applyNumberFormat="1" applyFont="1" applyBorder="1" applyAlignment="1">
      <alignment horizontal="right" vertical="center"/>
    </xf>
    <xf numFmtId="3" fontId="7" fillId="0" borderId="6" xfId="3" applyNumberFormat="1" applyFont="1" applyBorder="1" applyAlignment="1">
      <alignment horizontal="right" vertical="center"/>
    </xf>
    <xf numFmtId="3" fontId="7" fillId="0" borderId="0" xfId="3" applyNumberFormat="1" applyFont="1" applyAlignment="1">
      <alignment horizontal="right"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6" fillId="0" borderId="4" xfId="3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7" fillId="0" borderId="1" xfId="0" applyNumberFormat="1" applyFont="1" applyBorder="1" applyAlignment="1">
      <alignment vertical="center"/>
    </xf>
    <xf numFmtId="168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167" fontId="3" fillId="0" borderId="0" xfId="1" applyNumberFormat="1" applyFont="1" applyAlignment="1">
      <alignment vertical="center"/>
    </xf>
    <xf numFmtId="3" fontId="6" fillId="0" borderId="3" xfId="3" applyNumberFormat="1" applyFont="1" applyBorder="1" applyAlignment="1">
      <alignment vertical="center"/>
    </xf>
    <xf numFmtId="0" fontId="6" fillId="0" borderId="3" xfId="3" applyFont="1" applyBorder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left" vertical="center"/>
    </xf>
    <xf numFmtId="3" fontId="6" fillId="0" borderId="3" xfId="3" applyNumberFormat="1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  <xf numFmtId="0" fontId="9" fillId="3" borderId="7" xfId="0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 wrapText="1"/>
    </xf>
    <xf numFmtId="37" fontId="9" fillId="3" borderId="8" xfId="0" applyNumberFormat="1" applyFont="1" applyFill="1" applyBorder="1" applyAlignment="1">
      <alignment horizontal="center" vertical="center" wrapText="1"/>
    </xf>
    <xf numFmtId="166" fontId="9" fillId="3" borderId="8" xfId="0" applyNumberFormat="1" applyFont="1" applyFill="1" applyBorder="1" applyAlignment="1">
      <alignment horizontal="center" vertical="center" wrapText="1"/>
    </xf>
    <xf numFmtId="166" fontId="9" fillId="3" borderId="9" xfId="0" applyNumberFormat="1" applyFont="1" applyFill="1" applyBorder="1" applyAlignment="1">
      <alignment horizontal="center" vertical="center" wrapText="1"/>
    </xf>
    <xf numFmtId="0" fontId="9" fillId="3" borderId="7" xfId="3" applyFont="1" applyFill="1" applyBorder="1" applyAlignment="1">
      <alignment horizontal="center" vertical="center"/>
    </xf>
    <xf numFmtId="165" fontId="9" fillId="3" borderId="8" xfId="3" applyNumberFormat="1" applyFont="1" applyFill="1" applyBorder="1" applyAlignment="1">
      <alignment horizontal="center" vertical="center" wrapText="1"/>
    </xf>
    <xf numFmtId="37" fontId="9" fillId="3" borderId="8" xfId="3" applyNumberFormat="1" applyFont="1" applyFill="1" applyBorder="1" applyAlignment="1">
      <alignment horizontal="center" vertical="center" wrapText="1"/>
    </xf>
    <xf numFmtId="166" fontId="9" fillId="3" borderId="8" xfId="3" applyNumberFormat="1" applyFont="1" applyFill="1" applyBorder="1" applyAlignment="1">
      <alignment horizontal="center" vertical="center" wrapText="1"/>
    </xf>
    <xf numFmtId="166" fontId="9" fillId="3" borderId="9" xfId="3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vertical="center"/>
    </xf>
    <xf numFmtId="3" fontId="10" fillId="3" borderId="11" xfId="0" applyNumberFormat="1" applyFont="1" applyFill="1" applyBorder="1" applyAlignment="1">
      <alignment vertical="center"/>
    </xf>
    <xf numFmtId="3" fontId="10" fillId="3" borderId="11" xfId="0" applyNumberFormat="1" applyFont="1" applyFill="1" applyBorder="1" applyAlignment="1">
      <alignment horizontal="right" vertical="center"/>
    </xf>
    <xf numFmtId="3" fontId="10" fillId="3" borderId="10" xfId="0" applyNumberFormat="1" applyFont="1" applyFill="1" applyBorder="1" applyAlignment="1">
      <alignment vertical="center"/>
    </xf>
    <xf numFmtId="3" fontId="10" fillId="3" borderId="10" xfId="3" applyNumberFormat="1" applyFont="1" applyFill="1" applyBorder="1" applyAlignment="1">
      <alignment vertical="center"/>
    </xf>
    <xf numFmtId="3" fontId="10" fillId="3" borderId="11" xfId="3" applyNumberFormat="1" applyFont="1" applyFill="1" applyBorder="1" applyAlignment="1">
      <alignment horizontal="right" vertical="center"/>
    </xf>
    <xf numFmtId="0" fontId="10" fillId="3" borderId="10" xfId="3" applyFont="1" applyFill="1" applyBorder="1" applyAlignment="1">
      <alignment vertical="center"/>
    </xf>
    <xf numFmtId="0" fontId="3" fillId="0" borderId="0" xfId="0" quotePrefix="1" applyFont="1" applyAlignment="1">
      <alignment horizontal="left" vertical="center"/>
    </xf>
    <xf numFmtId="169" fontId="7" fillId="2" borderId="2" xfId="0" applyNumberFormat="1" applyFont="1" applyFill="1" applyBorder="1" applyAlignment="1">
      <alignment horizontal="right" vertical="center"/>
    </xf>
    <xf numFmtId="169" fontId="10" fillId="3" borderId="12" xfId="0" applyNumberFormat="1" applyFont="1" applyFill="1" applyBorder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49" fontId="3" fillId="0" borderId="0" xfId="2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 wrapText="1"/>
    </xf>
  </cellXfs>
  <cellStyles count="6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 2" xfId="4" xr:uid="{00000000-0005-0000-0000-000005000000}"/>
    <cellStyle name="Porcentaje 3" xfId="5" xr:uid="{00000000-0005-0000-0000-000006000000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970684</xdr:colOff>
      <xdr:row>1</xdr:row>
      <xdr:rowOff>24606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8575"/>
          <a:ext cx="970684" cy="7770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C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D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777081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970684" cy="79295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F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773906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773906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970684" cy="7739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276225</xdr:colOff>
          <xdr:row>0</xdr:row>
          <xdr:rowOff>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1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imprimir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970684</xdr:colOff>
      <xdr:row>0</xdr:row>
      <xdr:rowOff>773906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0"/>
          <a:ext cx="970684" cy="792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15.42578125" style="1" customWidth="1"/>
    <col min="4" max="4" width="11.7109375" style="1" bestFit="1" customWidth="1"/>
    <col min="5" max="5" width="16.5703125" style="1" bestFit="1" customWidth="1"/>
    <col min="6" max="6" width="14.28515625" style="1" bestFit="1" customWidth="1"/>
    <col min="7" max="7" width="14.85546875" style="1" bestFit="1" customWidth="1"/>
    <col min="8" max="8" width="3.7109375" style="1" customWidth="1"/>
    <col min="9" max="16384" width="11.42578125" style="1"/>
  </cols>
  <sheetData>
    <row r="1" spans="2:7" ht="61.5" customHeight="1" x14ac:dyDescent="0.2">
      <c r="B1" s="54"/>
      <c r="C1" s="54"/>
      <c r="D1" s="54"/>
      <c r="E1" s="54"/>
      <c r="F1" s="54"/>
      <c r="G1" s="54"/>
    </row>
    <row r="2" spans="2:7" s="7" customFormat="1" ht="19.5" customHeight="1" x14ac:dyDescent="0.2">
      <c r="B2" s="56" t="s">
        <v>71</v>
      </c>
      <c r="C2" s="56"/>
      <c r="D2" s="56"/>
      <c r="E2" s="56"/>
      <c r="F2" s="56"/>
      <c r="G2" s="56"/>
    </row>
    <row r="3" spans="2:7" s="8" customFormat="1" ht="19.5" customHeight="1" x14ac:dyDescent="0.2">
      <c r="B3" s="57" t="s">
        <v>62</v>
      </c>
      <c r="C3" s="57"/>
      <c r="D3" s="57"/>
      <c r="E3" s="57"/>
      <c r="F3" s="57"/>
      <c r="G3" s="57"/>
    </row>
    <row r="4" spans="2:7" x14ac:dyDescent="0.2">
      <c r="B4" s="58" t="s">
        <v>0</v>
      </c>
      <c r="C4" s="58"/>
      <c r="D4" s="58"/>
      <c r="E4" s="58"/>
      <c r="F4" s="58"/>
      <c r="G4" s="58"/>
    </row>
    <row r="5" spans="2:7" ht="6" customHeight="1" thickBot="1" x14ac:dyDescent="0.25"/>
    <row r="6" spans="2:7" s="8" customFormat="1" ht="57.75" customHeight="1" thickBot="1" x14ac:dyDescent="0.25">
      <c r="B6" s="39" t="s">
        <v>1</v>
      </c>
      <c r="C6" s="40" t="s">
        <v>58</v>
      </c>
      <c r="D6" s="41" t="s">
        <v>2</v>
      </c>
      <c r="E6" s="40" t="s">
        <v>53</v>
      </c>
      <c r="F6" s="42" t="s">
        <v>3</v>
      </c>
      <c r="G6" s="43" t="s">
        <v>4</v>
      </c>
    </row>
    <row r="7" spans="2:7" s="7" customFormat="1" ht="20.25" customHeight="1" x14ac:dyDescent="0.2">
      <c r="B7" s="33" t="s">
        <v>5</v>
      </c>
      <c r="C7" s="5">
        <v>1011969.7468945809</v>
      </c>
      <c r="D7" s="6">
        <v>84292</v>
      </c>
      <c r="E7" s="5">
        <v>923.50195373461918</v>
      </c>
      <c r="F7" s="6">
        <v>2935864</v>
      </c>
      <c r="G7" s="52">
        <v>28.711139208083207</v>
      </c>
    </row>
    <row r="8" spans="2:7" s="7" customFormat="1" ht="20.25" customHeight="1" x14ac:dyDescent="0.2">
      <c r="B8" s="9" t="s">
        <v>6</v>
      </c>
      <c r="C8" s="5">
        <v>2553623.4441268635</v>
      </c>
      <c r="D8" s="6">
        <v>274889</v>
      </c>
      <c r="E8" s="5">
        <v>714.58869807501696</v>
      </c>
      <c r="F8" s="6">
        <v>12005834</v>
      </c>
      <c r="G8" s="52">
        <v>22.896285255984715</v>
      </c>
    </row>
    <row r="9" spans="2:7" s="7" customFormat="1" ht="20.25" customHeight="1" x14ac:dyDescent="0.2">
      <c r="B9" s="9" t="s">
        <v>7</v>
      </c>
      <c r="C9" s="5">
        <v>190870.19339231207</v>
      </c>
      <c r="D9" s="6">
        <v>22185</v>
      </c>
      <c r="E9" s="5">
        <v>661.81305245162901</v>
      </c>
      <c r="F9" s="6">
        <v>241915</v>
      </c>
      <c r="G9" s="52">
        <v>91.705764421387684</v>
      </c>
    </row>
    <row r="10" spans="2:7" s="7" customFormat="1" ht="20.25" customHeight="1" x14ac:dyDescent="0.2">
      <c r="B10" s="9" t="s">
        <v>8</v>
      </c>
      <c r="C10" s="5">
        <v>868369.94945618813</v>
      </c>
      <c r="D10" s="6">
        <v>72722</v>
      </c>
      <c r="E10" s="5">
        <v>918.53480954466022</v>
      </c>
      <c r="F10" s="6">
        <v>2637724</v>
      </c>
      <c r="G10" s="52">
        <v>27.569980786465909</v>
      </c>
    </row>
    <row r="11" spans="2:7" s="7" customFormat="1" ht="20.25" customHeight="1" x14ac:dyDescent="0.2">
      <c r="B11" s="9" t="s">
        <v>9</v>
      </c>
      <c r="C11" s="5">
        <v>327954.34165867814</v>
      </c>
      <c r="D11" s="6">
        <v>35843</v>
      </c>
      <c r="E11" s="5">
        <v>703.82660632948</v>
      </c>
      <c r="F11" s="6">
        <v>735898</v>
      </c>
      <c r="G11" s="52">
        <v>48.706478343466081</v>
      </c>
    </row>
    <row r="12" spans="2:7" s="7" customFormat="1" ht="20.25" customHeight="1" x14ac:dyDescent="0.2">
      <c r="B12" s="9" t="s">
        <v>10</v>
      </c>
      <c r="C12" s="5">
        <v>373180.61238215765</v>
      </c>
      <c r="D12" s="6">
        <v>38523</v>
      </c>
      <c r="E12" s="5">
        <v>745.17044239736424</v>
      </c>
      <c r="F12" s="6">
        <v>769801</v>
      </c>
      <c r="G12" s="52">
        <v>50.042803269935995</v>
      </c>
    </row>
    <row r="13" spans="2:7" s="7" customFormat="1" ht="20.25" customHeight="1" x14ac:dyDescent="0.2">
      <c r="B13" s="9" t="s">
        <v>11</v>
      </c>
      <c r="C13" s="5">
        <v>210928.17221600213</v>
      </c>
      <c r="D13" s="6">
        <v>16231</v>
      </c>
      <c r="E13" s="5">
        <v>999.64537099473523</v>
      </c>
      <c r="F13" s="6">
        <v>320954</v>
      </c>
      <c r="G13" s="52">
        <v>50.571109878674207</v>
      </c>
    </row>
    <row r="14" spans="2:7" s="7" customFormat="1" ht="20.25" customHeight="1" x14ac:dyDescent="0.2">
      <c r="B14" s="9" t="s">
        <v>12</v>
      </c>
      <c r="C14" s="5">
        <v>332553.62342716753</v>
      </c>
      <c r="D14" s="6">
        <v>34780</v>
      </c>
      <c r="E14" s="5">
        <v>735.51029200505945</v>
      </c>
      <c r="F14" s="6">
        <v>979268</v>
      </c>
      <c r="G14" s="52">
        <v>35.516324438253882</v>
      </c>
    </row>
    <row r="15" spans="2:7" s="7" customFormat="1" ht="20.25" customHeight="1" x14ac:dyDescent="0.2">
      <c r="B15" s="9" t="s">
        <v>13</v>
      </c>
      <c r="C15" s="5">
        <v>258709.59947753142</v>
      </c>
      <c r="D15" s="6">
        <v>28990</v>
      </c>
      <c r="E15" s="5">
        <v>686.469072830237</v>
      </c>
      <c r="F15" s="6">
        <v>338720</v>
      </c>
      <c r="G15" s="52">
        <v>85.586915446386399</v>
      </c>
    </row>
    <row r="16" spans="2:7" s="7" customFormat="1" ht="20.25" customHeight="1" x14ac:dyDescent="0.2">
      <c r="B16" s="9" t="s">
        <v>14</v>
      </c>
      <c r="C16" s="5">
        <v>264075.42820743576</v>
      </c>
      <c r="D16" s="6">
        <v>31846</v>
      </c>
      <c r="E16" s="5">
        <v>637.86643463841801</v>
      </c>
      <c r="F16" s="6">
        <v>477517</v>
      </c>
      <c r="G16" s="52">
        <v>66.690819384440772</v>
      </c>
    </row>
    <row r="17" spans="2:7" s="7" customFormat="1" ht="20.25" customHeight="1" x14ac:dyDescent="0.2">
      <c r="B17" s="9" t="s">
        <v>15</v>
      </c>
      <c r="C17" s="5">
        <v>124436.12340302004</v>
      </c>
      <c r="D17" s="6">
        <v>14405</v>
      </c>
      <c r="E17" s="5">
        <v>664.49215498368653</v>
      </c>
      <c r="F17" s="6">
        <v>239766</v>
      </c>
      <c r="G17" s="52">
        <v>60.079410758823187</v>
      </c>
    </row>
    <row r="18" spans="2:7" s="7" customFormat="1" ht="20.25" customHeight="1" x14ac:dyDescent="0.2">
      <c r="B18" s="9" t="s">
        <v>16</v>
      </c>
      <c r="C18" s="5">
        <v>165701.90149252259</v>
      </c>
      <c r="D18" s="6">
        <v>18344</v>
      </c>
      <c r="E18" s="5">
        <v>694.8484580685473</v>
      </c>
      <c r="F18" s="6">
        <v>197153</v>
      </c>
      <c r="G18" s="52">
        <v>93.044488290819828</v>
      </c>
    </row>
    <row r="19" spans="2:7" s="7" customFormat="1" ht="20.25" customHeight="1" x14ac:dyDescent="0.2">
      <c r="B19" s="9" t="s">
        <v>17</v>
      </c>
      <c r="C19" s="5">
        <v>384678.81680338131</v>
      </c>
      <c r="D19" s="6">
        <v>38098</v>
      </c>
      <c r="E19" s="5">
        <v>776.69899248371871</v>
      </c>
      <c r="F19" s="6">
        <v>1331028</v>
      </c>
      <c r="G19" s="52">
        <v>28.622989148237302</v>
      </c>
    </row>
    <row r="20" spans="2:7" s="7" customFormat="1" ht="20.25" customHeight="1" x14ac:dyDescent="0.2">
      <c r="B20" s="9" t="s">
        <v>18</v>
      </c>
      <c r="C20" s="5">
        <v>221148.79836820095</v>
      </c>
      <c r="D20" s="6">
        <v>25809</v>
      </c>
      <c r="E20" s="5">
        <v>659.1284446636115</v>
      </c>
      <c r="F20" s="6">
        <v>710715</v>
      </c>
      <c r="G20" s="52">
        <v>36.314134357653913</v>
      </c>
    </row>
    <row r="21" spans="2:7" s="7" customFormat="1" ht="20.25" customHeight="1" x14ac:dyDescent="0.2">
      <c r="B21" s="9" t="s">
        <v>19</v>
      </c>
      <c r="C21" s="5">
        <v>244017.44938374567</v>
      </c>
      <c r="D21" s="6">
        <v>22842</v>
      </c>
      <c r="E21" s="5">
        <v>821.75698404338061</v>
      </c>
      <c r="F21" s="6">
        <v>328780</v>
      </c>
      <c r="G21" s="52">
        <v>69.475028894701623</v>
      </c>
    </row>
    <row r="22" spans="2:7" s="7" customFormat="1" ht="20.25" customHeight="1" x14ac:dyDescent="0.2">
      <c r="B22" s="9" t="s">
        <v>20</v>
      </c>
      <c r="C22" s="5">
        <v>278512.06264741655</v>
      </c>
      <c r="D22" s="6">
        <v>23691</v>
      </c>
      <c r="E22" s="5">
        <v>904.30985686682891</v>
      </c>
      <c r="F22" s="6">
        <v>462795</v>
      </c>
      <c r="G22" s="52">
        <v>51.191132142741388</v>
      </c>
    </row>
    <row r="23" spans="2:7" s="7" customFormat="1" ht="20.25" customHeight="1" x14ac:dyDescent="0.2">
      <c r="B23" s="9" t="s">
        <v>21</v>
      </c>
      <c r="C23" s="5">
        <v>598417.66121123801</v>
      </c>
      <c r="D23" s="6">
        <v>40860</v>
      </c>
      <c r="E23" s="5">
        <v>1126.5816883377347</v>
      </c>
      <c r="F23" s="6">
        <v>786731</v>
      </c>
      <c r="G23" s="52">
        <v>51.93643062241096</v>
      </c>
    </row>
    <row r="24" spans="2:7" s="7" customFormat="1" ht="20.25" customHeight="1" x14ac:dyDescent="0.2">
      <c r="B24" s="9" t="s">
        <v>22</v>
      </c>
      <c r="C24" s="5">
        <v>177072.34808684373</v>
      </c>
      <c r="D24" s="6">
        <v>18836</v>
      </c>
      <c r="E24" s="5">
        <v>723.13388473317764</v>
      </c>
      <c r="F24" s="6">
        <v>507925</v>
      </c>
      <c r="G24" s="52">
        <v>37.084215189250386</v>
      </c>
    </row>
    <row r="25" spans="2:7" s="7" customFormat="1" ht="20.25" customHeight="1" x14ac:dyDescent="0.2">
      <c r="B25" s="9" t="s">
        <v>23</v>
      </c>
      <c r="C25" s="5">
        <v>164041.04974279029</v>
      </c>
      <c r="D25" s="6">
        <v>16109</v>
      </c>
      <c r="E25" s="5">
        <v>783.32250840567042</v>
      </c>
      <c r="F25" s="6">
        <v>255615</v>
      </c>
      <c r="G25" s="52">
        <v>63.020558261447881</v>
      </c>
    </row>
    <row r="26" spans="2:7" s="7" customFormat="1" ht="20.25" customHeight="1" x14ac:dyDescent="0.2">
      <c r="B26" s="9" t="s">
        <v>24</v>
      </c>
      <c r="C26" s="5">
        <v>207989.74219724498</v>
      </c>
      <c r="D26" s="6">
        <v>14285</v>
      </c>
      <c r="E26" s="5">
        <v>1120.0007657157587</v>
      </c>
      <c r="F26" s="6">
        <v>142077</v>
      </c>
      <c r="G26" s="52">
        <v>100.54407117267397</v>
      </c>
    </row>
    <row r="27" spans="2:7" s="7" customFormat="1" ht="20.25" customHeight="1" x14ac:dyDescent="0.2">
      <c r="B27" s="9" t="s">
        <v>25</v>
      </c>
      <c r="C27" s="5">
        <v>923433.57285115891</v>
      </c>
      <c r="D27" s="6">
        <v>67242</v>
      </c>
      <c r="E27" s="5">
        <v>1056.3836851637586</v>
      </c>
      <c r="F27" s="6">
        <v>2672980</v>
      </c>
      <c r="G27" s="52">
        <v>25.156192713750194</v>
      </c>
    </row>
    <row r="28" spans="2:7" s="7" customFormat="1" ht="20.25" customHeight="1" x14ac:dyDescent="0.2">
      <c r="B28" s="9" t="s">
        <v>56</v>
      </c>
      <c r="C28" s="5">
        <v>217060.54790732142</v>
      </c>
      <c r="D28" s="6">
        <v>29973</v>
      </c>
      <c r="E28" s="5">
        <v>557.06686763554239</v>
      </c>
      <c r="F28" s="6">
        <v>647064</v>
      </c>
      <c r="G28" s="52">
        <v>46.321538518600946</v>
      </c>
    </row>
    <row r="29" spans="2:7" s="7" customFormat="1" ht="20.25" customHeight="1" x14ac:dyDescent="0.2">
      <c r="B29" s="9" t="s">
        <v>26</v>
      </c>
      <c r="C29" s="5">
        <v>428883.02491164097</v>
      </c>
      <c r="D29" s="6">
        <v>45676</v>
      </c>
      <c r="E29" s="5">
        <v>722.28307899728691</v>
      </c>
      <c r="F29" s="6">
        <v>1087618</v>
      </c>
      <c r="G29" s="52">
        <v>41.996362693519231</v>
      </c>
    </row>
    <row r="30" spans="2:7" s="7" customFormat="1" ht="20.25" customHeight="1" thickBot="1" x14ac:dyDescent="0.25">
      <c r="B30" s="9" t="s">
        <v>55</v>
      </c>
      <c r="C30" s="5">
        <v>85214.470543957243</v>
      </c>
      <c r="D30" s="6">
        <v>3808</v>
      </c>
      <c r="E30" s="5">
        <v>1721.3653552027563</v>
      </c>
      <c r="F30" s="6">
        <v>50602</v>
      </c>
      <c r="G30" s="52">
        <v>75.25394253191574</v>
      </c>
    </row>
    <row r="31" spans="2:7" s="7" customFormat="1" ht="26.25" customHeight="1" thickBot="1" x14ac:dyDescent="0.25">
      <c r="B31" s="50" t="s">
        <v>27</v>
      </c>
      <c r="C31" s="49">
        <v>10612842.680789396</v>
      </c>
      <c r="D31" s="49">
        <v>1020279</v>
      </c>
      <c r="E31" s="49">
        <v>800.14634615323507</v>
      </c>
      <c r="F31" s="49">
        <v>30864344</v>
      </c>
      <c r="G31" s="53">
        <v>33.056882725257339</v>
      </c>
    </row>
    <row r="32" spans="2:7" ht="8.25" customHeight="1" x14ac:dyDescent="0.2"/>
    <row r="33" spans="2:7" x14ac:dyDescent="0.2">
      <c r="B33" s="55"/>
      <c r="C33" s="55"/>
      <c r="D33" s="55"/>
      <c r="E33" s="55"/>
      <c r="F33" s="55"/>
      <c r="G33" s="55"/>
    </row>
    <row r="34" spans="2:7" x14ac:dyDescent="0.2">
      <c r="B34" s="55"/>
      <c r="C34" s="55"/>
      <c r="D34" s="55"/>
      <c r="E34" s="55"/>
      <c r="F34" s="55"/>
      <c r="G34" s="55"/>
    </row>
    <row r="35" spans="2:7" x14ac:dyDescent="0.2">
      <c r="B35" s="55"/>
      <c r="C35" s="55"/>
      <c r="D35" s="55"/>
      <c r="E35" s="55"/>
      <c r="F35" s="55"/>
      <c r="G35" s="55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5"/>
      <c r="C38" s="55"/>
      <c r="D38" s="55"/>
      <c r="E38" s="55"/>
      <c r="F38" s="55"/>
      <c r="G38" s="55"/>
    </row>
    <row r="39" spans="2:7" x14ac:dyDescent="0.2">
      <c r="B39" s="55"/>
      <c r="C39" s="55"/>
      <c r="D39" s="55"/>
      <c r="E39" s="55"/>
      <c r="F39" s="55"/>
      <c r="G39" s="55"/>
    </row>
    <row r="40" spans="2:7" x14ac:dyDescent="0.2">
      <c r="B40" s="55"/>
      <c r="C40" s="55"/>
      <c r="D40" s="55"/>
      <c r="E40" s="55"/>
      <c r="F40" s="55"/>
      <c r="G40" s="55"/>
    </row>
    <row r="41" spans="2:7" x14ac:dyDescent="0.2">
      <c r="B41" s="55"/>
      <c r="C41" s="55"/>
      <c r="D41" s="55"/>
      <c r="E41" s="55"/>
      <c r="F41" s="55"/>
      <c r="G41" s="55"/>
    </row>
    <row r="42" spans="2:7" x14ac:dyDescent="0.2">
      <c r="B42" s="55"/>
      <c r="C42" s="55"/>
      <c r="D42" s="55"/>
      <c r="E42" s="55"/>
      <c r="F42" s="55"/>
      <c r="G42" s="55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15.42578125" style="1" customWidth="1"/>
    <col min="4" max="4" width="11.7109375" style="1" bestFit="1" customWidth="1"/>
    <col min="5" max="5" width="16.5703125" style="1" bestFit="1" customWidth="1"/>
    <col min="6" max="6" width="14.28515625" style="1" bestFit="1" customWidth="1"/>
    <col min="7" max="7" width="14.85546875" style="1" bestFit="1" customWidth="1"/>
    <col min="8" max="8" width="3.7109375" style="1" customWidth="1"/>
    <col min="9" max="16384" width="11.42578125" style="1"/>
  </cols>
  <sheetData>
    <row r="1" spans="2:7" ht="61.5" customHeight="1" x14ac:dyDescent="0.2">
      <c r="B1" s="54"/>
      <c r="C1" s="54"/>
      <c r="D1" s="54"/>
      <c r="E1" s="54"/>
      <c r="F1" s="54"/>
      <c r="G1" s="54"/>
    </row>
    <row r="2" spans="2:7" s="7" customFormat="1" ht="19.5" customHeight="1" x14ac:dyDescent="0.2">
      <c r="B2" s="56" t="s">
        <v>71</v>
      </c>
      <c r="C2" s="56"/>
      <c r="D2" s="56"/>
      <c r="E2" s="56"/>
      <c r="F2" s="56"/>
      <c r="G2" s="56"/>
    </row>
    <row r="3" spans="2:7" s="8" customFormat="1" ht="19.5" customHeight="1" x14ac:dyDescent="0.2">
      <c r="B3" s="57" t="s">
        <v>62</v>
      </c>
      <c r="C3" s="57"/>
      <c r="D3" s="57"/>
      <c r="E3" s="57"/>
      <c r="F3" s="57"/>
      <c r="G3" s="57"/>
    </row>
    <row r="4" spans="2:7" x14ac:dyDescent="0.2">
      <c r="B4" s="58" t="s">
        <v>28</v>
      </c>
      <c r="C4" s="58"/>
      <c r="D4" s="58"/>
      <c r="E4" s="58"/>
      <c r="F4" s="58"/>
      <c r="G4" s="58"/>
    </row>
    <row r="5" spans="2:7" ht="6" customHeight="1" thickBot="1" x14ac:dyDescent="0.25"/>
    <row r="6" spans="2:7" s="8" customFormat="1" ht="57.75" customHeight="1" thickBot="1" x14ac:dyDescent="0.25">
      <c r="B6" s="39" t="s">
        <v>1</v>
      </c>
      <c r="C6" s="40" t="s">
        <v>58</v>
      </c>
      <c r="D6" s="41" t="s">
        <v>2</v>
      </c>
      <c r="E6" s="40" t="s">
        <v>53</v>
      </c>
      <c r="F6" s="42" t="s">
        <v>3</v>
      </c>
      <c r="G6" s="43" t="s">
        <v>4</v>
      </c>
    </row>
    <row r="7" spans="2:7" s="7" customFormat="1" ht="20.25" customHeight="1" x14ac:dyDescent="0.2">
      <c r="B7" s="33" t="s">
        <v>5</v>
      </c>
      <c r="C7" s="3">
        <v>4230295.5261930265</v>
      </c>
      <c r="D7" s="4">
        <v>87552</v>
      </c>
      <c r="E7" s="3">
        <v>3716.7323210057375</v>
      </c>
      <c r="F7" s="3">
        <v>2940938</v>
      </c>
      <c r="G7" s="52">
        <v>29.770093759201998</v>
      </c>
    </row>
    <row r="8" spans="2:7" s="7" customFormat="1" ht="20.25" customHeight="1" x14ac:dyDescent="0.2">
      <c r="B8" s="9" t="s">
        <v>6</v>
      </c>
      <c r="C8" s="3">
        <v>11649065.424406016</v>
      </c>
      <c r="D8" s="4">
        <v>279911</v>
      </c>
      <c r="E8" s="3">
        <v>3201.3102583447589</v>
      </c>
      <c r="F8" s="3">
        <v>12147025</v>
      </c>
      <c r="G8" s="52">
        <v>23.043584746059221</v>
      </c>
    </row>
    <row r="9" spans="2:7" s="7" customFormat="1" ht="20.25" customHeight="1" x14ac:dyDescent="0.2">
      <c r="B9" s="9" t="s">
        <v>7</v>
      </c>
      <c r="C9" s="3">
        <v>693731.76091148111</v>
      </c>
      <c r="D9" s="4">
        <v>21517</v>
      </c>
      <c r="E9" s="3">
        <v>2480.0846590405476</v>
      </c>
      <c r="F9" s="3">
        <v>247434</v>
      </c>
      <c r="G9" s="52">
        <v>86.960563220899317</v>
      </c>
    </row>
    <row r="10" spans="2:7" s="7" customFormat="1" ht="20.25" customHeight="1" x14ac:dyDescent="0.2">
      <c r="B10" s="9" t="s">
        <v>8</v>
      </c>
      <c r="C10" s="3">
        <v>3789219.1596875791</v>
      </c>
      <c r="D10" s="4">
        <v>76143</v>
      </c>
      <c r="E10" s="3">
        <v>3828.0393062926933</v>
      </c>
      <c r="F10" s="3">
        <v>2669675</v>
      </c>
      <c r="G10" s="52">
        <v>28.521449240076041</v>
      </c>
    </row>
    <row r="11" spans="2:7" s="7" customFormat="1" ht="20.25" customHeight="1" x14ac:dyDescent="0.2">
      <c r="B11" s="9" t="s">
        <v>9</v>
      </c>
      <c r="C11" s="3">
        <v>1313440.9970696208</v>
      </c>
      <c r="D11" s="4">
        <v>36440</v>
      </c>
      <c r="E11" s="3">
        <v>2772.6103965836801</v>
      </c>
      <c r="F11" s="3">
        <v>746959</v>
      </c>
      <c r="G11" s="52">
        <v>48.784471436852627</v>
      </c>
    </row>
    <row r="12" spans="2:7" s="7" customFormat="1" ht="20.25" customHeight="1" x14ac:dyDescent="0.2">
      <c r="B12" s="9" t="s">
        <v>10</v>
      </c>
      <c r="C12" s="3">
        <v>1597907.7244275031</v>
      </c>
      <c r="D12" s="4">
        <v>38318</v>
      </c>
      <c r="E12" s="3">
        <v>3207.7869096016393</v>
      </c>
      <c r="F12" s="3">
        <v>777830</v>
      </c>
      <c r="G12" s="52">
        <v>49.262692362084259</v>
      </c>
    </row>
    <row r="13" spans="2:7" s="7" customFormat="1" ht="20.25" customHeight="1" x14ac:dyDescent="0.2">
      <c r="B13" s="9" t="s">
        <v>11</v>
      </c>
      <c r="C13" s="3">
        <v>862576.52811745019</v>
      </c>
      <c r="D13" s="4">
        <v>20753</v>
      </c>
      <c r="E13" s="3">
        <v>3197.22645518331</v>
      </c>
      <c r="F13" s="3">
        <v>329660</v>
      </c>
      <c r="G13" s="52">
        <v>62.952739185827816</v>
      </c>
    </row>
    <row r="14" spans="2:7" s="7" customFormat="1" ht="20.25" customHeight="1" x14ac:dyDescent="0.2">
      <c r="B14" s="9" t="s">
        <v>12</v>
      </c>
      <c r="C14" s="3">
        <v>1477391.7130522283</v>
      </c>
      <c r="D14" s="4">
        <v>36285</v>
      </c>
      <c r="E14" s="3">
        <v>3132.0247041100442</v>
      </c>
      <c r="F14" s="3">
        <v>989628</v>
      </c>
      <c r="G14" s="52">
        <v>36.665292412906666</v>
      </c>
    </row>
    <row r="15" spans="2:7" s="7" customFormat="1" ht="20.25" customHeight="1" x14ac:dyDescent="0.2">
      <c r="B15" s="9" t="s">
        <v>13</v>
      </c>
      <c r="C15" s="3">
        <v>1096267.474032958</v>
      </c>
      <c r="D15" s="4">
        <v>30060</v>
      </c>
      <c r="E15" s="3">
        <v>2805.3315779542409</v>
      </c>
      <c r="F15" s="3">
        <v>344810</v>
      </c>
      <c r="G15" s="52">
        <v>87.178446100751131</v>
      </c>
    </row>
    <row r="16" spans="2:7" s="7" customFormat="1" ht="20.25" customHeight="1" x14ac:dyDescent="0.2">
      <c r="B16" s="9" t="s">
        <v>14</v>
      </c>
      <c r="C16" s="3">
        <v>1317723.2918900619</v>
      </c>
      <c r="D16" s="4">
        <v>36499</v>
      </c>
      <c r="E16" s="3">
        <v>2777.1536246305209</v>
      </c>
      <c r="F16" s="3">
        <v>486638</v>
      </c>
      <c r="G16" s="52">
        <v>75.002363152898042</v>
      </c>
    </row>
    <row r="17" spans="2:7" s="7" customFormat="1" ht="20.25" customHeight="1" x14ac:dyDescent="0.2">
      <c r="B17" s="9" t="s">
        <v>15</v>
      </c>
      <c r="C17" s="3">
        <v>551192.51903107972</v>
      </c>
      <c r="D17" s="4">
        <v>14483</v>
      </c>
      <c r="E17" s="3">
        <v>2927.530521359683</v>
      </c>
      <c r="F17" s="3">
        <v>244680</v>
      </c>
      <c r="G17" s="52">
        <v>59.191597188164138</v>
      </c>
    </row>
    <row r="18" spans="2:7" s="7" customFormat="1" ht="20.25" customHeight="1" x14ac:dyDescent="0.2">
      <c r="B18" s="9" t="s">
        <v>16</v>
      </c>
      <c r="C18" s="3">
        <v>712696.20940200659</v>
      </c>
      <c r="D18" s="4">
        <v>17511</v>
      </c>
      <c r="E18" s="3">
        <v>3130.7626828060015</v>
      </c>
      <c r="F18" s="3">
        <v>202756</v>
      </c>
      <c r="G18" s="52">
        <v>86.364891791118396</v>
      </c>
    </row>
    <row r="19" spans="2:7" s="7" customFormat="1" ht="20.25" customHeight="1" x14ac:dyDescent="0.2">
      <c r="B19" s="9" t="s">
        <v>17</v>
      </c>
      <c r="C19" s="3">
        <v>1537343.8405384058</v>
      </c>
      <c r="D19" s="4">
        <v>39668</v>
      </c>
      <c r="E19" s="3">
        <v>2981.1742085044443</v>
      </c>
      <c r="F19" s="3">
        <v>1348846</v>
      </c>
      <c r="G19" s="52">
        <v>29.408842818231289</v>
      </c>
    </row>
    <row r="20" spans="2:7" s="7" customFormat="1" ht="20.25" customHeight="1" x14ac:dyDescent="0.2">
      <c r="B20" s="9" t="s">
        <v>18</v>
      </c>
      <c r="C20" s="3">
        <v>951281.20654087584</v>
      </c>
      <c r="D20" s="4">
        <v>29009</v>
      </c>
      <c r="E20" s="3">
        <v>2522.5094772733019</v>
      </c>
      <c r="F20" s="3">
        <v>729421</v>
      </c>
      <c r="G20" s="52">
        <v>39.769899687560411</v>
      </c>
    </row>
    <row r="21" spans="2:7" s="7" customFormat="1" ht="20.25" customHeight="1" x14ac:dyDescent="0.2">
      <c r="B21" s="9" t="s">
        <v>19</v>
      </c>
      <c r="C21" s="3">
        <v>1177019.3192184214</v>
      </c>
      <c r="D21" s="4">
        <v>24492</v>
      </c>
      <c r="E21" s="3">
        <v>3696.71515728345</v>
      </c>
      <c r="F21" s="3">
        <v>342421</v>
      </c>
      <c r="G21" s="52">
        <v>71.525987015983262</v>
      </c>
    </row>
    <row r="22" spans="2:7" s="7" customFormat="1" ht="20.25" customHeight="1" x14ac:dyDescent="0.2">
      <c r="B22" s="9" t="s">
        <v>20</v>
      </c>
      <c r="C22" s="3">
        <v>1331793.6891572264</v>
      </c>
      <c r="D22" s="4">
        <v>25256</v>
      </c>
      <c r="E22" s="3">
        <v>4056.2903229612657</v>
      </c>
      <c r="F22" s="3">
        <v>473802</v>
      </c>
      <c r="G22" s="52">
        <v>53.304967053748186</v>
      </c>
    </row>
    <row r="23" spans="2:7" s="7" customFormat="1" ht="20.25" customHeight="1" x14ac:dyDescent="0.2">
      <c r="B23" s="9" t="s">
        <v>21</v>
      </c>
      <c r="C23" s="3">
        <v>2206605.3453330798</v>
      </c>
      <c r="D23" s="4">
        <v>44273</v>
      </c>
      <c r="E23" s="3">
        <v>3833.9139592512192</v>
      </c>
      <c r="F23" s="3">
        <v>805549</v>
      </c>
      <c r="G23" s="52">
        <v>54.960033467858565</v>
      </c>
    </row>
    <row r="24" spans="2:7" s="7" customFormat="1" ht="20.25" customHeight="1" x14ac:dyDescent="0.2">
      <c r="B24" s="9" t="s">
        <v>22</v>
      </c>
      <c r="C24" s="3">
        <v>924363.92481238791</v>
      </c>
      <c r="D24" s="4">
        <v>19459</v>
      </c>
      <c r="E24" s="3">
        <v>3654.0889713377155</v>
      </c>
      <c r="F24" s="3">
        <v>512894</v>
      </c>
      <c r="G24" s="52">
        <v>37.939613253420781</v>
      </c>
    </row>
    <row r="25" spans="2:7" s="7" customFormat="1" ht="20.25" customHeight="1" x14ac:dyDescent="0.2">
      <c r="B25" s="9" t="s">
        <v>23</v>
      </c>
      <c r="C25" s="3">
        <v>675990.82522679598</v>
      </c>
      <c r="D25" s="4">
        <v>15929</v>
      </c>
      <c r="E25" s="3">
        <v>3264.4418512282673</v>
      </c>
      <c r="F25" s="3">
        <v>262814</v>
      </c>
      <c r="G25" s="52">
        <v>60.609404369630234</v>
      </c>
    </row>
    <row r="26" spans="2:7" s="7" customFormat="1" ht="20.25" customHeight="1" x14ac:dyDescent="0.2">
      <c r="B26" s="9" t="s">
        <v>24</v>
      </c>
      <c r="C26" s="3">
        <v>1099326.256047559</v>
      </c>
      <c r="D26" s="4">
        <v>15086</v>
      </c>
      <c r="E26" s="3">
        <v>5605.4327295177345</v>
      </c>
      <c r="F26" s="3">
        <v>146343</v>
      </c>
      <c r="G26" s="52">
        <v>103.08658425753197</v>
      </c>
    </row>
    <row r="27" spans="2:7" s="7" customFormat="1" ht="20.25" customHeight="1" x14ac:dyDescent="0.2">
      <c r="B27" s="9" t="s">
        <v>25</v>
      </c>
      <c r="C27" s="3">
        <v>4142202.6041725213</v>
      </c>
      <c r="D27" s="4">
        <v>70778</v>
      </c>
      <c r="E27" s="3">
        <v>4501.8362987331147</v>
      </c>
      <c r="F27" s="3">
        <v>2701030</v>
      </c>
      <c r="G27" s="52">
        <v>26.204077703690814</v>
      </c>
    </row>
    <row r="28" spans="2:7" s="7" customFormat="1" ht="20.25" customHeight="1" x14ac:dyDescent="0.2">
      <c r="B28" s="9" t="s">
        <v>56</v>
      </c>
      <c r="C28" s="3">
        <v>886435.02783133707</v>
      </c>
      <c r="D28" s="4">
        <v>30528</v>
      </c>
      <c r="E28" s="3">
        <v>2233.5989856256479</v>
      </c>
      <c r="F28" s="3">
        <v>653337</v>
      </c>
      <c r="G28" s="52">
        <v>46.726268372983618</v>
      </c>
    </row>
    <row r="29" spans="2:7" s="7" customFormat="1" ht="20.25" customHeight="1" x14ac:dyDescent="0.2">
      <c r="B29" s="9" t="s">
        <v>26</v>
      </c>
      <c r="C29" s="3">
        <v>1668871.4671662438</v>
      </c>
      <c r="D29" s="4">
        <v>47326</v>
      </c>
      <c r="E29" s="3">
        <v>2712.5624021374556</v>
      </c>
      <c r="F29" s="3">
        <v>1102043</v>
      </c>
      <c r="G29" s="52">
        <v>42.94387787046422</v>
      </c>
    </row>
    <row r="30" spans="2:7" s="7" customFormat="1" ht="20.25" customHeight="1" thickBot="1" x14ac:dyDescent="0.25">
      <c r="B30" s="9" t="s">
        <v>55</v>
      </c>
      <c r="C30" s="3">
        <v>379288.96981051</v>
      </c>
      <c r="D30" s="4">
        <v>4146</v>
      </c>
      <c r="E30" s="3">
        <v>7037.1622288491217</v>
      </c>
      <c r="F30" s="3">
        <v>54934</v>
      </c>
      <c r="G30" s="52">
        <v>75.47238504387083</v>
      </c>
    </row>
    <row r="31" spans="2:7" s="7" customFormat="1" ht="26.25" customHeight="1" thickBot="1" x14ac:dyDescent="0.25">
      <c r="B31" s="50" t="s">
        <v>27</v>
      </c>
      <c r="C31" s="49">
        <v>46272030.804076381</v>
      </c>
      <c r="D31" s="49">
        <v>1061422</v>
      </c>
      <c r="E31" s="49">
        <v>3353.4136139339043</v>
      </c>
      <c r="F31" s="49">
        <v>31261467</v>
      </c>
      <c r="G31" s="53">
        <v>33.95304513380642</v>
      </c>
    </row>
    <row r="32" spans="2:7" ht="8.25" customHeight="1" x14ac:dyDescent="0.2"/>
    <row r="33" spans="2:7" x14ac:dyDescent="0.2">
      <c r="B33" s="55"/>
      <c r="C33" s="55"/>
      <c r="D33" s="55"/>
      <c r="E33" s="55"/>
      <c r="F33" s="55"/>
      <c r="G33" s="55"/>
    </row>
    <row r="34" spans="2:7" x14ac:dyDescent="0.2">
      <c r="B34" s="55"/>
      <c r="C34" s="55"/>
      <c r="D34" s="55"/>
      <c r="E34" s="55"/>
      <c r="F34" s="55"/>
      <c r="G34" s="55"/>
    </row>
    <row r="35" spans="2:7" x14ac:dyDescent="0.2">
      <c r="B35" s="55"/>
      <c r="C35" s="55"/>
      <c r="D35" s="55"/>
      <c r="E35" s="55"/>
      <c r="F35" s="55"/>
      <c r="G35" s="55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5"/>
      <c r="C38" s="55"/>
      <c r="D38" s="55"/>
      <c r="E38" s="55"/>
      <c r="F38" s="55"/>
      <c r="G38" s="55"/>
    </row>
    <row r="39" spans="2:7" x14ac:dyDescent="0.2">
      <c r="B39" s="55"/>
      <c r="C39" s="55"/>
      <c r="D39" s="55"/>
      <c r="E39" s="55"/>
      <c r="F39" s="55"/>
      <c r="G39" s="55"/>
    </row>
    <row r="40" spans="2:7" x14ac:dyDescent="0.2">
      <c r="B40" s="55"/>
      <c r="C40" s="55"/>
      <c r="D40" s="55"/>
      <c r="E40" s="55"/>
      <c r="F40" s="55"/>
      <c r="G40" s="55"/>
    </row>
    <row r="41" spans="2:7" x14ac:dyDescent="0.2">
      <c r="B41" s="55"/>
      <c r="C41" s="55"/>
      <c r="D41" s="55"/>
      <c r="E41" s="55"/>
      <c r="F41" s="55"/>
      <c r="G41" s="55"/>
    </row>
    <row r="42" spans="2:7" x14ac:dyDescent="0.2">
      <c r="B42" s="55"/>
      <c r="C42" s="55"/>
      <c r="D42" s="55"/>
      <c r="E42" s="55"/>
      <c r="F42" s="55"/>
      <c r="G42" s="55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15.42578125" style="1" customWidth="1"/>
    <col min="4" max="4" width="11.7109375" style="1" bestFit="1" customWidth="1"/>
    <col min="5" max="5" width="16.5703125" style="1" bestFit="1" customWidth="1"/>
    <col min="6" max="6" width="14.28515625" style="1" bestFit="1" customWidth="1"/>
    <col min="7" max="7" width="14.85546875" style="1" bestFit="1" customWidth="1"/>
    <col min="8" max="8" width="3.7109375" style="1" customWidth="1"/>
    <col min="9" max="16384" width="11.42578125" style="1"/>
  </cols>
  <sheetData>
    <row r="1" spans="2:7" ht="61.5" customHeight="1" x14ac:dyDescent="0.2">
      <c r="B1" s="54"/>
      <c r="C1" s="54"/>
      <c r="D1" s="54"/>
      <c r="E1" s="54"/>
      <c r="F1" s="54"/>
      <c r="G1" s="54"/>
    </row>
    <row r="2" spans="2:7" s="7" customFormat="1" ht="19.5" customHeight="1" x14ac:dyDescent="0.2">
      <c r="B2" s="56" t="s">
        <v>71</v>
      </c>
      <c r="C2" s="56"/>
      <c r="D2" s="56"/>
      <c r="E2" s="56"/>
      <c r="F2" s="56"/>
      <c r="G2" s="56"/>
    </row>
    <row r="3" spans="2:7" s="8" customFormat="1" ht="19.5" customHeight="1" x14ac:dyDescent="0.2">
      <c r="B3" s="57" t="s">
        <v>62</v>
      </c>
      <c r="C3" s="57"/>
      <c r="D3" s="57"/>
      <c r="E3" s="57"/>
      <c r="F3" s="57"/>
      <c r="G3" s="57"/>
    </row>
    <row r="4" spans="2:7" x14ac:dyDescent="0.2">
      <c r="B4" s="58" t="s">
        <v>29</v>
      </c>
      <c r="C4" s="58"/>
      <c r="D4" s="58"/>
      <c r="E4" s="58"/>
      <c r="F4" s="58"/>
      <c r="G4" s="58"/>
    </row>
    <row r="5" spans="2:7" ht="6" customHeight="1" thickBot="1" x14ac:dyDescent="0.25"/>
    <row r="6" spans="2:7" s="8" customFormat="1" ht="57.75" customHeight="1" thickBot="1" x14ac:dyDescent="0.25">
      <c r="B6" s="39" t="s">
        <v>1</v>
      </c>
      <c r="C6" s="40" t="s">
        <v>57</v>
      </c>
      <c r="D6" s="41" t="s">
        <v>2</v>
      </c>
      <c r="E6" s="40" t="s">
        <v>53</v>
      </c>
      <c r="F6" s="42" t="s">
        <v>3</v>
      </c>
      <c r="G6" s="43" t="s">
        <v>4</v>
      </c>
    </row>
    <row r="7" spans="2:7" s="7" customFormat="1" ht="20.25" customHeight="1" x14ac:dyDescent="0.2">
      <c r="B7" s="32" t="s">
        <v>5</v>
      </c>
      <c r="C7" s="3">
        <v>141508.07512764211</v>
      </c>
      <c r="D7" s="3">
        <v>87585</v>
      </c>
      <c r="E7" s="3">
        <f t="shared" ref="E7:E31" si="0">C7/D7*1000000/13</f>
        <v>124281.97235006178</v>
      </c>
      <c r="F7" s="3">
        <v>2946814</v>
      </c>
      <c r="G7" s="52">
        <v>29.721930193083107</v>
      </c>
    </row>
    <row r="8" spans="2:7" s="7" customFormat="1" ht="20.25" customHeight="1" x14ac:dyDescent="0.2">
      <c r="B8" s="27" t="s">
        <v>6</v>
      </c>
      <c r="C8" s="3">
        <v>334685.69249372161</v>
      </c>
      <c r="D8" s="3">
        <v>282480</v>
      </c>
      <c r="E8" s="3">
        <f t="shared" si="0"/>
        <v>91139.384270560098</v>
      </c>
      <c r="F8" s="3">
        <v>12282784</v>
      </c>
      <c r="G8" s="52">
        <v>22.998043440314511</v>
      </c>
    </row>
    <row r="9" spans="2:7" s="7" customFormat="1" ht="20.25" customHeight="1" x14ac:dyDescent="0.2">
      <c r="B9" s="27" t="s">
        <v>7</v>
      </c>
      <c r="C9" s="3">
        <v>19074.173802763136</v>
      </c>
      <c r="D9" s="3">
        <v>22615</v>
      </c>
      <c r="E9" s="3">
        <f t="shared" si="0"/>
        <v>64879.245574799359</v>
      </c>
      <c r="F9" s="3">
        <v>253111</v>
      </c>
      <c r="G9" s="52">
        <v>89.348151601471287</v>
      </c>
    </row>
    <row r="10" spans="2:7" s="7" customFormat="1" ht="20.25" customHeight="1" x14ac:dyDescent="0.2">
      <c r="B10" s="27" t="s">
        <v>8</v>
      </c>
      <c r="C10" s="3">
        <v>90086.249432097757</v>
      </c>
      <c r="D10" s="3">
        <v>79036</v>
      </c>
      <c r="E10" s="3">
        <f t="shared" si="0"/>
        <v>87677.912530704372</v>
      </c>
      <c r="F10" s="3">
        <v>2701401</v>
      </c>
      <c r="G10" s="52">
        <v>29.257411246978883</v>
      </c>
    </row>
    <row r="11" spans="2:7" s="7" customFormat="1" ht="20.25" customHeight="1" x14ac:dyDescent="0.2">
      <c r="B11" s="27" t="s">
        <v>9</v>
      </c>
      <c r="C11" s="3">
        <v>43845.828092065916</v>
      </c>
      <c r="D11" s="3">
        <v>38417</v>
      </c>
      <c r="E11" s="3">
        <f t="shared" si="0"/>
        <v>87793.320849675758</v>
      </c>
      <c r="F11" s="3">
        <v>758125</v>
      </c>
      <c r="G11" s="52">
        <v>50.673701566364386</v>
      </c>
    </row>
    <row r="12" spans="2:7" s="7" customFormat="1" ht="20.25" customHeight="1" x14ac:dyDescent="0.2">
      <c r="B12" s="27" t="s">
        <v>10</v>
      </c>
      <c r="C12" s="3">
        <v>46199.135249549683</v>
      </c>
      <c r="D12" s="3">
        <v>41776</v>
      </c>
      <c r="E12" s="3">
        <f t="shared" si="0"/>
        <v>85067.49412535294</v>
      </c>
      <c r="F12" s="3">
        <v>785423</v>
      </c>
      <c r="G12" s="52">
        <v>53.189173222581971</v>
      </c>
    </row>
    <row r="13" spans="2:7" s="7" customFormat="1" ht="20.25" customHeight="1" x14ac:dyDescent="0.2">
      <c r="B13" s="27" t="s">
        <v>11</v>
      </c>
      <c r="C13" s="3">
        <v>30035.630825779619</v>
      </c>
      <c r="D13" s="3">
        <v>20502</v>
      </c>
      <c r="E13" s="3">
        <f t="shared" si="0"/>
        <v>112693.06118644943</v>
      </c>
      <c r="F13" s="3">
        <v>338478</v>
      </c>
      <c r="G13" s="52">
        <v>60.571144948859306</v>
      </c>
    </row>
    <row r="14" spans="2:7" s="7" customFormat="1" ht="20.25" customHeight="1" x14ac:dyDescent="0.2">
      <c r="B14" s="27" t="s">
        <v>12</v>
      </c>
      <c r="C14" s="3">
        <v>44134.830725441119</v>
      </c>
      <c r="D14" s="3">
        <v>40805</v>
      </c>
      <c r="E14" s="3">
        <f t="shared" si="0"/>
        <v>83200.269057225494</v>
      </c>
      <c r="F14" s="3">
        <v>1000044</v>
      </c>
      <c r="G14" s="52">
        <v>40.803204658995007</v>
      </c>
    </row>
    <row r="15" spans="2:7" s="7" customFormat="1" ht="20.25" customHeight="1" x14ac:dyDescent="0.2">
      <c r="B15" s="27" t="s">
        <v>13</v>
      </c>
      <c r="C15" s="3">
        <v>33194.016747665723</v>
      </c>
      <c r="D15" s="3">
        <v>32809.97</v>
      </c>
      <c r="E15" s="3">
        <f t="shared" si="0"/>
        <v>77823.475719928843</v>
      </c>
      <c r="F15" s="3">
        <v>350892</v>
      </c>
      <c r="G15" s="52">
        <v>93.504468611424599</v>
      </c>
    </row>
    <row r="16" spans="2:7" s="7" customFormat="1" ht="20.25" customHeight="1" x14ac:dyDescent="0.2">
      <c r="B16" s="27" t="s">
        <v>14</v>
      </c>
      <c r="C16" s="3">
        <v>46240.421340031855</v>
      </c>
      <c r="D16" s="3">
        <v>36748</v>
      </c>
      <c r="E16" s="3">
        <f t="shared" si="0"/>
        <v>96793.172082691788</v>
      </c>
      <c r="F16" s="3">
        <v>495627</v>
      </c>
      <c r="G16" s="52">
        <v>74.14446751286755</v>
      </c>
    </row>
    <row r="17" spans="2:7" s="7" customFormat="1" ht="20.25" customHeight="1" x14ac:dyDescent="0.2">
      <c r="B17" s="27" t="s">
        <v>15</v>
      </c>
      <c r="C17" s="3">
        <v>15213.924342680122</v>
      </c>
      <c r="D17" s="3">
        <v>14892</v>
      </c>
      <c r="E17" s="3">
        <f t="shared" si="0"/>
        <v>78585.943628381385</v>
      </c>
      <c r="F17" s="3">
        <v>249697</v>
      </c>
      <c r="G17" s="52">
        <v>59.640284024237374</v>
      </c>
    </row>
    <row r="18" spans="2:7" s="7" customFormat="1" ht="20.25" customHeight="1" x14ac:dyDescent="0.2">
      <c r="B18" s="27" t="s">
        <v>16</v>
      </c>
      <c r="C18" s="3">
        <v>24895.512560749288</v>
      </c>
      <c r="D18" s="3">
        <v>20430</v>
      </c>
      <c r="E18" s="3">
        <f t="shared" si="0"/>
        <v>93736.63376162239</v>
      </c>
      <c r="F18" s="3">
        <v>208583</v>
      </c>
      <c r="G18" s="52">
        <v>97.946620769669636</v>
      </c>
    </row>
    <row r="19" spans="2:7" s="7" customFormat="1" ht="20.25" customHeight="1" x14ac:dyDescent="0.2">
      <c r="B19" s="27" t="s">
        <v>17</v>
      </c>
      <c r="C19" s="3">
        <v>40625.513034456555</v>
      </c>
      <c r="D19" s="3">
        <v>40747</v>
      </c>
      <c r="E19" s="3">
        <f t="shared" si="0"/>
        <v>76693.731175030451</v>
      </c>
      <c r="F19" s="3">
        <v>1366305</v>
      </c>
      <c r="G19" s="52">
        <v>29.822770172106523</v>
      </c>
    </row>
    <row r="20" spans="2:7" s="7" customFormat="1" ht="20.25" customHeight="1" x14ac:dyDescent="0.2">
      <c r="B20" s="27" t="s">
        <v>18</v>
      </c>
      <c r="C20" s="3">
        <v>27971.326301671052</v>
      </c>
      <c r="D20" s="3">
        <v>29407</v>
      </c>
      <c r="E20" s="3">
        <f t="shared" si="0"/>
        <v>73167.629637294769</v>
      </c>
      <c r="F20" s="3">
        <v>748457</v>
      </c>
      <c r="G20" s="52">
        <v>39.290166302138935</v>
      </c>
    </row>
    <row r="21" spans="2:7" s="7" customFormat="1" ht="20.25" customHeight="1" x14ac:dyDescent="0.2">
      <c r="B21" s="27" t="s">
        <v>19</v>
      </c>
      <c r="C21" s="3">
        <v>36785.906619614623</v>
      </c>
      <c r="D21" s="3">
        <v>25994</v>
      </c>
      <c r="E21" s="3">
        <f t="shared" si="0"/>
        <v>108859.16459897438</v>
      </c>
      <c r="F21" s="3">
        <v>356439</v>
      </c>
      <c r="G21" s="52">
        <v>72.926924382573176</v>
      </c>
    </row>
    <row r="22" spans="2:7" s="7" customFormat="1" ht="20.25" customHeight="1" x14ac:dyDescent="0.2">
      <c r="B22" s="27" t="s">
        <v>20</v>
      </c>
      <c r="C22" s="3">
        <v>42091.169246573634</v>
      </c>
      <c r="D22" s="3">
        <v>27402</v>
      </c>
      <c r="E22" s="3">
        <f t="shared" si="0"/>
        <v>118158.61067573293</v>
      </c>
      <c r="F22" s="3">
        <v>484725</v>
      </c>
      <c r="G22" s="52">
        <v>56.531022744855328</v>
      </c>
    </row>
    <row r="23" spans="2:7" s="7" customFormat="1" ht="20.25" customHeight="1" x14ac:dyDescent="0.2">
      <c r="B23" s="27" t="s">
        <v>21</v>
      </c>
      <c r="C23" s="3">
        <v>64695.303785562421</v>
      </c>
      <c r="D23" s="3">
        <v>45899</v>
      </c>
      <c r="E23" s="3">
        <f t="shared" si="0"/>
        <v>108424.18853697569</v>
      </c>
      <c r="F23" s="3">
        <v>824648</v>
      </c>
      <c r="G23" s="52">
        <v>55.65889931219138</v>
      </c>
    </row>
    <row r="24" spans="2:7" s="7" customFormat="1" ht="20.25" customHeight="1" x14ac:dyDescent="0.2">
      <c r="B24" s="27" t="s">
        <v>22</v>
      </c>
      <c r="C24" s="3">
        <v>26608.885315759399</v>
      </c>
      <c r="D24" s="3">
        <v>20837</v>
      </c>
      <c r="E24" s="3">
        <f t="shared" si="0"/>
        <v>98230.903296131495</v>
      </c>
      <c r="F24" s="3">
        <v>517606</v>
      </c>
      <c r="G24" s="52">
        <v>40.256488526021727</v>
      </c>
    </row>
    <row r="25" spans="2:7" s="7" customFormat="1" ht="20.25" customHeight="1" x14ac:dyDescent="0.2">
      <c r="B25" s="27" t="s">
        <v>23</v>
      </c>
      <c r="C25" s="3">
        <v>16328.648785698748</v>
      </c>
      <c r="D25" s="3">
        <v>15676</v>
      </c>
      <c r="E25" s="3">
        <f t="shared" si="0"/>
        <v>80125.663855078543</v>
      </c>
      <c r="F25" s="3">
        <v>270341</v>
      </c>
      <c r="G25" s="52">
        <v>57.986025057242522</v>
      </c>
    </row>
    <row r="26" spans="2:7" s="7" customFormat="1" ht="20.25" customHeight="1" x14ac:dyDescent="0.2">
      <c r="B26" s="27" t="s">
        <v>24</v>
      </c>
      <c r="C26" s="3">
        <v>30923.281771146299</v>
      </c>
      <c r="D26" s="3">
        <v>15521</v>
      </c>
      <c r="E26" s="3">
        <f t="shared" si="0"/>
        <v>153257.77864801683</v>
      </c>
      <c r="F26" s="3">
        <v>150706</v>
      </c>
      <c r="G26" s="52">
        <v>102.9886003211551</v>
      </c>
    </row>
    <row r="27" spans="2:7" s="7" customFormat="1" ht="20.25" customHeight="1" x14ac:dyDescent="0.2">
      <c r="B27" s="27" t="s">
        <v>25</v>
      </c>
      <c r="C27" s="3">
        <v>102245.00307909721</v>
      </c>
      <c r="D27" s="3">
        <v>73955</v>
      </c>
      <c r="E27" s="3">
        <f t="shared" si="0"/>
        <v>106348.45834431252</v>
      </c>
      <c r="F27" s="3">
        <v>2728686</v>
      </c>
      <c r="G27" s="52">
        <v>27.102788668245449</v>
      </c>
    </row>
    <row r="28" spans="2:7" s="7" customFormat="1" ht="20.25" customHeight="1" x14ac:dyDescent="0.2">
      <c r="B28" s="27" t="s">
        <v>56</v>
      </c>
      <c r="C28" s="3">
        <v>26072.166139491172</v>
      </c>
      <c r="D28" s="3">
        <v>30691</v>
      </c>
      <c r="E28" s="3">
        <f t="shared" si="0"/>
        <v>65346.558974921667</v>
      </c>
      <c r="F28" s="3">
        <v>659315</v>
      </c>
      <c r="G28" s="52">
        <v>46.549828230815315</v>
      </c>
    </row>
    <row r="29" spans="2:7" s="7" customFormat="1" ht="20.25" customHeight="1" x14ac:dyDescent="0.2">
      <c r="B29" s="27" t="s">
        <v>26</v>
      </c>
      <c r="C29" s="3">
        <v>55860.08042237776</v>
      </c>
      <c r="D29" s="3">
        <v>47548</v>
      </c>
      <c r="E29" s="3">
        <f t="shared" si="0"/>
        <v>90370.34708630915</v>
      </c>
      <c r="F29" s="3">
        <v>1115968</v>
      </c>
      <c r="G29" s="52">
        <v>42.606956471870163</v>
      </c>
    </row>
    <row r="30" spans="2:7" s="7" customFormat="1" ht="20.25" customHeight="1" thickBot="1" x14ac:dyDescent="0.25">
      <c r="B30" s="27" t="s">
        <v>55</v>
      </c>
      <c r="C30" s="3">
        <v>11993.609285070761</v>
      </c>
      <c r="D30" s="3">
        <v>4522</v>
      </c>
      <c r="E30" s="3">
        <f t="shared" si="0"/>
        <v>204021.52357824586</v>
      </c>
      <c r="F30" s="3">
        <v>59520</v>
      </c>
      <c r="G30" s="52">
        <v>75.974462365591393</v>
      </c>
    </row>
    <row r="31" spans="2:7" s="7" customFormat="1" ht="26.25" customHeight="1" thickBot="1" x14ac:dyDescent="0.25">
      <c r="B31" s="50" t="s">
        <v>27</v>
      </c>
      <c r="C31" s="49">
        <f>SUM(C7:C30)</f>
        <v>1351314.3845267072</v>
      </c>
      <c r="D31" s="49">
        <v>1096294.97</v>
      </c>
      <c r="E31" s="49">
        <f t="shared" si="0"/>
        <v>94816.872459250866</v>
      </c>
      <c r="F31" s="49">
        <v>31653695</v>
      </c>
      <c r="G31" s="53">
        <v>34.634028349612898</v>
      </c>
    </row>
    <row r="32" spans="2:7" ht="8.25" customHeight="1" x14ac:dyDescent="0.2"/>
    <row r="33" spans="2:7" x14ac:dyDescent="0.2">
      <c r="B33" s="55"/>
      <c r="C33" s="55"/>
      <c r="D33" s="55"/>
      <c r="E33" s="55"/>
      <c r="F33" s="55"/>
      <c r="G33" s="55"/>
    </row>
    <row r="34" spans="2:7" x14ac:dyDescent="0.2">
      <c r="B34" s="55"/>
      <c r="C34" s="55"/>
      <c r="D34" s="55"/>
      <c r="E34" s="55"/>
      <c r="F34" s="55"/>
      <c r="G34" s="55"/>
    </row>
    <row r="35" spans="2:7" x14ac:dyDescent="0.2">
      <c r="B35" s="55"/>
      <c r="C35" s="55"/>
      <c r="D35" s="55"/>
      <c r="E35" s="55"/>
      <c r="F35" s="55"/>
      <c r="G35" s="55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5"/>
      <c r="C38" s="55"/>
      <c r="D38" s="55"/>
      <c r="E38" s="55"/>
      <c r="F38" s="55"/>
      <c r="G38" s="55"/>
    </row>
    <row r="39" spans="2:7" x14ac:dyDescent="0.2">
      <c r="B39" s="55"/>
      <c r="C39" s="55"/>
      <c r="D39" s="55"/>
      <c r="E39" s="55"/>
      <c r="F39" s="55"/>
      <c r="G39" s="55"/>
    </row>
    <row r="40" spans="2:7" x14ac:dyDescent="0.2">
      <c r="B40" s="55"/>
      <c r="C40" s="55"/>
      <c r="D40" s="55"/>
      <c r="E40" s="55"/>
      <c r="F40" s="55"/>
      <c r="G40" s="55"/>
    </row>
    <row r="41" spans="2:7" x14ac:dyDescent="0.2">
      <c r="B41" s="55"/>
      <c r="C41" s="55"/>
      <c r="D41" s="55"/>
      <c r="E41" s="55"/>
      <c r="F41" s="55"/>
      <c r="G41" s="55"/>
    </row>
    <row r="42" spans="2:7" x14ac:dyDescent="0.2">
      <c r="B42" s="55"/>
      <c r="C42" s="55"/>
      <c r="D42" s="55"/>
      <c r="E42" s="55"/>
      <c r="F42" s="55"/>
      <c r="G42" s="55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" customWidth="1"/>
    <col min="2" max="2" width="27.140625" style="1" customWidth="1"/>
    <col min="3" max="3" width="15.42578125" style="1" customWidth="1"/>
    <col min="4" max="4" width="11.7109375" style="1" bestFit="1" customWidth="1"/>
    <col min="5" max="5" width="16.5703125" style="1" bestFit="1" customWidth="1"/>
    <col min="6" max="6" width="14.28515625" style="1" bestFit="1" customWidth="1"/>
    <col min="7" max="7" width="14.85546875" style="1" bestFit="1" customWidth="1"/>
    <col min="8" max="8" width="3.7109375" style="1" customWidth="1"/>
    <col min="9" max="16384" width="11.42578125" style="1"/>
  </cols>
  <sheetData>
    <row r="1" spans="2:7" ht="61.5" customHeight="1" x14ac:dyDescent="0.2">
      <c r="B1" s="54"/>
      <c r="C1" s="54"/>
      <c r="D1" s="54"/>
      <c r="E1" s="54"/>
      <c r="F1" s="54"/>
      <c r="G1" s="54"/>
    </row>
    <row r="2" spans="2:7" s="7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8" customFormat="1" ht="18.75" customHeight="1" x14ac:dyDescent="0.2">
      <c r="B3" s="57" t="s">
        <v>62</v>
      </c>
      <c r="C3" s="57"/>
      <c r="D3" s="57"/>
      <c r="E3" s="57"/>
      <c r="F3" s="57"/>
      <c r="G3" s="57"/>
    </row>
    <row r="4" spans="2:7" x14ac:dyDescent="0.2">
      <c r="B4" s="58" t="s">
        <v>30</v>
      </c>
      <c r="C4" s="58"/>
      <c r="D4" s="58"/>
      <c r="E4" s="58"/>
      <c r="F4" s="58"/>
      <c r="G4" s="58"/>
    </row>
    <row r="5" spans="2:7" ht="6" customHeight="1" thickBot="1" x14ac:dyDescent="0.25"/>
    <row r="6" spans="2:7" s="8" customFormat="1" ht="57.75" customHeight="1" thickBot="1" x14ac:dyDescent="0.25">
      <c r="B6" s="39" t="s">
        <v>1</v>
      </c>
      <c r="C6" s="40" t="s">
        <v>57</v>
      </c>
      <c r="D6" s="41" t="s">
        <v>2</v>
      </c>
      <c r="E6" s="40" t="s">
        <v>53</v>
      </c>
      <c r="F6" s="42" t="s">
        <v>3</v>
      </c>
      <c r="G6" s="43" t="s">
        <v>4</v>
      </c>
    </row>
    <row r="7" spans="2:7" s="7" customFormat="1" ht="20.25" customHeight="1" x14ac:dyDescent="0.2">
      <c r="B7" s="31" t="s">
        <v>5</v>
      </c>
      <c r="C7" s="3">
        <v>3176491.87</v>
      </c>
      <c r="D7" s="3">
        <v>89308</v>
      </c>
      <c r="E7" s="3">
        <v>2735987.0164099354</v>
      </c>
      <c r="F7" s="3">
        <v>2990748</v>
      </c>
      <c r="G7" s="52">
        <v>29.861425971027984</v>
      </c>
    </row>
    <row r="8" spans="2:7" s="7" customFormat="1" ht="20.25" customHeight="1" x14ac:dyDescent="0.2">
      <c r="B8" s="26" t="s">
        <v>6</v>
      </c>
      <c r="C8" s="3">
        <v>8353000</v>
      </c>
      <c r="D8" s="3">
        <v>287468</v>
      </c>
      <c r="E8" s="3">
        <v>2235165.1715615704</v>
      </c>
      <c r="F8" s="3">
        <v>12571714</v>
      </c>
      <c r="G8" s="52">
        <v>22.866253559379413</v>
      </c>
    </row>
    <row r="9" spans="2:7" s="7" customFormat="1" ht="20.25" customHeight="1" x14ac:dyDescent="0.2">
      <c r="B9" s="26" t="s">
        <v>7</v>
      </c>
      <c r="C9" s="3">
        <v>379091</v>
      </c>
      <c r="D9" s="3">
        <v>23971</v>
      </c>
      <c r="E9" s="3">
        <v>1216505.200193824</v>
      </c>
      <c r="F9" s="3">
        <v>261627</v>
      </c>
      <c r="G9" s="52">
        <v>91.622806514618148</v>
      </c>
    </row>
    <row r="10" spans="2:7" s="7" customFormat="1" ht="20.25" customHeight="1" x14ac:dyDescent="0.2">
      <c r="B10" s="26" t="s">
        <v>8</v>
      </c>
      <c r="C10" s="3">
        <v>2397946</v>
      </c>
      <c r="D10" s="3">
        <v>84075</v>
      </c>
      <c r="E10" s="3">
        <v>2193962.3504654723</v>
      </c>
      <c r="F10" s="3">
        <v>2763800</v>
      </c>
      <c r="G10" s="52">
        <v>30.420073811419059</v>
      </c>
    </row>
    <row r="11" spans="2:7" s="7" customFormat="1" ht="20.25" customHeight="1" x14ac:dyDescent="0.2">
      <c r="B11" s="26" t="s">
        <v>9</v>
      </c>
      <c r="C11" s="3">
        <v>735638</v>
      </c>
      <c r="D11" s="3">
        <v>40245</v>
      </c>
      <c r="E11" s="3">
        <v>1406076.2445406502</v>
      </c>
      <c r="F11" s="3">
        <v>791917</v>
      </c>
      <c r="G11" s="52">
        <v>50.819719743356941</v>
      </c>
    </row>
    <row r="12" spans="2:7" s="7" customFormat="1" ht="20.25" customHeight="1" x14ac:dyDescent="0.2">
      <c r="B12" s="26" t="s">
        <v>10</v>
      </c>
      <c r="C12" s="3">
        <v>1000486</v>
      </c>
      <c r="D12" s="3">
        <v>38404</v>
      </c>
      <c r="E12" s="3">
        <v>2003969.939028787</v>
      </c>
      <c r="F12" s="3">
        <v>836021</v>
      </c>
      <c r="G12" s="52">
        <v>45.936645132119892</v>
      </c>
    </row>
    <row r="13" spans="2:7" s="7" customFormat="1" ht="20.25" customHeight="1" x14ac:dyDescent="0.2">
      <c r="B13" s="26" t="s">
        <v>11</v>
      </c>
      <c r="C13" s="3">
        <v>516789</v>
      </c>
      <c r="D13" s="3">
        <v>20312</v>
      </c>
      <c r="E13" s="3">
        <v>1957118.9444663252</v>
      </c>
      <c r="F13" s="3">
        <v>351861</v>
      </c>
      <c r="G13" s="52">
        <v>57.727341194392103</v>
      </c>
    </row>
    <row r="14" spans="2:7" s="7" customFormat="1" ht="20.25" customHeight="1" x14ac:dyDescent="0.2">
      <c r="B14" s="26" t="s">
        <v>12</v>
      </c>
      <c r="C14" s="3">
        <v>1000013</v>
      </c>
      <c r="D14" s="3">
        <v>41855</v>
      </c>
      <c r="E14" s="3">
        <v>1837870.6707221817</v>
      </c>
      <c r="F14" s="3">
        <v>1020801</v>
      </c>
      <c r="G14" s="52">
        <v>41.002115005765084</v>
      </c>
    </row>
    <row r="15" spans="2:7" s="7" customFormat="1" ht="20.25" customHeight="1" x14ac:dyDescent="0.2">
      <c r="B15" s="26" t="s">
        <v>13</v>
      </c>
      <c r="C15" s="3">
        <v>723179</v>
      </c>
      <c r="D15" s="3">
        <v>34435.699999999997</v>
      </c>
      <c r="E15" s="3">
        <v>1615450.0662438648</v>
      </c>
      <c r="F15" s="3">
        <v>392789</v>
      </c>
      <c r="G15" s="52">
        <v>87.669715801613577</v>
      </c>
    </row>
    <row r="16" spans="2:7" s="7" customFormat="1" ht="20.25" customHeight="1" x14ac:dyDescent="0.2">
      <c r="B16" s="26" t="s">
        <v>14</v>
      </c>
      <c r="C16" s="3">
        <v>947778</v>
      </c>
      <c r="D16" s="3">
        <v>36748</v>
      </c>
      <c r="E16" s="3">
        <v>1983944.7044737127</v>
      </c>
      <c r="F16" s="3">
        <v>508078</v>
      </c>
      <c r="G16" s="52">
        <v>72.327477277110987</v>
      </c>
    </row>
    <row r="17" spans="2:7" s="7" customFormat="1" ht="20.25" customHeight="1" x14ac:dyDescent="0.2">
      <c r="B17" s="26" t="s">
        <v>15</v>
      </c>
      <c r="C17" s="3">
        <v>355654</v>
      </c>
      <c r="D17" s="3">
        <v>14423</v>
      </c>
      <c r="E17" s="3">
        <v>1896831.4497677321</v>
      </c>
      <c r="F17" s="3">
        <v>257903</v>
      </c>
      <c r="G17" s="52">
        <v>55.924126512681127</v>
      </c>
    </row>
    <row r="18" spans="2:7" s="7" customFormat="1" ht="20.25" customHeight="1" x14ac:dyDescent="0.2">
      <c r="B18" s="26" t="s">
        <v>16</v>
      </c>
      <c r="C18" s="3">
        <v>591391</v>
      </c>
      <c r="D18" s="3">
        <v>20613</v>
      </c>
      <c r="E18" s="3">
        <v>2206938.1159761017</v>
      </c>
      <c r="F18" s="3">
        <v>217482</v>
      </c>
      <c r="G18" s="52">
        <v>94.780257676497371</v>
      </c>
    </row>
    <row r="19" spans="2:7" s="7" customFormat="1" ht="20.25" customHeight="1" x14ac:dyDescent="0.2">
      <c r="B19" s="26" t="s">
        <v>17</v>
      </c>
      <c r="C19" s="3">
        <v>892000</v>
      </c>
      <c r="D19" s="3">
        <v>42020</v>
      </c>
      <c r="E19" s="3">
        <v>1632922.0517702191</v>
      </c>
      <c r="F19" s="3">
        <v>1407742</v>
      </c>
      <c r="G19" s="52">
        <v>29.849219530283246</v>
      </c>
    </row>
    <row r="20" spans="2:7" s="7" customFormat="1" ht="20.25" customHeight="1" x14ac:dyDescent="0.2">
      <c r="B20" s="26" t="s">
        <v>18</v>
      </c>
      <c r="C20" s="3">
        <v>703164</v>
      </c>
      <c r="D20" s="3">
        <v>32973</v>
      </c>
      <c r="E20" s="3">
        <v>1640419.0841457697</v>
      </c>
      <c r="F20" s="3">
        <v>778158</v>
      </c>
      <c r="G20" s="52">
        <v>42.373142729368588</v>
      </c>
    </row>
    <row r="21" spans="2:7" s="7" customFormat="1" ht="20.25" customHeight="1" x14ac:dyDescent="0.2">
      <c r="B21" s="26" t="s">
        <v>19</v>
      </c>
      <c r="C21" s="3">
        <v>745267</v>
      </c>
      <c r="D21" s="3">
        <v>26708</v>
      </c>
      <c r="E21" s="3">
        <v>2146481.6073547541</v>
      </c>
      <c r="F21" s="3">
        <v>377915</v>
      </c>
      <c r="G21" s="52">
        <v>70.671976502652711</v>
      </c>
    </row>
    <row r="22" spans="2:7" s="7" customFormat="1" ht="20.25" customHeight="1" x14ac:dyDescent="0.2">
      <c r="B22" s="26" t="s">
        <v>20</v>
      </c>
      <c r="C22" s="3">
        <v>876048</v>
      </c>
      <c r="D22" s="3">
        <v>28031</v>
      </c>
      <c r="E22" s="3">
        <v>2404063.6328460523</v>
      </c>
      <c r="F22" s="3">
        <v>500202</v>
      </c>
      <c r="G22" s="52">
        <v>56.039360098520199</v>
      </c>
    </row>
    <row r="23" spans="2:7" s="7" customFormat="1" ht="20.25" customHeight="1" x14ac:dyDescent="0.2">
      <c r="B23" s="26" t="s">
        <v>21</v>
      </c>
      <c r="C23" s="3">
        <v>1157429</v>
      </c>
      <c r="D23" s="3">
        <v>48479</v>
      </c>
      <c r="E23" s="3">
        <v>1836527.1560882032</v>
      </c>
      <c r="F23" s="3">
        <v>855851</v>
      </c>
      <c r="G23" s="52">
        <v>56.644205591861201</v>
      </c>
    </row>
    <row r="24" spans="2:7" s="7" customFormat="1" ht="20.25" customHeight="1" x14ac:dyDescent="0.2">
      <c r="B24" s="26" t="s">
        <v>22</v>
      </c>
      <c r="C24" s="3">
        <v>522948.4</v>
      </c>
      <c r="D24" s="3">
        <v>23087</v>
      </c>
      <c r="E24" s="3">
        <v>1742400.485121497</v>
      </c>
      <c r="F24" s="3">
        <v>528451</v>
      </c>
      <c r="G24" s="52">
        <v>43.688061901671112</v>
      </c>
    </row>
    <row r="25" spans="2:7" s="7" customFormat="1" ht="20.25" customHeight="1" x14ac:dyDescent="0.2">
      <c r="B25" s="26" t="s">
        <v>23</v>
      </c>
      <c r="C25" s="3">
        <v>363009</v>
      </c>
      <c r="D25" s="3">
        <v>15556</v>
      </c>
      <c r="E25" s="3">
        <v>1795048.1634590661</v>
      </c>
      <c r="F25" s="3">
        <v>282626</v>
      </c>
      <c r="G25" s="52">
        <v>55.040937493365789</v>
      </c>
    </row>
    <row r="26" spans="2:7" s="7" customFormat="1" ht="20.25" customHeight="1" x14ac:dyDescent="0.2">
      <c r="B26" s="26" t="s">
        <v>24</v>
      </c>
      <c r="C26" s="3">
        <v>603949</v>
      </c>
      <c r="D26" s="3">
        <v>15498</v>
      </c>
      <c r="E26" s="3">
        <v>2997652.3025303511</v>
      </c>
      <c r="F26" s="3">
        <v>157149</v>
      </c>
      <c r="G26" s="52">
        <v>98.619781226733863</v>
      </c>
    </row>
    <row r="27" spans="2:7" s="7" customFormat="1" ht="20.25" customHeight="1" x14ac:dyDescent="0.2">
      <c r="B27" s="26" t="s">
        <v>25</v>
      </c>
      <c r="C27" s="3">
        <v>2181521.5</v>
      </c>
      <c r="D27" s="3">
        <v>77625</v>
      </c>
      <c r="E27" s="3">
        <v>2161795.1195342499</v>
      </c>
      <c r="F27" s="3">
        <v>2798722</v>
      </c>
      <c r="G27" s="52">
        <v>27.735873730938621</v>
      </c>
    </row>
    <row r="28" spans="2:7" s="7" customFormat="1" ht="20.25" customHeight="1" x14ac:dyDescent="0.2">
      <c r="B28" s="26" t="s">
        <v>56</v>
      </c>
      <c r="C28" s="3">
        <v>614299</v>
      </c>
      <c r="D28" s="3">
        <v>30565</v>
      </c>
      <c r="E28" s="3">
        <v>1546009.135637796</v>
      </c>
      <c r="F28" s="3">
        <v>672092</v>
      </c>
      <c r="G28" s="52">
        <v>45.477404879093939</v>
      </c>
    </row>
    <row r="29" spans="2:7" s="7" customFormat="1" ht="20.25" customHeight="1" x14ac:dyDescent="0.2">
      <c r="B29" s="26" t="s">
        <v>26</v>
      </c>
      <c r="C29" s="3">
        <v>1137236</v>
      </c>
      <c r="D29" s="3">
        <v>44493</v>
      </c>
      <c r="E29" s="3">
        <v>1966145.0634412675</v>
      </c>
      <c r="F29" s="3">
        <v>1138585</v>
      </c>
      <c r="G29" s="52">
        <v>39.077451398007177</v>
      </c>
    </row>
    <row r="30" spans="2:7" s="7" customFormat="1" ht="20.25" customHeight="1" thickBot="1" x14ac:dyDescent="0.25">
      <c r="B30" s="26" t="s">
        <v>55</v>
      </c>
      <c r="C30" s="3">
        <v>220985</v>
      </c>
      <c r="D30" s="3">
        <v>6100</v>
      </c>
      <c r="E30" s="3">
        <v>2786696.0907944515</v>
      </c>
      <c r="F30" s="3">
        <v>64861</v>
      </c>
      <c r="G30" s="52">
        <v>94.047270316523026</v>
      </c>
    </row>
    <row r="31" spans="2:7" s="7" customFormat="1" ht="26.25" customHeight="1" thickBot="1" x14ac:dyDescent="0.25">
      <c r="B31" s="48" t="s">
        <v>27</v>
      </c>
      <c r="C31" s="49">
        <v>30195312.77</v>
      </c>
      <c r="D31" s="49">
        <v>1122992.7</v>
      </c>
      <c r="E31" s="49">
        <v>2068327.217908965</v>
      </c>
      <c r="F31" s="49">
        <v>32527095</v>
      </c>
      <c r="G31" s="53">
        <v>34.524838446224599</v>
      </c>
    </row>
    <row r="32" spans="2:7" ht="8.25" customHeight="1" x14ac:dyDescent="0.2"/>
    <row r="33" spans="2:7" x14ac:dyDescent="0.2">
      <c r="B33" s="55"/>
      <c r="C33" s="55"/>
      <c r="D33" s="55"/>
      <c r="E33" s="55"/>
      <c r="F33" s="55"/>
      <c r="G33" s="55"/>
    </row>
    <row r="34" spans="2:7" x14ac:dyDescent="0.2">
      <c r="B34" s="55"/>
      <c r="C34" s="55"/>
      <c r="D34" s="55"/>
      <c r="E34" s="55"/>
      <c r="F34" s="55"/>
      <c r="G34" s="55"/>
    </row>
    <row r="35" spans="2:7" x14ac:dyDescent="0.2">
      <c r="B35" s="55"/>
      <c r="C35" s="55"/>
      <c r="D35" s="55"/>
      <c r="E35" s="55"/>
      <c r="F35" s="55"/>
      <c r="G35" s="55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5"/>
      <c r="C38" s="55"/>
      <c r="D38" s="55"/>
      <c r="E38" s="55"/>
      <c r="F38" s="55"/>
      <c r="G38" s="55"/>
    </row>
    <row r="39" spans="2:7" x14ac:dyDescent="0.2">
      <c r="B39" s="55"/>
      <c r="C39" s="55"/>
      <c r="D39" s="55"/>
      <c r="E39" s="55"/>
      <c r="F39" s="55"/>
      <c r="G39" s="55"/>
    </row>
    <row r="40" spans="2:7" x14ac:dyDescent="0.2">
      <c r="B40" s="55"/>
      <c r="C40" s="55"/>
      <c r="D40" s="55"/>
      <c r="E40" s="55"/>
      <c r="F40" s="55"/>
      <c r="G40" s="55"/>
    </row>
    <row r="41" spans="2:7" x14ac:dyDescent="0.2">
      <c r="B41" s="55"/>
      <c r="C41" s="55"/>
      <c r="D41" s="55"/>
      <c r="E41" s="55"/>
      <c r="F41" s="55"/>
      <c r="G41" s="55"/>
    </row>
    <row r="42" spans="2:7" x14ac:dyDescent="0.2">
      <c r="B42" s="55"/>
      <c r="C42" s="55"/>
      <c r="D42" s="55"/>
      <c r="E42" s="55"/>
      <c r="F42" s="55"/>
      <c r="G42" s="55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B1:G45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31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59</v>
      </c>
      <c r="D6" s="36" t="s">
        <v>2</v>
      </c>
      <c r="E6" s="35" t="s">
        <v>52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800.87152400000002</v>
      </c>
      <c r="D7" s="2">
        <v>88567</v>
      </c>
      <c r="E7" s="2">
        <f>+C7/D7/13*1000000</f>
        <v>695.58076762398923</v>
      </c>
      <c r="F7" s="2">
        <v>3009198</v>
      </c>
      <c r="G7" s="52">
        <v>29.432094531499757</v>
      </c>
    </row>
    <row r="8" spans="2:7" s="12" customFormat="1" ht="20.25" customHeight="1" x14ac:dyDescent="0.2">
      <c r="B8" s="13" t="s">
        <v>6</v>
      </c>
      <c r="C8" s="2">
        <v>2212</v>
      </c>
      <c r="D8" s="2">
        <v>282680</v>
      </c>
      <c r="E8" s="2">
        <f t="shared" ref="E8:E30" si="0">+C8/D8/13*1000000</f>
        <v>601.93096842311502</v>
      </c>
      <c r="F8" s="2">
        <v>12736080</v>
      </c>
      <c r="G8" s="52">
        <v>22.19521234163102</v>
      </c>
    </row>
    <row r="9" spans="2:7" s="12" customFormat="1" ht="20.25" customHeight="1" x14ac:dyDescent="0.2">
      <c r="B9" s="13" t="s">
        <v>7</v>
      </c>
      <c r="C9" s="2">
        <v>111.3068</v>
      </c>
      <c r="D9" s="2">
        <v>22480</v>
      </c>
      <c r="E9" s="2">
        <f t="shared" si="0"/>
        <v>380.87462359704352</v>
      </c>
      <c r="F9" s="2">
        <v>266500</v>
      </c>
      <c r="G9" s="52">
        <v>84.352720450281424</v>
      </c>
    </row>
    <row r="10" spans="2:7" s="12" customFormat="1" ht="20.25" customHeight="1" x14ac:dyDescent="0.2">
      <c r="B10" s="13" t="s">
        <v>8</v>
      </c>
      <c r="C10" s="2">
        <v>676.21</v>
      </c>
      <c r="D10" s="2">
        <v>79923</v>
      </c>
      <c r="E10" s="2">
        <f t="shared" si="0"/>
        <v>650.82834535933148</v>
      </c>
      <c r="F10" s="2">
        <v>2798529</v>
      </c>
      <c r="G10" s="52">
        <v>28.558932210457709</v>
      </c>
    </row>
    <row r="11" spans="2:7" s="12" customFormat="1" ht="20.25" customHeight="1" x14ac:dyDescent="0.2">
      <c r="B11" s="13" t="s">
        <v>9</v>
      </c>
      <c r="C11" s="2">
        <v>223.86329999999998</v>
      </c>
      <c r="D11" s="2">
        <v>39353.65</v>
      </c>
      <c r="E11" s="2">
        <f t="shared" si="0"/>
        <v>437.577044217089</v>
      </c>
      <c r="F11" s="2">
        <v>804347</v>
      </c>
      <c r="G11" s="52">
        <v>48.926209707999163</v>
      </c>
    </row>
    <row r="12" spans="2:7" s="12" customFormat="1" ht="20.25" customHeight="1" x14ac:dyDescent="0.2">
      <c r="B12" s="13" t="s">
        <v>10</v>
      </c>
      <c r="C12" s="2">
        <v>265.78949999999998</v>
      </c>
      <c r="D12" s="2">
        <v>35596</v>
      </c>
      <c r="E12" s="2">
        <f t="shared" si="0"/>
        <v>574.37201241280343</v>
      </c>
      <c r="F12" s="2">
        <v>847880</v>
      </c>
      <c r="G12" s="52">
        <v>41.9823559937727</v>
      </c>
    </row>
    <row r="13" spans="2:7" s="12" customFormat="1" ht="20.25" customHeight="1" x14ac:dyDescent="0.2">
      <c r="B13" s="13" t="s">
        <v>11</v>
      </c>
      <c r="C13" s="2">
        <v>159.2499</v>
      </c>
      <c r="D13" s="2">
        <v>18338</v>
      </c>
      <c r="E13" s="2">
        <f t="shared" si="0"/>
        <v>668.01135934629235</v>
      </c>
      <c r="F13" s="2">
        <v>359800</v>
      </c>
      <c r="G13" s="52">
        <v>50.967204002223461</v>
      </c>
    </row>
    <row r="14" spans="2:7" s="12" customFormat="1" ht="20.25" customHeight="1" x14ac:dyDescent="0.2">
      <c r="B14" s="13" t="s">
        <v>12</v>
      </c>
      <c r="C14" s="2">
        <v>291.92779999999999</v>
      </c>
      <c r="D14" s="2">
        <v>43247</v>
      </c>
      <c r="E14" s="2">
        <f t="shared" si="0"/>
        <v>519.24953442746585</v>
      </c>
      <c r="F14" s="2">
        <v>1031896</v>
      </c>
      <c r="G14" s="52">
        <v>41.910231263615714</v>
      </c>
    </row>
    <row r="15" spans="2:7" s="12" customFormat="1" ht="20.25" customHeight="1" x14ac:dyDescent="0.2">
      <c r="B15" s="13" t="s">
        <v>13</v>
      </c>
      <c r="C15" s="2">
        <v>270.09067749999997</v>
      </c>
      <c r="D15" s="2">
        <v>30699</v>
      </c>
      <c r="E15" s="2">
        <f t="shared" si="0"/>
        <v>676.7714245264815</v>
      </c>
      <c r="F15" s="2">
        <v>401846</v>
      </c>
      <c r="G15" s="52">
        <v>76.394937364064845</v>
      </c>
    </row>
    <row r="16" spans="2:7" s="12" customFormat="1" ht="20.25" customHeight="1" x14ac:dyDescent="0.2">
      <c r="B16" s="13" t="s">
        <v>14</v>
      </c>
      <c r="C16" s="2">
        <v>210.18105</v>
      </c>
      <c r="D16" s="2">
        <v>27489</v>
      </c>
      <c r="E16" s="2">
        <f t="shared" si="0"/>
        <v>588.15428269209781</v>
      </c>
      <c r="F16" s="2">
        <v>516663</v>
      </c>
      <c r="G16" s="52">
        <v>53.204893712148923</v>
      </c>
    </row>
    <row r="17" spans="2:7" s="12" customFormat="1" ht="20.25" customHeight="1" x14ac:dyDescent="0.2">
      <c r="B17" s="13" t="s">
        <v>15</v>
      </c>
      <c r="C17" s="2">
        <v>100.9875</v>
      </c>
      <c r="D17" s="2">
        <v>14184</v>
      </c>
      <c r="E17" s="2">
        <f t="shared" si="0"/>
        <v>547.67831576207209</v>
      </c>
      <c r="F17" s="2">
        <v>262366</v>
      </c>
      <c r="G17" s="52">
        <v>54.061883018378907</v>
      </c>
    </row>
    <row r="18" spans="2:7" s="12" customFormat="1" ht="20.25" customHeight="1" x14ac:dyDescent="0.2">
      <c r="B18" s="13" t="s">
        <v>16</v>
      </c>
      <c r="C18" s="2">
        <v>187.5711</v>
      </c>
      <c r="D18" s="2">
        <v>21122</v>
      </c>
      <c r="E18" s="2">
        <f t="shared" si="0"/>
        <v>683.10511096705591</v>
      </c>
      <c r="F18" s="2">
        <v>222484</v>
      </c>
      <c r="G18" s="52">
        <v>94.937164020783513</v>
      </c>
    </row>
    <row r="19" spans="2:7" s="12" customFormat="1" ht="20.25" customHeight="1" x14ac:dyDescent="0.2">
      <c r="B19" s="13" t="s">
        <v>17</v>
      </c>
      <c r="C19" s="2">
        <v>305.26089999999999</v>
      </c>
      <c r="D19" s="2">
        <v>41674</v>
      </c>
      <c r="E19" s="2">
        <f t="shared" si="0"/>
        <v>563.45941575821121</v>
      </c>
      <c r="F19" s="2">
        <v>1427704</v>
      </c>
      <c r="G19" s="52">
        <v>29.189523878899269</v>
      </c>
    </row>
    <row r="20" spans="2:7" s="12" customFormat="1" ht="20.25" customHeight="1" x14ac:dyDescent="0.2">
      <c r="B20" s="13" t="s">
        <v>18</v>
      </c>
      <c r="C20" s="2">
        <v>185.56810000000002</v>
      </c>
      <c r="D20" s="2">
        <v>32763</v>
      </c>
      <c r="E20" s="2">
        <f t="shared" si="0"/>
        <v>435.6887107642533</v>
      </c>
      <c r="F20" s="2">
        <v>795912</v>
      </c>
      <c r="G20" s="52">
        <v>41.164098543557579</v>
      </c>
    </row>
    <row r="21" spans="2:7" s="12" customFormat="1" ht="20.25" customHeight="1" x14ac:dyDescent="0.2">
      <c r="B21" s="13" t="s">
        <v>19</v>
      </c>
      <c r="C21" s="2">
        <v>253.62379999999999</v>
      </c>
      <c r="D21" s="2">
        <v>28101</v>
      </c>
      <c r="E21" s="2">
        <f t="shared" si="0"/>
        <v>694.26437055347048</v>
      </c>
      <c r="F21" s="2">
        <v>390980</v>
      </c>
      <c r="G21" s="52">
        <v>71.873241598035705</v>
      </c>
    </row>
    <row r="22" spans="2:7" s="12" customFormat="1" ht="20.25" customHeight="1" x14ac:dyDescent="0.2">
      <c r="B22" s="13" t="s">
        <v>20</v>
      </c>
      <c r="C22" s="2">
        <v>223.1147</v>
      </c>
      <c r="D22" s="2">
        <v>29213</v>
      </c>
      <c r="E22" s="2">
        <f t="shared" si="0"/>
        <v>587.50108618660295</v>
      </c>
      <c r="F22" s="2">
        <v>510472</v>
      </c>
      <c r="G22" s="52">
        <v>57.22742873262392</v>
      </c>
    </row>
    <row r="23" spans="2:7" s="12" customFormat="1" ht="20.25" customHeight="1" x14ac:dyDescent="0.2">
      <c r="B23" s="13" t="s">
        <v>21</v>
      </c>
      <c r="C23" s="2">
        <v>326.58240000000001</v>
      </c>
      <c r="D23" s="2">
        <v>42940</v>
      </c>
      <c r="E23" s="2">
        <f t="shared" si="0"/>
        <v>585.04245637920542</v>
      </c>
      <c r="F23" s="2">
        <v>873384</v>
      </c>
      <c r="G23" s="52">
        <v>49.165086605662573</v>
      </c>
    </row>
    <row r="24" spans="2:7" s="12" customFormat="1" ht="20.25" customHeight="1" x14ac:dyDescent="0.2">
      <c r="B24" s="13" t="s">
        <v>22</v>
      </c>
      <c r="C24" s="2">
        <v>183.04400000000001</v>
      </c>
      <c r="D24" s="2">
        <v>23418</v>
      </c>
      <c r="E24" s="2">
        <f t="shared" si="0"/>
        <v>601.26004322776043</v>
      </c>
      <c r="F24" s="2">
        <v>534458</v>
      </c>
      <c r="G24" s="52">
        <v>43.816352267156631</v>
      </c>
    </row>
    <row r="25" spans="2:7" s="12" customFormat="1" ht="20.25" customHeight="1" x14ac:dyDescent="0.2">
      <c r="B25" s="13" t="s">
        <v>23</v>
      </c>
      <c r="C25" s="2">
        <v>113.26690000000001</v>
      </c>
      <c r="D25" s="2">
        <v>15359</v>
      </c>
      <c r="E25" s="2">
        <f t="shared" si="0"/>
        <v>567.27901956758001</v>
      </c>
      <c r="F25" s="2">
        <v>289166</v>
      </c>
      <c r="G25" s="52">
        <v>53.114819861256166</v>
      </c>
    </row>
    <row r="26" spans="2:7" s="12" customFormat="1" ht="20.25" customHeight="1" x14ac:dyDescent="0.2">
      <c r="B26" s="13" t="s">
        <v>24</v>
      </c>
      <c r="C26" s="2">
        <v>150.64849999999998</v>
      </c>
      <c r="D26" s="2">
        <v>17070</v>
      </c>
      <c r="E26" s="2">
        <f t="shared" si="0"/>
        <v>678.87206525167846</v>
      </c>
      <c r="F26" s="2">
        <v>161078</v>
      </c>
      <c r="G26" s="52">
        <v>105.97350352003377</v>
      </c>
    </row>
    <row r="27" spans="2:7" s="12" customFormat="1" ht="20.25" customHeight="1" x14ac:dyDescent="0.2">
      <c r="B27" s="13" t="s">
        <v>25</v>
      </c>
      <c r="C27" s="2">
        <v>650.27549999999997</v>
      </c>
      <c r="D27" s="2">
        <v>82834</v>
      </c>
      <c r="E27" s="2">
        <f t="shared" si="0"/>
        <v>603.872712988535</v>
      </c>
      <c r="F27" s="2">
        <v>2831416</v>
      </c>
      <c r="G27" s="52">
        <v>29.255326663407988</v>
      </c>
    </row>
    <row r="28" spans="2:7" s="12" customFormat="1" ht="20.25" customHeight="1" x14ac:dyDescent="0.2">
      <c r="B28" s="13" t="s">
        <v>56</v>
      </c>
      <c r="C28" s="2">
        <v>193.03119999999998</v>
      </c>
      <c r="D28" s="2">
        <v>30973</v>
      </c>
      <c r="E28" s="2">
        <f t="shared" si="0"/>
        <v>479.40315262176233</v>
      </c>
      <c r="F28" s="2">
        <v>678874</v>
      </c>
      <c r="G28" s="52">
        <v>45.624077516593658</v>
      </c>
    </row>
    <row r="29" spans="2:7" s="12" customFormat="1" ht="20.25" customHeight="1" x14ac:dyDescent="0.2">
      <c r="B29" s="13" t="s">
        <v>26</v>
      </c>
      <c r="C29" s="2">
        <v>257.57890000000003</v>
      </c>
      <c r="D29" s="2">
        <v>44032</v>
      </c>
      <c r="E29" s="2">
        <f t="shared" si="0"/>
        <v>449.98550005590346</v>
      </c>
      <c r="F29" s="2">
        <v>1154196</v>
      </c>
      <c r="G29" s="52">
        <v>38.149499738346002</v>
      </c>
    </row>
    <row r="30" spans="2:7" s="12" customFormat="1" ht="20.25" customHeight="1" thickBot="1" x14ac:dyDescent="0.25">
      <c r="B30" s="13" t="s">
        <v>55</v>
      </c>
      <c r="C30" s="2">
        <v>79</v>
      </c>
      <c r="D30" s="2">
        <v>5708</v>
      </c>
      <c r="E30" s="2">
        <f t="shared" si="0"/>
        <v>1064.6326343593337</v>
      </c>
      <c r="F30" s="2">
        <v>68555</v>
      </c>
      <c r="G30" s="52">
        <v>83.261614761870035</v>
      </c>
    </row>
    <row r="31" spans="2:7" s="12" customFormat="1" ht="26.25" customHeight="1" thickBot="1" x14ac:dyDescent="0.25">
      <c r="B31" s="44" t="s">
        <v>27</v>
      </c>
      <c r="C31" s="46">
        <f>+SUM(C7:C30)</f>
        <v>8431.0440515000028</v>
      </c>
      <c r="D31" s="46">
        <f>+SUM(D7:D30)</f>
        <v>1097763.6499999999</v>
      </c>
      <c r="E31" s="46">
        <f>+C31/D31/13*1000000</f>
        <v>590.78459203434625</v>
      </c>
      <c r="F31" s="46">
        <f>+SUM(F7:F30)</f>
        <v>32973784</v>
      </c>
      <c r="G31" s="53">
        <f>D31/F31*1000</f>
        <v>33.292013133827773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  <row r="43" spans="2:7" x14ac:dyDescent="0.2">
      <c r="C43" s="25"/>
      <c r="D43" s="25"/>
      <c r="E43" s="25"/>
    </row>
    <row r="44" spans="2:7" x14ac:dyDescent="0.2">
      <c r="C44" s="25"/>
      <c r="D44" s="25"/>
      <c r="E44" s="25"/>
    </row>
    <row r="45" spans="2:7" x14ac:dyDescent="0.2">
      <c r="C45" s="25"/>
      <c r="D45" s="25"/>
      <c r="E45" s="25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ageMargins left="0.75" right="0.75" top="1" bottom="1" header="0" footer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32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1315656.8003</v>
      </c>
      <c r="D7" s="2">
        <v>86415</v>
      </c>
      <c r="E7" s="2">
        <v>1171.1435428322186</v>
      </c>
      <c r="F7" s="2">
        <v>3018555</v>
      </c>
      <c r="G7" s="52">
        <v>28.627936214513237</v>
      </c>
    </row>
    <row r="8" spans="2:7" s="12" customFormat="1" ht="20.25" customHeight="1" x14ac:dyDescent="0.2">
      <c r="B8" s="13" t="s">
        <v>6</v>
      </c>
      <c r="C8" s="2">
        <v>2897711</v>
      </c>
      <c r="D8" s="2">
        <v>286255</v>
      </c>
      <c r="E8" s="2">
        <v>778.67931094250287</v>
      </c>
      <c r="F8" s="2">
        <v>12897142</v>
      </c>
      <c r="G8" s="52">
        <v>22.195227438761236</v>
      </c>
    </row>
    <row r="9" spans="2:7" s="12" customFormat="1" ht="20.25" customHeight="1" x14ac:dyDescent="0.2">
      <c r="B9" s="13" t="s">
        <v>7</v>
      </c>
      <c r="C9" s="2">
        <v>180516.05877999999</v>
      </c>
      <c r="D9" s="2">
        <v>22752</v>
      </c>
      <c r="E9" s="2">
        <v>610.3134087282267</v>
      </c>
      <c r="F9" s="2">
        <v>271896</v>
      </c>
      <c r="G9" s="52">
        <v>83.679053755847818</v>
      </c>
    </row>
    <row r="10" spans="2:7" s="12" customFormat="1" ht="20.25" customHeight="1" x14ac:dyDescent="0.2">
      <c r="B10" s="13" t="s">
        <v>8</v>
      </c>
      <c r="C10" s="2">
        <v>960824.25939999998</v>
      </c>
      <c r="D10" s="2">
        <v>80224</v>
      </c>
      <c r="E10" s="2">
        <v>921.28986856033873</v>
      </c>
      <c r="F10" s="2">
        <v>2832056</v>
      </c>
      <c r="G10" s="52">
        <v>28.327123474959535</v>
      </c>
    </row>
    <row r="11" spans="2:7" s="12" customFormat="1" ht="20.25" customHeight="1" x14ac:dyDescent="0.2">
      <c r="B11" s="13" t="s">
        <v>9</v>
      </c>
      <c r="C11" s="2">
        <v>384861.45</v>
      </c>
      <c r="D11" s="2">
        <v>41937</v>
      </c>
      <c r="E11" s="2">
        <v>705.93335057531351</v>
      </c>
      <c r="F11" s="2">
        <v>817455</v>
      </c>
      <c r="G11" s="52">
        <v>51.301906526964785</v>
      </c>
    </row>
    <row r="12" spans="2:7" s="12" customFormat="1" ht="20.25" customHeight="1" x14ac:dyDescent="0.2">
      <c r="B12" s="13" t="s">
        <v>10</v>
      </c>
      <c r="C12" s="2">
        <v>414437.21</v>
      </c>
      <c r="D12" s="2">
        <v>36897</v>
      </c>
      <c r="E12" s="2">
        <v>864.02106904668096</v>
      </c>
      <c r="F12" s="2">
        <v>859961</v>
      </c>
      <c r="G12" s="52">
        <v>42.905434083638681</v>
      </c>
    </row>
    <row r="13" spans="2:7" s="12" customFormat="1" ht="20.25" customHeight="1" x14ac:dyDescent="0.2">
      <c r="B13" s="13" t="s">
        <v>11</v>
      </c>
      <c r="C13" s="2">
        <v>246330</v>
      </c>
      <c r="D13" s="2">
        <v>18075</v>
      </c>
      <c r="E13" s="2">
        <v>1048.3242898180658</v>
      </c>
      <c r="F13" s="2">
        <v>369014</v>
      </c>
      <c r="G13" s="52">
        <v>48.981881446232393</v>
      </c>
    </row>
    <row r="14" spans="2:7" s="12" customFormat="1" ht="20.25" customHeight="1" x14ac:dyDescent="0.2">
      <c r="B14" s="13" t="s">
        <v>12</v>
      </c>
      <c r="C14" s="2">
        <v>460100</v>
      </c>
      <c r="D14" s="2">
        <v>42077</v>
      </c>
      <c r="E14" s="2">
        <v>841.13191749192413</v>
      </c>
      <c r="F14" s="2">
        <v>1041854</v>
      </c>
      <c r="G14" s="52">
        <v>40.386656863629646</v>
      </c>
    </row>
    <row r="15" spans="2:7" s="12" customFormat="1" ht="20.25" customHeight="1" x14ac:dyDescent="0.2">
      <c r="B15" s="13" t="s">
        <v>13</v>
      </c>
      <c r="C15" s="2">
        <v>283836.39199999999</v>
      </c>
      <c r="D15" s="2">
        <v>31151</v>
      </c>
      <c r="E15" s="2">
        <v>700.89462987976674</v>
      </c>
      <c r="F15" s="2">
        <v>412398</v>
      </c>
      <c r="G15" s="52">
        <v>75.536253813064079</v>
      </c>
    </row>
    <row r="16" spans="2:7" s="12" customFormat="1" ht="20.25" customHeight="1" x14ac:dyDescent="0.2">
      <c r="B16" s="13" t="s">
        <v>14</v>
      </c>
      <c r="C16" s="2">
        <v>240305.94</v>
      </c>
      <c r="D16" s="2">
        <v>26222</v>
      </c>
      <c r="E16" s="2">
        <v>704.94517228633617</v>
      </c>
      <c r="F16" s="2">
        <v>525908</v>
      </c>
      <c r="G16" s="52">
        <v>49.86043186260715</v>
      </c>
    </row>
    <row r="17" spans="2:7" s="12" customFormat="1" ht="20.25" customHeight="1" x14ac:dyDescent="0.2">
      <c r="B17" s="13" t="s">
        <v>15</v>
      </c>
      <c r="C17" s="2">
        <v>156043</v>
      </c>
      <c r="D17" s="2">
        <v>14453</v>
      </c>
      <c r="E17" s="2">
        <v>830.50630957639885</v>
      </c>
      <c r="F17" s="2">
        <v>267224</v>
      </c>
      <c r="G17" s="52">
        <v>54.085710864293624</v>
      </c>
    </row>
    <row r="18" spans="2:7" s="12" customFormat="1" ht="20.25" customHeight="1" x14ac:dyDescent="0.2">
      <c r="B18" s="13" t="s">
        <v>16</v>
      </c>
      <c r="C18" s="2">
        <v>223600</v>
      </c>
      <c r="D18" s="2">
        <v>21178</v>
      </c>
      <c r="E18" s="2">
        <v>812.16356596468029</v>
      </c>
      <c r="F18" s="2">
        <v>228300</v>
      </c>
      <c r="G18" s="52">
        <v>92.763907139728431</v>
      </c>
    </row>
    <row r="19" spans="2:7" s="12" customFormat="1" ht="20.25" customHeight="1" x14ac:dyDescent="0.2">
      <c r="B19" s="13" t="s">
        <v>17</v>
      </c>
      <c r="C19" s="2">
        <v>479347.71600000001</v>
      </c>
      <c r="D19" s="2">
        <v>41645</v>
      </c>
      <c r="E19" s="2">
        <v>885.41004276069714</v>
      </c>
      <c r="F19" s="2">
        <v>1447988</v>
      </c>
      <c r="G19" s="52">
        <v>28.760597463514891</v>
      </c>
    </row>
    <row r="20" spans="2:7" s="12" customFormat="1" ht="20.25" customHeight="1" x14ac:dyDescent="0.2">
      <c r="B20" s="13" t="s">
        <v>18</v>
      </c>
      <c r="C20" s="2">
        <v>297661</v>
      </c>
      <c r="D20" s="2">
        <v>32950</v>
      </c>
      <c r="E20" s="2">
        <v>694.90136570561469</v>
      </c>
      <c r="F20" s="2">
        <v>816558</v>
      </c>
      <c r="G20" s="52">
        <v>40.35230810303738</v>
      </c>
    </row>
    <row r="21" spans="2:7" s="12" customFormat="1" ht="20.25" customHeight="1" x14ac:dyDescent="0.2">
      <c r="B21" s="13" t="s">
        <v>19</v>
      </c>
      <c r="C21" s="2">
        <v>354376</v>
      </c>
      <c r="D21" s="2">
        <v>27108</v>
      </c>
      <c r="E21" s="2">
        <v>1005.595850217364</v>
      </c>
      <c r="F21" s="2">
        <v>407186</v>
      </c>
      <c r="G21" s="52">
        <v>66.573998123707597</v>
      </c>
    </row>
    <row r="22" spans="2:7" s="12" customFormat="1" ht="20.25" customHeight="1" x14ac:dyDescent="0.2">
      <c r="B22" s="13" t="s">
        <v>20</v>
      </c>
      <c r="C22" s="2">
        <v>308060</v>
      </c>
      <c r="D22" s="2">
        <v>29061</v>
      </c>
      <c r="E22" s="2">
        <v>815.42008454365225</v>
      </c>
      <c r="F22" s="2">
        <v>522164</v>
      </c>
      <c r="G22" s="52">
        <v>55.654928336691157</v>
      </c>
    </row>
    <row r="23" spans="2:7" s="12" customFormat="1" ht="20.25" customHeight="1" x14ac:dyDescent="0.2">
      <c r="B23" s="13" t="s">
        <v>21</v>
      </c>
      <c r="C23" s="2">
        <v>440236.29833000002</v>
      </c>
      <c r="D23" s="2">
        <v>42797</v>
      </c>
      <c r="E23" s="2">
        <v>791.27814194380983</v>
      </c>
      <c r="F23" s="2">
        <v>893258</v>
      </c>
      <c r="G23" s="52">
        <v>47.911129819156393</v>
      </c>
    </row>
    <row r="24" spans="2:7" s="12" customFormat="1" ht="20.25" customHeight="1" x14ac:dyDescent="0.2">
      <c r="B24" s="13" t="s">
        <v>22</v>
      </c>
      <c r="C24" s="2">
        <v>248706.4</v>
      </c>
      <c r="D24" s="2">
        <v>28925</v>
      </c>
      <c r="E24" s="2">
        <v>661.40921481284488</v>
      </c>
      <c r="F24" s="2">
        <v>539999</v>
      </c>
      <c r="G24" s="52">
        <v>53.564914009100015</v>
      </c>
    </row>
    <row r="25" spans="2:7" s="12" customFormat="1" ht="20.25" customHeight="1" x14ac:dyDescent="0.2">
      <c r="B25" s="13" t="s">
        <v>23</v>
      </c>
      <c r="C25" s="2">
        <v>178430</v>
      </c>
      <c r="D25" s="2">
        <v>15529</v>
      </c>
      <c r="E25" s="2">
        <v>883.8550206313746</v>
      </c>
      <c r="F25" s="2">
        <v>296788</v>
      </c>
      <c r="G25" s="52">
        <v>52.323544078601564</v>
      </c>
    </row>
    <row r="26" spans="2:7" s="12" customFormat="1" ht="20.25" customHeight="1" x14ac:dyDescent="0.2">
      <c r="B26" s="13" t="s">
        <v>24</v>
      </c>
      <c r="C26" s="2">
        <v>172808.42</v>
      </c>
      <c r="D26" s="2">
        <v>15791</v>
      </c>
      <c r="E26" s="2">
        <v>841.80579979832726</v>
      </c>
      <c r="F26" s="2">
        <v>165729</v>
      </c>
      <c r="G26" s="52">
        <v>95.282056851848495</v>
      </c>
    </row>
    <row r="27" spans="2:7" s="12" customFormat="1" ht="20.25" customHeight="1" x14ac:dyDescent="0.2">
      <c r="B27" s="13" t="s">
        <v>25</v>
      </c>
      <c r="C27" s="2">
        <v>955642.82305999997</v>
      </c>
      <c r="D27" s="2">
        <v>86178</v>
      </c>
      <c r="E27" s="2">
        <v>853.01337219743743</v>
      </c>
      <c r="F27" s="2">
        <v>2861831</v>
      </c>
      <c r="G27" s="52">
        <v>30.112889265648462</v>
      </c>
    </row>
    <row r="28" spans="2:7" s="12" customFormat="1" ht="20.25" customHeight="1" x14ac:dyDescent="0.2">
      <c r="B28" s="13" t="s">
        <v>56</v>
      </c>
      <c r="C28" s="2">
        <v>297360.8</v>
      </c>
      <c r="D28" s="2">
        <v>35091</v>
      </c>
      <c r="E28" s="2">
        <v>651.84542168384189</v>
      </c>
      <c r="F28" s="2">
        <v>684690</v>
      </c>
      <c r="G28" s="52">
        <v>51.250931078298208</v>
      </c>
    </row>
    <row r="29" spans="2:7" s="12" customFormat="1" ht="20.25" customHeight="1" x14ac:dyDescent="0.2">
      <c r="B29" s="13" t="s">
        <v>26</v>
      </c>
      <c r="C29" s="2">
        <v>350608.7</v>
      </c>
      <c r="D29" s="2">
        <v>42082</v>
      </c>
      <c r="E29" s="2">
        <v>640.88921629200138</v>
      </c>
      <c r="F29" s="2">
        <v>1169844</v>
      </c>
      <c r="G29" s="52">
        <v>35.972317676544904</v>
      </c>
    </row>
    <row r="30" spans="2:7" s="12" customFormat="1" ht="20.25" customHeight="1" thickBot="1" x14ac:dyDescent="0.25">
      <c r="B30" s="13" t="s">
        <v>55</v>
      </c>
      <c r="C30" s="2">
        <v>124000</v>
      </c>
      <c r="D30" s="2">
        <v>5139</v>
      </c>
      <c r="E30" s="2">
        <v>1856.0929243941505</v>
      </c>
      <c r="F30" s="2">
        <v>73402</v>
      </c>
      <c r="G30" s="52">
        <v>70.011716302008111</v>
      </c>
    </row>
    <row r="31" spans="2:7" s="12" customFormat="1" ht="26.25" customHeight="1" thickBot="1" x14ac:dyDescent="0.25">
      <c r="B31" s="44" t="s">
        <v>27</v>
      </c>
      <c r="C31" s="46">
        <v>11971460.267870001</v>
      </c>
      <c r="D31" s="46">
        <v>1109932</v>
      </c>
      <c r="E31" s="46">
        <v>829.67385305309085</v>
      </c>
      <c r="F31" s="46">
        <v>33421200</v>
      </c>
      <c r="G31" s="53">
        <v>33.210417339892047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33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30" t="s">
        <v>5</v>
      </c>
      <c r="C7" s="2">
        <v>1591700</v>
      </c>
      <c r="D7" s="2">
        <v>108573</v>
      </c>
      <c r="E7" s="2">
        <v>1127.7063499991852</v>
      </c>
      <c r="F7" s="2">
        <v>3022400</v>
      </c>
      <c r="G7" s="52">
        <v>35.922776601376391</v>
      </c>
    </row>
    <row r="8" spans="2:7" s="12" customFormat="1" ht="20.25" customHeight="1" x14ac:dyDescent="0.2">
      <c r="B8" s="24" t="s">
        <v>6</v>
      </c>
      <c r="C8" s="2">
        <v>3301600</v>
      </c>
      <c r="D8" s="2">
        <v>287855</v>
      </c>
      <c r="E8" s="2">
        <v>882.28181122172884</v>
      </c>
      <c r="F8" s="2">
        <v>13056791</v>
      </c>
      <c r="G8" s="52">
        <v>22.046381840683519</v>
      </c>
    </row>
    <row r="9" spans="2:7" s="12" customFormat="1" ht="20.25" customHeight="1" x14ac:dyDescent="0.2">
      <c r="B9" s="24" t="s">
        <v>7</v>
      </c>
      <c r="C9" s="2">
        <v>244628</v>
      </c>
      <c r="D9" s="2">
        <v>25656</v>
      </c>
      <c r="E9" s="2">
        <v>733.45566189345425</v>
      </c>
      <c r="F9" s="2">
        <v>277614</v>
      </c>
      <c r="G9" s="52">
        <v>92.416088525794805</v>
      </c>
    </row>
    <row r="10" spans="2:7" s="12" customFormat="1" ht="20.25" customHeight="1" x14ac:dyDescent="0.2">
      <c r="B10" s="24" t="s">
        <v>8</v>
      </c>
      <c r="C10" s="2">
        <v>1192691</v>
      </c>
      <c r="D10" s="2">
        <v>87176</v>
      </c>
      <c r="E10" s="2">
        <v>1052.416508425043</v>
      </c>
      <c r="F10" s="2">
        <v>2864810</v>
      </c>
      <c r="G10" s="52">
        <v>30.429941252648518</v>
      </c>
    </row>
    <row r="11" spans="2:7" s="12" customFormat="1" ht="20.25" customHeight="1" x14ac:dyDescent="0.2">
      <c r="B11" s="24" t="s">
        <v>9</v>
      </c>
      <c r="C11" s="2">
        <v>399139.77760999999</v>
      </c>
      <c r="D11" s="2">
        <v>41433</v>
      </c>
      <c r="E11" s="2">
        <v>741.02912693152427</v>
      </c>
      <c r="F11" s="2">
        <v>830926</v>
      </c>
      <c r="G11" s="52">
        <v>49.863646100856151</v>
      </c>
    </row>
    <row r="12" spans="2:7" s="12" customFormat="1" ht="20.25" customHeight="1" x14ac:dyDescent="0.2">
      <c r="B12" s="24" t="s">
        <v>10</v>
      </c>
      <c r="C12" s="2">
        <v>460482.9</v>
      </c>
      <c r="D12" s="2">
        <v>37903</v>
      </c>
      <c r="E12" s="2">
        <v>934.53714847008246</v>
      </c>
      <c r="F12" s="2">
        <v>872100</v>
      </c>
      <c r="G12" s="52">
        <v>43.461758972594886</v>
      </c>
    </row>
    <row r="13" spans="2:7" s="12" customFormat="1" ht="20.25" customHeight="1" x14ac:dyDescent="0.2">
      <c r="B13" s="24" t="s">
        <v>11</v>
      </c>
      <c r="C13" s="2">
        <v>284514.57133999997</v>
      </c>
      <c r="D13" s="2">
        <v>18507</v>
      </c>
      <c r="E13" s="2">
        <v>1182.5653134988422</v>
      </c>
      <c r="F13" s="2">
        <v>378985</v>
      </c>
      <c r="G13" s="52">
        <v>48.833067271791755</v>
      </c>
    </row>
    <row r="14" spans="2:7" s="12" customFormat="1" ht="20.25" customHeight="1" x14ac:dyDescent="0.2">
      <c r="B14" s="24" t="s">
        <v>12</v>
      </c>
      <c r="C14" s="2">
        <v>536972.30865999998</v>
      </c>
      <c r="D14" s="2">
        <v>40034</v>
      </c>
      <c r="E14" s="2">
        <v>1031.7620573666231</v>
      </c>
      <c r="F14" s="2">
        <v>1051095</v>
      </c>
      <c r="G14" s="52">
        <v>38.087898810288316</v>
      </c>
    </row>
    <row r="15" spans="2:7" s="12" customFormat="1" ht="20.25" customHeight="1" x14ac:dyDescent="0.2">
      <c r="B15" s="24" t="s">
        <v>13</v>
      </c>
      <c r="C15" s="2">
        <v>308517.19699999999</v>
      </c>
      <c r="D15" s="2">
        <v>32015</v>
      </c>
      <c r="E15" s="2">
        <v>741.28040221530773</v>
      </c>
      <c r="F15" s="2">
        <v>423852</v>
      </c>
      <c r="G15" s="52">
        <v>75.5334409180563</v>
      </c>
    </row>
    <row r="16" spans="2:7" s="12" customFormat="1" ht="20.25" customHeight="1" x14ac:dyDescent="0.2">
      <c r="B16" s="24" t="s">
        <v>14</v>
      </c>
      <c r="C16" s="2">
        <v>278680.31208</v>
      </c>
      <c r="D16" s="2">
        <v>27175</v>
      </c>
      <c r="E16" s="2">
        <v>788.8480987332814</v>
      </c>
      <c r="F16" s="2">
        <v>535562</v>
      </c>
      <c r="G16" s="52">
        <v>50.741090667373712</v>
      </c>
    </row>
    <row r="17" spans="2:7" s="12" customFormat="1" ht="20.25" customHeight="1" x14ac:dyDescent="0.2">
      <c r="B17" s="24" t="s">
        <v>15</v>
      </c>
      <c r="C17" s="2">
        <v>189826</v>
      </c>
      <c r="D17" s="2">
        <v>16119</v>
      </c>
      <c r="E17" s="2">
        <v>905.88746200136495</v>
      </c>
      <c r="F17" s="2">
        <v>272296</v>
      </c>
      <c r="G17" s="52">
        <v>59.19660957193642</v>
      </c>
    </row>
    <row r="18" spans="2:7" s="12" customFormat="1" ht="20.25" customHeight="1" x14ac:dyDescent="0.2">
      <c r="B18" s="24" t="s">
        <v>16</v>
      </c>
      <c r="C18" s="2">
        <v>263267.06599999999</v>
      </c>
      <c r="D18" s="2">
        <v>21805</v>
      </c>
      <c r="E18" s="2">
        <v>928.74628613761831</v>
      </c>
      <c r="F18" s="2">
        <v>234624</v>
      </c>
      <c r="G18" s="52">
        <v>92.935931533005999</v>
      </c>
    </row>
    <row r="19" spans="2:7" s="12" customFormat="1" ht="20.25" customHeight="1" x14ac:dyDescent="0.2">
      <c r="B19" s="24" t="s">
        <v>17</v>
      </c>
      <c r="C19" s="2">
        <v>610008</v>
      </c>
      <c r="D19" s="2">
        <v>46132</v>
      </c>
      <c r="E19" s="2">
        <v>1017.1614564227067</v>
      </c>
      <c r="F19" s="2">
        <v>1468414</v>
      </c>
      <c r="G19" s="52">
        <v>31.416208235552098</v>
      </c>
    </row>
    <row r="20" spans="2:7" s="12" customFormat="1" ht="20.25" customHeight="1" x14ac:dyDescent="0.2">
      <c r="B20" s="24" t="s">
        <v>18</v>
      </c>
      <c r="C20" s="2">
        <v>355751</v>
      </c>
      <c r="D20" s="2">
        <v>32437</v>
      </c>
      <c r="E20" s="2">
        <v>843.64958345289449</v>
      </c>
      <c r="F20" s="2">
        <v>838940</v>
      </c>
      <c r="G20" s="52">
        <v>38.664266812882921</v>
      </c>
    </row>
    <row r="21" spans="2:7" s="12" customFormat="1" ht="20.25" customHeight="1" x14ac:dyDescent="0.2">
      <c r="B21" s="24" t="s">
        <v>19</v>
      </c>
      <c r="C21" s="2">
        <v>460048.85399999999</v>
      </c>
      <c r="D21" s="2">
        <v>30449</v>
      </c>
      <c r="E21" s="2">
        <v>1162.2179179813913</v>
      </c>
      <c r="F21" s="2">
        <v>425395</v>
      </c>
      <c r="G21" s="52">
        <v>71.57818027950492</v>
      </c>
    </row>
    <row r="22" spans="2:7" s="12" customFormat="1" ht="20.25" customHeight="1" x14ac:dyDescent="0.2">
      <c r="B22" s="24" t="s">
        <v>20</v>
      </c>
      <c r="C22" s="2">
        <v>392185</v>
      </c>
      <c r="D22" s="2">
        <v>29797.533333333333</v>
      </c>
      <c r="E22" s="2">
        <v>1012.4353779757025</v>
      </c>
      <c r="F22" s="2">
        <v>534659</v>
      </c>
      <c r="G22" s="52">
        <v>55.731846528971424</v>
      </c>
    </row>
    <row r="23" spans="2:7" s="12" customFormat="1" ht="20.25" customHeight="1" x14ac:dyDescent="0.2">
      <c r="B23" s="24" t="s">
        <v>21</v>
      </c>
      <c r="C23" s="2">
        <v>464374</v>
      </c>
      <c r="D23" s="2">
        <v>41567</v>
      </c>
      <c r="E23" s="2">
        <v>859.36143871525303</v>
      </c>
      <c r="F23" s="2">
        <v>914589</v>
      </c>
      <c r="G23" s="52">
        <v>45.448830020916503</v>
      </c>
    </row>
    <row r="24" spans="2:7" s="12" customFormat="1" ht="20.25" customHeight="1" x14ac:dyDescent="0.2">
      <c r="B24" s="24" t="s">
        <v>22</v>
      </c>
      <c r="C24" s="2">
        <v>349197</v>
      </c>
      <c r="D24" s="2">
        <v>34173</v>
      </c>
      <c r="E24" s="2">
        <v>786.03891061094112</v>
      </c>
      <c r="F24" s="2">
        <v>545214</v>
      </c>
      <c r="G24" s="52">
        <v>62.678141060207551</v>
      </c>
    </row>
    <row r="25" spans="2:7" s="12" customFormat="1" ht="20.25" customHeight="1" x14ac:dyDescent="0.2">
      <c r="B25" s="24" t="s">
        <v>23</v>
      </c>
      <c r="C25" s="2">
        <v>194886.2</v>
      </c>
      <c r="D25" s="2">
        <v>16569</v>
      </c>
      <c r="E25" s="2">
        <v>904.77676105052524</v>
      </c>
      <c r="F25" s="2">
        <v>305068</v>
      </c>
      <c r="G25" s="52">
        <v>54.312481151743221</v>
      </c>
    </row>
    <row r="26" spans="2:7" s="12" customFormat="1" ht="20.25" customHeight="1" x14ac:dyDescent="0.2">
      <c r="B26" s="24" t="s">
        <v>24</v>
      </c>
      <c r="C26" s="2">
        <v>210078.29979999998</v>
      </c>
      <c r="D26" s="2">
        <v>13635</v>
      </c>
      <c r="E26" s="2">
        <v>1185.1755933542072</v>
      </c>
      <c r="F26" s="2">
        <v>170819</v>
      </c>
      <c r="G26" s="52">
        <v>79.821331350727974</v>
      </c>
    </row>
    <row r="27" spans="2:7" s="12" customFormat="1" ht="20.25" customHeight="1" x14ac:dyDescent="0.2">
      <c r="B27" s="24" t="s">
        <v>25</v>
      </c>
      <c r="C27" s="2">
        <v>1091315</v>
      </c>
      <c r="D27" s="2">
        <v>85135</v>
      </c>
      <c r="E27" s="2">
        <v>986.04930630537012</v>
      </c>
      <c r="F27" s="2">
        <v>2890933</v>
      </c>
      <c r="G27" s="52">
        <v>29.448970280528812</v>
      </c>
    </row>
    <row r="28" spans="2:7" s="12" customFormat="1" ht="20.25" customHeight="1" x14ac:dyDescent="0.2">
      <c r="B28" s="24" t="s">
        <v>56</v>
      </c>
      <c r="C28" s="2">
        <v>388730.5</v>
      </c>
      <c r="D28" s="2">
        <v>31561</v>
      </c>
      <c r="E28" s="2">
        <v>947.44609340154477</v>
      </c>
      <c r="F28" s="2">
        <v>689917</v>
      </c>
      <c r="G28" s="52">
        <v>45.746082499778964</v>
      </c>
    </row>
    <row r="29" spans="2:7" s="12" customFormat="1" ht="20.25" customHeight="1" x14ac:dyDescent="0.2">
      <c r="B29" s="24" t="s">
        <v>26</v>
      </c>
      <c r="C29" s="2">
        <v>439887.6</v>
      </c>
      <c r="D29" s="2">
        <v>43403</v>
      </c>
      <c r="E29" s="2">
        <v>779.61218561637884</v>
      </c>
      <c r="F29" s="2">
        <v>1185489</v>
      </c>
      <c r="G29" s="52">
        <v>36.611896019279804</v>
      </c>
    </row>
    <row r="30" spans="2:7" s="12" customFormat="1" ht="20.25" customHeight="1" thickBot="1" x14ac:dyDescent="0.25">
      <c r="B30" s="24" t="s">
        <v>55</v>
      </c>
      <c r="C30" s="2">
        <v>150257.90878</v>
      </c>
      <c r="D30" s="2">
        <v>5519</v>
      </c>
      <c r="E30" s="2">
        <v>2094.2744474333417</v>
      </c>
      <c r="F30" s="2">
        <v>78915</v>
      </c>
      <c r="G30" s="52">
        <v>69.93600709624279</v>
      </c>
    </row>
    <row r="31" spans="2:7" s="12" customFormat="1" ht="26.25" customHeight="1" thickBot="1" x14ac:dyDescent="0.25">
      <c r="B31" s="47" t="s">
        <v>27</v>
      </c>
      <c r="C31" s="46">
        <v>14158738.495269997</v>
      </c>
      <c r="D31" s="46">
        <v>1154628.5333333332</v>
      </c>
      <c r="E31" s="46">
        <v>943.27629966074903</v>
      </c>
      <c r="F31" s="46">
        <v>33869407</v>
      </c>
      <c r="G31" s="53">
        <v>34.090603751442508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/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34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1567923</v>
      </c>
      <c r="D7" s="2">
        <v>105176</v>
      </c>
      <c r="E7" s="2">
        <v>1146.7393848260206</v>
      </c>
      <c r="F7" s="2">
        <v>3024315</v>
      </c>
      <c r="G7" s="52">
        <v>34.776800697017343</v>
      </c>
    </row>
    <row r="8" spans="2:7" s="12" customFormat="1" ht="20.25" customHeight="1" x14ac:dyDescent="0.2">
      <c r="B8" s="13" t="s">
        <v>6</v>
      </c>
      <c r="C8" s="2">
        <v>3593600</v>
      </c>
      <c r="D8" s="2">
        <v>287855</v>
      </c>
      <c r="E8" s="2">
        <v>960.31255052289953</v>
      </c>
      <c r="F8" s="2">
        <v>13216914</v>
      </c>
      <c r="G8" s="52">
        <v>21.779289779747376</v>
      </c>
    </row>
    <row r="9" spans="2:7" s="12" customFormat="1" ht="20.25" customHeight="1" x14ac:dyDescent="0.2">
      <c r="B9" s="13" t="s">
        <v>7</v>
      </c>
      <c r="C9" s="2">
        <v>300808.54806</v>
      </c>
      <c r="D9" s="2">
        <v>25175</v>
      </c>
      <c r="E9" s="2">
        <v>919.13084733022686</v>
      </c>
      <c r="F9" s="2">
        <v>283453</v>
      </c>
      <c r="G9" s="52">
        <v>88.815429718507133</v>
      </c>
    </row>
    <row r="10" spans="2:7" s="12" customFormat="1" ht="20.25" customHeight="1" x14ac:dyDescent="0.2">
      <c r="B10" s="13" t="s">
        <v>8</v>
      </c>
      <c r="C10" s="2">
        <v>1279645</v>
      </c>
      <c r="D10" s="2">
        <v>85479</v>
      </c>
      <c r="E10" s="2">
        <v>1151.5603922510882</v>
      </c>
      <c r="F10" s="2">
        <v>2897225</v>
      </c>
      <c r="G10" s="52">
        <v>29.503749277325717</v>
      </c>
    </row>
    <row r="11" spans="2:7" s="12" customFormat="1" ht="20.25" customHeight="1" x14ac:dyDescent="0.2">
      <c r="B11" s="13" t="s">
        <v>9</v>
      </c>
      <c r="C11" s="2">
        <v>398783.05</v>
      </c>
      <c r="D11" s="2">
        <v>39440</v>
      </c>
      <c r="E11" s="2">
        <v>777.77939226088324</v>
      </c>
      <c r="F11" s="2">
        <v>844441</v>
      </c>
      <c r="G11" s="52">
        <v>46.705453666982059</v>
      </c>
    </row>
    <row r="12" spans="2:7" s="12" customFormat="1" ht="20.25" customHeight="1" x14ac:dyDescent="0.2">
      <c r="B12" s="13" t="s">
        <v>10</v>
      </c>
      <c r="C12" s="2">
        <v>468266.4</v>
      </c>
      <c r="D12" s="2">
        <v>37067</v>
      </c>
      <c r="E12" s="2">
        <v>971.76713269734023</v>
      </c>
      <c r="F12" s="2">
        <v>884134</v>
      </c>
      <c r="G12" s="52">
        <v>41.924640382566444</v>
      </c>
    </row>
    <row r="13" spans="2:7" s="12" customFormat="1" ht="20.25" customHeight="1" x14ac:dyDescent="0.2">
      <c r="B13" s="13" t="s">
        <v>11</v>
      </c>
      <c r="C13" s="2">
        <v>279843</v>
      </c>
      <c r="D13" s="2">
        <v>20551</v>
      </c>
      <c r="E13" s="2">
        <v>1047.4616619816366</v>
      </c>
      <c r="F13" s="2">
        <v>389195</v>
      </c>
      <c r="G13" s="52">
        <v>52.803864386747001</v>
      </c>
    </row>
    <row r="14" spans="2:7" s="12" customFormat="1" ht="20.25" customHeight="1" x14ac:dyDescent="0.2">
      <c r="B14" s="13" t="s">
        <v>12</v>
      </c>
      <c r="C14" s="2">
        <v>554344</v>
      </c>
      <c r="D14" s="2">
        <v>46885</v>
      </c>
      <c r="E14" s="2">
        <v>909.49869156118496</v>
      </c>
      <c r="F14" s="2">
        <v>1060039</v>
      </c>
      <c r="G14" s="52">
        <v>44.229504763503982</v>
      </c>
    </row>
    <row r="15" spans="2:7" s="12" customFormat="1" ht="20.25" customHeight="1" x14ac:dyDescent="0.2">
      <c r="B15" s="13" t="s">
        <v>13</v>
      </c>
      <c r="C15" s="2">
        <v>327946.7</v>
      </c>
      <c r="D15" s="2">
        <v>32493</v>
      </c>
      <c r="E15" s="2">
        <v>776.37242577691291</v>
      </c>
      <c r="F15" s="2">
        <v>435615</v>
      </c>
      <c r="G15" s="52">
        <v>74.59109534795634</v>
      </c>
    </row>
    <row r="16" spans="2:7" s="12" customFormat="1" ht="20.25" customHeight="1" x14ac:dyDescent="0.2">
      <c r="B16" s="13" t="s">
        <v>14</v>
      </c>
      <c r="C16" s="2">
        <v>330169.29482800001</v>
      </c>
      <c r="D16" s="2">
        <v>27075</v>
      </c>
      <c r="E16" s="2">
        <v>938.04757391291992</v>
      </c>
      <c r="F16" s="2">
        <v>545375</v>
      </c>
      <c r="G16" s="52">
        <v>49.644739857895942</v>
      </c>
    </row>
    <row r="17" spans="2:7" s="12" customFormat="1" ht="20.25" customHeight="1" x14ac:dyDescent="0.2">
      <c r="B17" s="13" t="s">
        <v>15</v>
      </c>
      <c r="C17" s="2">
        <v>207058</v>
      </c>
      <c r="D17" s="2">
        <v>16192</v>
      </c>
      <c r="E17" s="2">
        <v>983.66714806932202</v>
      </c>
      <c r="F17" s="2">
        <v>277400</v>
      </c>
      <c r="G17" s="52">
        <v>58.370583994232156</v>
      </c>
    </row>
    <row r="18" spans="2:7" s="12" customFormat="1" ht="20.25" customHeight="1" x14ac:dyDescent="0.2">
      <c r="B18" s="13" t="s">
        <v>16</v>
      </c>
      <c r="C18" s="2">
        <v>280831.48599999998</v>
      </c>
      <c r="D18" s="2">
        <v>22747.4</v>
      </c>
      <c r="E18" s="2">
        <v>949.66554419406168</v>
      </c>
      <c r="F18" s="2">
        <v>241150</v>
      </c>
      <c r="G18" s="52">
        <v>94.328840970350413</v>
      </c>
    </row>
    <row r="19" spans="2:7" s="12" customFormat="1" ht="20.25" customHeight="1" x14ac:dyDescent="0.2">
      <c r="B19" s="13" t="s">
        <v>17</v>
      </c>
      <c r="C19" s="2">
        <v>639446.84199999995</v>
      </c>
      <c r="D19" s="2">
        <v>47180</v>
      </c>
      <c r="E19" s="2">
        <v>1042.5650405973847</v>
      </c>
      <c r="F19" s="2">
        <v>1488799</v>
      </c>
      <c r="G19" s="52">
        <v>31.689972924484771</v>
      </c>
    </row>
    <row r="20" spans="2:7" s="12" customFormat="1" ht="20.25" customHeight="1" x14ac:dyDescent="0.2">
      <c r="B20" s="13" t="s">
        <v>18</v>
      </c>
      <c r="C20" s="2">
        <v>355088.4</v>
      </c>
      <c r="D20" s="2">
        <v>33886</v>
      </c>
      <c r="E20" s="2">
        <v>806.0701265328546</v>
      </c>
      <c r="F20" s="2">
        <v>861902</v>
      </c>
      <c r="G20" s="52">
        <v>39.315374601752872</v>
      </c>
    </row>
    <row r="21" spans="2:7" s="12" customFormat="1" ht="20.25" customHeight="1" x14ac:dyDescent="0.2">
      <c r="B21" s="13" t="s">
        <v>19</v>
      </c>
      <c r="C21" s="2">
        <v>460836</v>
      </c>
      <c r="D21" s="2">
        <v>29846</v>
      </c>
      <c r="E21" s="2">
        <v>1187.7277717926379</v>
      </c>
      <c r="F21" s="2">
        <v>444468</v>
      </c>
      <c r="G21" s="52">
        <v>67.149941053124195</v>
      </c>
    </row>
    <row r="22" spans="2:7" s="12" customFormat="1" ht="20.25" customHeight="1" x14ac:dyDescent="0.2">
      <c r="B22" s="13" t="s">
        <v>20</v>
      </c>
      <c r="C22" s="2">
        <v>438168.02799999999</v>
      </c>
      <c r="D22" s="2">
        <v>30540.533333333333</v>
      </c>
      <c r="E22" s="2">
        <v>1103.6229313745969</v>
      </c>
      <c r="F22" s="2">
        <v>547340</v>
      </c>
      <c r="G22" s="52">
        <v>55.798102337364952</v>
      </c>
    </row>
    <row r="23" spans="2:7" s="12" customFormat="1" ht="20.25" customHeight="1" x14ac:dyDescent="0.2">
      <c r="B23" s="13" t="s">
        <v>21</v>
      </c>
      <c r="C23" s="2">
        <v>484947.04300000001</v>
      </c>
      <c r="D23" s="2">
        <v>41680</v>
      </c>
      <c r="E23" s="2">
        <v>895.00044847187371</v>
      </c>
      <c r="F23" s="2">
        <v>936496</v>
      </c>
      <c r="G23" s="52">
        <v>44.506329978985491</v>
      </c>
    </row>
    <row r="24" spans="2:7" s="12" customFormat="1" ht="20.25" customHeight="1" x14ac:dyDescent="0.2">
      <c r="B24" s="13" t="s">
        <v>22</v>
      </c>
      <c r="C24" s="2">
        <v>437554</v>
      </c>
      <c r="D24" s="2">
        <v>33331</v>
      </c>
      <c r="E24" s="2">
        <v>1009.8106867480723</v>
      </c>
      <c r="F24" s="2">
        <v>550242</v>
      </c>
      <c r="G24" s="52">
        <v>60.575165109170143</v>
      </c>
    </row>
    <row r="25" spans="2:7" s="12" customFormat="1" ht="20.25" customHeight="1" x14ac:dyDescent="0.2">
      <c r="B25" s="13" t="s">
        <v>23</v>
      </c>
      <c r="C25" s="2">
        <v>232760</v>
      </c>
      <c r="D25" s="2">
        <v>17142</v>
      </c>
      <c r="E25" s="2">
        <v>1044.4881218419896</v>
      </c>
      <c r="F25" s="2">
        <v>313578</v>
      </c>
      <c r="G25" s="52">
        <v>54.665824770870401</v>
      </c>
    </row>
    <row r="26" spans="2:7" s="12" customFormat="1" ht="20.25" customHeight="1" x14ac:dyDescent="0.2">
      <c r="B26" s="13" t="s">
        <v>24</v>
      </c>
      <c r="C26" s="2">
        <v>230320.96599999999</v>
      </c>
      <c r="D26" s="2">
        <v>15436</v>
      </c>
      <c r="E26" s="2">
        <v>1147.7712739450235</v>
      </c>
      <c r="F26" s="2">
        <v>176069</v>
      </c>
      <c r="G26" s="52">
        <v>87.670174761031191</v>
      </c>
    </row>
    <row r="27" spans="2:7" s="12" customFormat="1" ht="20.25" customHeight="1" x14ac:dyDescent="0.2">
      <c r="B27" s="13" t="s">
        <v>25</v>
      </c>
      <c r="C27" s="2">
        <v>1119385.2420000001</v>
      </c>
      <c r="D27" s="2">
        <v>84216</v>
      </c>
      <c r="E27" s="2">
        <v>1022.4489061095645</v>
      </c>
      <c r="F27" s="2">
        <v>2919684</v>
      </c>
      <c r="G27" s="52">
        <v>28.844217387909101</v>
      </c>
    </row>
    <row r="28" spans="2:7" s="12" customFormat="1" ht="20.25" customHeight="1" x14ac:dyDescent="0.2">
      <c r="B28" s="13" t="s">
        <v>56</v>
      </c>
      <c r="C28" s="2">
        <v>439688.96799999999</v>
      </c>
      <c r="D28" s="2">
        <v>32303</v>
      </c>
      <c r="E28" s="2">
        <v>1047.0305639628612</v>
      </c>
      <c r="F28" s="2">
        <v>694932</v>
      </c>
      <c r="G28" s="52">
        <v>46.483684734621512</v>
      </c>
    </row>
    <row r="29" spans="2:7" s="12" customFormat="1" ht="20.25" customHeight="1" x14ac:dyDescent="0.2">
      <c r="B29" s="13" t="s">
        <v>26</v>
      </c>
      <c r="C29" s="2">
        <v>486284</v>
      </c>
      <c r="D29" s="2">
        <v>46632</v>
      </c>
      <c r="E29" s="2">
        <v>802.16292542592066</v>
      </c>
      <c r="F29" s="2">
        <v>1201095</v>
      </c>
      <c r="G29" s="52">
        <v>38.824572577523007</v>
      </c>
    </row>
    <row r="30" spans="2:7" s="12" customFormat="1" ht="20.25" customHeight="1" thickBot="1" x14ac:dyDescent="0.25">
      <c r="B30" s="13" t="s">
        <v>55</v>
      </c>
      <c r="C30" s="2">
        <v>175069.86707000001</v>
      </c>
      <c r="D30" s="2">
        <v>6192</v>
      </c>
      <c r="E30" s="2">
        <v>2174.8890264112506</v>
      </c>
      <c r="F30" s="2">
        <v>84608</v>
      </c>
      <c r="G30" s="52">
        <v>73.184568835098332</v>
      </c>
    </row>
    <row r="31" spans="2:7" s="12" customFormat="1" ht="26.25" customHeight="1" thickBot="1" x14ac:dyDescent="0.25">
      <c r="B31" s="44" t="s">
        <v>27</v>
      </c>
      <c r="C31" s="46">
        <v>15088767.834958</v>
      </c>
      <c r="D31" s="46">
        <v>1164519.9333333333</v>
      </c>
      <c r="E31" s="46">
        <v>996.6977941894022</v>
      </c>
      <c r="F31" s="46">
        <v>34318469</v>
      </c>
      <c r="G31" s="53">
        <v>33.932747213558201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35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1580528.8369</v>
      </c>
      <c r="D7" s="2">
        <v>110025</v>
      </c>
      <c r="E7" s="2">
        <v>1105.0137814133152</v>
      </c>
      <c r="F7" s="2">
        <v>3027886</v>
      </c>
      <c r="G7" s="52">
        <v>36.337233304027961</v>
      </c>
    </row>
    <row r="8" spans="2:7" s="12" customFormat="1" ht="20.25" customHeight="1" x14ac:dyDescent="0.2">
      <c r="B8" s="13" t="s">
        <v>6</v>
      </c>
      <c r="C8" s="2">
        <v>3497984.4320299998</v>
      </c>
      <c r="D8" s="2">
        <v>319667</v>
      </c>
      <c r="E8" s="2">
        <v>841.73757547938703</v>
      </c>
      <c r="F8" s="2">
        <v>13379401</v>
      </c>
      <c r="G8" s="52">
        <v>23.892474707948438</v>
      </c>
    </row>
    <row r="9" spans="2:7" s="12" customFormat="1" ht="20.25" customHeight="1" x14ac:dyDescent="0.2">
      <c r="B9" s="13" t="s">
        <v>7</v>
      </c>
      <c r="C9" s="2">
        <v>279660.90018</v>
      </c>
      <c r="D9" s="2">
        <v>23237</v>
      </c>
      <c r="E9" s="2">
        <v>925.7811652503799</v>
      </c>
      <c r="F9" s="2">
        <v>289212</v>
      </c>
      <c r="G9" s="52">
        <v>80.34590542577763</v>
      </c>
    </row>
    <row r="10" spans="2:7" s="12" customFormat="1" ht="20.25" customHeight="1" x14ac:dyDescent="0.2">
      <c r="B10" s="13" t="s">
        <v>8</v>
      </c>
      <c r="C10" s="2">
        <v>1202716.8809</v>
      </c>
      <c r="D10" s="2">
        <v>83288.333333333328</v>
      </c>
      <c r="E10" s="2">
        <v>1110.8000297699218</v>
      </c>
      <c r="F10" s="2">
        <v>2929734</v>
      </c>
      <c r="G10" s="52">
        <v>28.428633225177894</v>
      </c>
    </row>
    <row r="11" spans="2:7" s="12" customFormat="1" ht="20.25" customHeight="1" x14ac:dyDescent="0.2">
      <c r="B11" s="13" t="s">
        <v>9</v>
      </c>
      <c r="C11" s="2">
        <v>395972.56791000004</v>
      </c>
      <c r="D11" s="2">
        <v>41051</v>
      </c>
      <c r="E11" s="2">
        <v>741.98992231052193</v>
      </c>
      <c r="F11" s="2">
        <v>857685</v>
      </c>
      <c r="G11" s="52">
        <v>47.862560263966373</v>
      </c>
    </row>
    <row r="12" spans="2:7" s="12" customFormat="1" ht="20.25" customHeight="1" x14ac:dyDescent="0.2">
      <c r="B12" s="13" t="s">
        <v>10</v>
      </c>
      <c r="C12" s="2">
        <v>508580</v>
      </c>
      <c r="D12" s="2">
        <v>39150</v>
      </c>
      <c r="E12" s="2">
        <v>999.2730130661165</v>
      </c>
      <c r="F12" s="2">
        <v>895900</v>
      </c>
      <c r="G12" s="52">
        <v>43.699073557316666</v>
      </c>
    </row>
    <row r="13" spans="2:7" s="12" customFormat="1" ht="20.25" customHeight="1" x14ac:dyDescent="0.2">
      <c r="B13" s="13" t="s">
        <v>11</v>
      </c>
      <c r="C13" s="2">
        <v>291073.57199999999</v>
      </c>
      <c r="D13" s="2">
        <v>23013</v>
      </c>
      <c r="E13" s="2">
        <v>972.94028458830962</v>
      </c>
      <c r="F13" s="2">
        <v>399125</v>
      </c>
      <c r="G13" s="52">
        <v>57.658628249295333</v>
      </c>
    </row>
    <row r="14" spans="2:7" s="12" customFormat="1" ht="20.25" customHeight="1" x14ac:dyDescent="0.2">
      <c r="B14" s="13" t="s">
        <v>12</v>
      </c>
      <c r="C14" s="2">
        <v>597528.40624000004</v>
      </c>
      <c r="D14" s="2">
        <v>46745</v>
      </c>
      <c r="E14" s="2">
        <v>983.28641687716515</v>
      </c>
      <c r="F14" s="2">
        <v>1069102</v>
      </c>
      <c r="G14" s="52">
        <v>43.723611030565834</v>
      </c>
    </row>
    <row r="15" spans="2:7" s="12" customFormat="1" ht="20.25" customHeight="1" x14ac:dyDescent="0.2">
      <c r="B15" s="13" t="s">
        <v>13</v>
      </c>
      <c r="C15" s="2">
        <v>342935.99900000001</v>
      </c>
      <c r="D15" s="2">
        <v>32415</v>
      </c>
      <c r="E15" s="2">
        <v>813.81126733824556</v>
      </c>
      <c r="F15" s="2">
        <v>447094</v>
      </c>
      <c r="G15" s="52">
        <v>72.501532116288743</v>
      </c>
    </row>
    <row r="16" spans="2:7" s="12" customFormat="1" ht="20.25" customHeight="1" x14ac:dyDescent="0.2">
      <c r="B16" s="13" t="s">
        <v>14</v>
      </c>
      <c r="C16" s="2">
        <v>341535</v>
      </c>
      <c r="D16" s="2">
        <v>27217</v>
      </c>
      <c r="E16" s="2">
        <v>965.27622724484991</v>
      </c>
      <c r="F16" s="2">
        <v>555097</v>
      </c>
      <c r="G16" s="52">
        <v>49.03107024538054</v>
      </c>
    </row>
    <row r="17" spans="2:7" s="12" customFormat="1" ht="20.25" customHeight="1" x14ac:dyDescent="0.2">
      <c r="B17" s="13" t="s">
        <v>15</v>
      </c>
      <c r="C17" s="2">
        <v>206698</v>
      </c>
      <c r="D17" s="2">
        <v>15552</v>
      </c>
      <c r="E17" s="2">
        <v>1022.3666508388729</v>
      </c>
      <c r="F17" s="2">
        <v>282356</v>
      </c>
      <c r="G17" s="52">
        <v>55.079403306464179</v>
      </c>
    </row>
    <row r="18" spans="2:7" s="12" customFormat="1" ht="20.25" customHeight="1" x14ac:dyDescent="0.2">
      <c r="B18" s="13" t="s">
        <v>16</v>
      </c>
      <c r="C18" s="2">
        <v>284019.78600000002</v>
      </c>
      <c r="D18" s="2">
        <v>22031.4</v>
      </c>
      <c r="E18" s="2">
        <v>991.66080440434314</v>
      </c>
      <c r="F18" s="2">
        <v>247575</v>
      </c>
      <c r="G18" s="52">
        <v>88.988791275371113</v>
      </c>
    </row>
    <row r="19" spans="2:7" s="12" customFormat="1" ht="20.25" customHeight="1" x14ac:dyDescent="0.2">
      <c r="B19" s="13" t="s">
        <v>17</v>
      </c>
      <c r="C19" s="2">
        <v>653910.28099999996</v>
      </c>
      <c r="D19" s="2">
        <v>47748</v>
      </c>
      <c r="E19" s="2">
        <v>1053.4638277237548</v>
      </c>
      <c r="F19" s="2">
        <v>1508959</v>
      </c>
      <c r="G19" s="52">
        <v>31.643006867648488</v>
      </c>
    </row>
    <row r="20" spans="2:7" s="12" customFormat="1" ht="20.25" customHeight="1" x14ac:dyDescent="0.2">
      <c r="B20" s="13" t="s">
        <v>18</v>
      </c>
      <c r="C20" s="2">
        <v>361635.08026999998</v>
      </c>
      <c r="D20" s="2">
        <v>32609</v>
      </c>
      <c r="E20" s="2">
        <v>853.07991958331468</v>
      </c>
      <c r="F20" s="2">
        <v>884291</v>
      </c>
      <c r="G20" s="52">
        <v>36.87587004730343</v>
      </c>
    </row>
    <row r="21" spans="2:7" s="12" customFormat="1" ht="20.25" customHeight="1" x14ac:dyDescent="0.2">
      <c r="B21" s="13" t="s">
        <v>19</v>
      </c>
      <c r="C21" s="2">
        <v>474237</v>
      </c>
      <c r="D21" s="2">
        <v>32340</v>
      </c>
      <c r="E21" s="2">
        <v>1128.0077065791352</v>
      </c>
      <c r="F21" s="2">
        <v>463266</v>
      </c>
      <c r="G21" s="52">
        <v>69.80870601339187</v>
      </c>
    </row>
    <row r="22" spans="2:7" s="12" customFormat="1" ht="20.25" customHeight="1" x14ac:dyDescent="0.2">
      <c r="B22" s="13" t="s">
        <v>20</v>
      </c>
      <c r="C22" s="2">
        <v>436869</v>
      </c>
      <c r="D22" s="2">
        <v>30352.533333333333</v>
      </c>
      <c r="E22" s="2">
        <v>1107.1664866735241</v>
      </c>
      <c r="F22" s="2">
        <v>559590</v>
      </c>
      <c r="G22" s="52">
        <v>54.240664295883299</v>
      </c>
    </row>
    <row r="23" spans="2:7" s="12" customFormat="1" ht="20.25" customHeight="1" x14ac:dyDescent="0.2">
      <c r="B23" s="13" t="s">
        <v>21</v>
      </c>
      <c r="C23" s="2">
        <v>504950.09346</v>
      </c>
      <c r="D23" s="2">
        <v>40721</v>
      </c>
      <c r="E23" s="2">
        <v>953.86446505583024</v>
      </c>
      <c r="F23" s="2">
        <v>958094</v>
      </c>
      <c r="G23" s="52">
        <v>42.502092696541261</v>
      </c>
    </row>
    <row r="24" spans="2:7" s="12" customFormat="1" ht="20.25" customHeight="1" x14ac:dyDescent="0.2">
      <c r="B24" s="13" t="s">
        <v>22</v>
      </c>
      <c r="C24" s="2">
        <v>425645.19222000003</v>
      </c>
      <c r="D24" s="2">
        <v>29569</v>
      </c>
      <c r="E24" s="2">
        <v>1107.3062282483995</v>
      </c>
      <c r="F24" s="2">
        <v>555223</v>
      </c>
      <c r="G24" s="52">
        <v>53.256079088942641</v>
      </c>
    </row>
    <row r="25" spans="2:7" s="12" customFormat="1" ht="20.25" customHeight="1" x14ac:dyDescent="0.2">
      <c r="B25" s="13" t="s">
        <v>23</v>
      </c>
      <c r="C25" s="2">
        <v>215751.24713</v>
      </c>
      <c r="D25" s="2">
        <v>18462</v>
      </c>
      <c r="E25" s="2">
        <v>898.94105618192884</v>
      </c>
      <c r="F25" s="2">
        <v>321890</v>
      </c>
      <c r="G25" s="52">
        <v>57.354997048681227</v>
      </c>
    </row>
    <row r="26" spans="2:7" s="12" customFormat="1" ht="20.25" customHeight="1" x14ac:dyDescent="0.2">
      <c r="B26" s="13" t="s">
        <v>24</v>
      </c>
      <c r="C26" s="2">
        <v>280577.77965000004</v>
      </c>
      <c r="D26" s="2">
        <v>15488.3</v>
      </c>
      <c r="E26" s="2">
        <v>1393.4974223719248</v>
      </c>
      <c r="F26" s="2">
        <v>181198</v>
      </c>
      <c r="G26" s="52">
        <v>85.477212772767899</v>
      </c>
    </row>
    <row r="27" spans="2:7" s="12" customFormat="1" ht="20.25" customHeight="1" x14ac:dyDescent="0.2">
      <c r="B27" s="13" t="s">
        <v>25</v>
      </c>
      <c r="C27" s="2">
        <v>1172742.3976799999</v>
      </c>
      <c r="D27" s="2">
        <v>94959</v>
      </c>
      <c r="E27" s="2">
        <v>949.99898553788796</v>
      </c>
      <c r="F27" s="2">
        <v>2949050</v>
      </c>
      <c r="G27" s="52">
        <v>32.199860972177483</v>
      </c>
    </row>
    <row r="28" spans="2:7" s="12" customFormat="1" ht="20.25" customHeight="1" x14ac:dyDescent="0.2">
      <c r="B28" s="13" t="s">
        <v>56</v>
      </c>
      <c r="C28" s="2">
        <v>383264.11972000002</v>
      </c>
      <c r="D28" s="2">
        <v>31961</v>
      </c>
      <c r="E28" s="2">
        <v>922.43219433299714</v>
      </c>
      <c r="F28" s="2">
        <v>700114</v>
      </c>
      <c r="G28" s="52">
        <v>45.65113681486158</v>
      </c>
    </row>
    <row r="29" spans="2:7" s="12" customFormat="1" ht="20.25" customHeight="1" x14ac:dyDescent="0.2">
      <c r="B29" s="13" t="s">
        <v>26</v>
      </c>
      <c r="C29" s="2">
        <v>514145</v>
      </c>
      <c r="D29" s="2">
        <v>48190.566666666666</v>
      </c>
      <c r="E29" s="2">
        <v>820.69205905337049</v>
      </c>
      <c r="F29" s="2">
        <v>1216623</v>
      </c>
      <c r="G29" s="52">
        <v>39.610106554509215</v>
      </c>
    </row>
    <row r="30" spans="2:7" s="12" customFormat="1" ht="20.25" customHeight="1" thickBot="1" x14ac:dyDescent="0.25">
      <c r="B30" s="13" t="s">
        <v>55</v>
      </c>
      <c r="C30" s="2">
        <v>196237.94055999999</v>
      </c>
      <c r="D30" s="2">
        <v>7326</v>
      </c>
      <c r="E30" s="2">
        <v>2060.5004363804364</v>
      </c>
      <c r="F30" s="2">
        <v>89992</v>
      </c>
      <c r="G30" s="52">
        <v>81.407236198773234</v>
      </c>
    </row>
    <row r="31" spans="2:7" s="12" customFormat="1" ht="26.25" customHeight="1" thickBot="1" x14ac:dyDescent="0.25">
      <c r="B31" s="44" t="s">
        <v>27</v>
      </c>
      <c r="C31" s="46">
        <v>15149199.51285</v>
      </c>
      <c r="D31" s="46">
        <v>1213118.1333333335</v>
      </c>
      <c r="E31" s="46">
        <v>960.60145127663282</v>
      </c>
      <c r="F31" s="46">
        <v>34768457</v>
      </c>
      <c r="G31" s="53">
        <v>34.891342268462864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36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1651546.9739900001</v>
      </c>
      <c r="D7" s="2">
        <v>106339</v>
      </c>
      <c r="E7" s="2">
        <v>1194.6893888630484</v>
      </c>
      <c r="F7" s="2">
        <v>3032875</v>
      </c>
      <c r="G7" s="52">
        <v>35.062111033260521</v>
      </c>
    </row>
    <row r="8" spans="2:7" s="12" customFormat="1" ht="20.25" customHeight="1" x14ac:dyDescent="0.2">
      <c r="B8" s="13" t="s">
        <v>6</v>
      </c>
      <c r="C8" s="2">
        <v>3610484.0115800002</v>
      </c>
      <c r="D8" s="2">
        <v>323936</v>
      </c>
      <c r="E8" s="2">
        <v>857.35929119427215</v>
      </c>
      <c r="F8" s="2">
        <v>13544764</v>
      </c>
      <c r="G8" s="52">
        <v>23.915957487336065</v>
      </c>
    </row>
    <row r="9" spans="2:7" s="12" customFormat="1" ht="20.25" customHeight="1" x14ac:dyDescent="0.2">
      <c r="B9" s="13" t="s">
        <v>7</v>
      </c>
      <c r="C9" s="2">
        <v>266694.89019000001</v>
      </c>
      <c r="D9" s="2">
        <v>22456</v>
      </c>
      <c r="E9" s="2">
        <v>913.5639273725028</v>
      </c>
      <c r="F9" s="2">
        <v>294895</v>
      </c>
      <c r="G9" s="52">
        <v>76.149137828718693</v>
      </c>
    </row>
    <row r="10" spans="2:7" s="12" customFormat="1" ht="20.25" customHeight="1" x14ac:dyDescent="0.2">
      <c r="B10" s="13" t="s">
        <v>8</v>
      </c>
      <c r="C10" s="2">
        <v>1052753.73025</v>
      </c>
      <c r="D10" s="2">
        <v>76892.899999999994</v>
      </c>
      <c r="E10" s="2">
        <v>1053.1668876200135</v>
      </c>
      <c r="F10" s="2">
        <v>2962371</v>
      </c>
      <c r="G10" s="52">
        <v>25.956539542143776</v>
      </c>
    </row>
    <row r="11" spans="2:7" s="12" customFormat="1" ht="20.25" customHeight="1" x14ac:dyDescent="0.2">
      <c r="B11" s="13" t="s">
        <v>9</v>
      </c>
      <c r="C11" s="2">
        <v>364833</v>
      </c>
      <c r="D11" s="2">
        <v>39872</v>
      </c>
      <c r="E11" s="2">
        <v>703.85425669835774</v>
      </c>
      <c r="F11" s="2">
        <v>870657</v>
      </c>
      <c r="G11" s="52">
        <v>45.795301708939341</v>
      </c>
    </row>
    <row r="12" spans="2:7" s="12" customFormat="1" ht="20.25" customHeight="1" x14ac:dyDescent="0.2">
      <c r="B12" s="13" t="s">
        <v>10</v>
      </c>
      <c r="C12" s="2">
        <v>505987</v>
      </c>
      <c r="D12" s="2">
        <v>39344</v>
      </c>
      <c r="E12" s="2">
        <v>989.27605030187385</v>
      </c>
      <c r="F12" s="2">
        <v>907389</v>
      </c>
      <c r="G12" s="52">
        <v>43.359573457469729</v>
      </c>
    </row>
    <row r="13" spans="2:7" s="12" customFormat="1" ht="20.25" customHeight="1" x14ac:dyDescent="0.2">
      <c r="B13" s="13" t="s">
        <v>11</v>
      </c>
      <c r="C13" s="2">
        <v>283924.01017000002</v>
      </c>
      <c r="D13" s="2">
        <v>22673</v>
      </c>
      <c r="E13" s="2">
        <v>963.27387088675448</v>
      </c>
      <c r="F13" s="2">
        <v>408804</v>
      </c>
      <c r="G13" s="52">
        <v>55.461786088198743</v>
      </c>
    </row>
    <row r="14" spans="2:7" s="12" customFormat="1" ht="20.25" customHeight="1" x14ac:dyDescent="0.2">
      <c r="B14" s="13" t="s">
        <v>12</v>
      </c>
      <c r="C14" s="2">
        <v>551511.60700000008</v>
      </c>
      <c r="D14" s="2">
        <v>47849.5</v>
      </c>
      <c r="E14" s="2">
        <v>886.61260345940457</v>
      </c>
      <c r="F14" s="2">
        <v>1078274</v>
      </c>
      <c r="G14" s="52">
        <v>44.376012034047008</v>
      </c>
    </row>
    <row r="15" spans="2:7" s="12" customFormat="1" ht="20.25" customHeight="1" x14ac:dyDescent="0.2">
      <c r="B15" s="13" t="s">
        <v>13</v>
      </c>
      <c r="C15" s="2">
        <v>347055.54894000001</v>
      </c>
      <c r="D15" s="2">
        <v>32571.599999999999</v>
      </c>
      <c r="E15" s="2">
        <v>819.62754938941634</v>
      </c>
      <c r="F15" s="2">
        <v>458282</v>
      </c>
      <c r="G15" s="52">
        <v>71.073269297070368</v>
      </c>
    </row>
    <row r="16" spans="2:7" s="12" customFormat="1" ht="20.25" customHeight="1" x14ac:dyDescent="0.2">
      <c r="B16" s="13" t="s">
        <v>14</v>
      </c>
      <c r="C16" s="2">
        <v>330783.59999999998</v>
      </c>
      <c r="D16" s="2">
        <v>25111</v>
      </c>
      <c r="E16" s="2">
        <v>1013.2966551587872</v>
      </c>
      <c r="F16" s="2">
        <v>564739</v>
      </c>
      <c r="G16" s="52">
        <v>44.464788158777772</v>
      </c>
    </row>
    <row r="17" spans="2:7" s="12" customFormat="1" ht="20.25" customHeight="1" x14ac:dyDescent="0.2">
      <c r="B17" s="13" t="s">
        <v>15</v>
      </c>
      <c r="C17" s="2">
        <v>209927.13235</v>
      </c>
      <c r="D17" s="2">
        <v>15648</v>
      </c>
      <c r="E17" s="2">
        <v>1031.9683633691209</v>
      </c>
      <c r="F17" s="2">
        <v>287175</v>
      </c>
      <c r="G17" s="52">
        <v>54.489422825803082</v>
      </c>
    </row>
    <row r="18" spans="2:7" s="12" customFormat="1" ht="20.25" customHeight="1" x14ac:dyDescent="0.2">
      <c r="B18" s="13" t="s">
        <v>16</v>
      </c>
      <c r="C18" s="2">
        <v>288136.054</v>
      </c>
      <c r="D18" s="2">
        <v>25989.4</v>
      </c>
      <c r="E18" s="2">
        <v>852.8212211960971</v>
      </c>
      <c r="F18" s="2">
        <v>253898</v>
      </c>
      <c r="G18" s="52">
        <v>102.36157827158938</v>
      </c>
    </row>
    <row r="19" spans="2:7" s="12" customFormat="1" ht="20.25" customHeight="1" x14ac:dyDescent="0.2">
      <c r="B19" s="13" t="s">
        <v>17</v>
      </c>
      <c r="C19" s="2">
        <v>638084</v>
      </c>
      <c r="D19" s="2">
        <v>45903</v>
      </c>
      <c r="E19" s="2">
        <v>1069.2848967471541</v>
      </c>
      <c r="F19" s="2">
        <v>1528895</v>
      </c>
      <c r="G19" s="52">
        <v>30.023644527583645</v>
      </c>
    </row>
    <row r="20" spans="2:7" s="12" customFormat="1" ht="20.25" customHeight="1" x14ac:dyDescent="0.2">
      <c r="B20" s="13" t="s">
        <v>18</v>
      </c>
      <c r="C20" s="2">
        <v>360666.10943000001</v>
      </c>
      <c r="D20" s="2">
        <v>32231.066666666666</v>
      </c>
      <c r="E20" s="2">
        <v>860.77036066333847</v>
      </c>
      <c r="F20" s="2">
        <v>906092</v>
      </c>
      <c r="G20" s="52">
        <v>35.571516652466485</v>
      </c>
    </row>
    <row r="21" spans="2:7" s="12" customFormat="1" ht="20.25" customHeight="1" x14ac:dyDescent="0.2">
      <c r="B21" s="13" t="s">
        <v>19</v>
      </c>
      <c r="C21" s="2">
        <v>418022.82400000002</v>
      </c>
      <c r="D21" s="2">
        <v>32755</v>
      </c>
      <c r="E21" s="2">
        <v>981.70056010239193</v>
      </c>
      <c r="F21" s="2">
        <v>481819</v>
      </c>
      <c r="G21" s="52">
        <v>67.9819600306339</v>
      </c>
    </row>
    <row r="22" spans="2:7" s="12" customFormat="1" ht="20.25" customHeight="1" x14ac:dyDescent="0.2">
      <c r="B22" s="13" t="s">
        <v>20</v>
      </c>
      <c r="C22" s="2">
        <v>391865.29800000001</v>
      </c>
      <c r="D22" s="2">
        <v>31451</v>
      </c>
      <c r="E22" s="2">
        <v>958.42690094236946</v>
      </c>
      <c r="F22" s="2">
        <v>571366</v>
      </c>
      <c r="G22" s="52">
        <v>55.045277457881639</v>
      </c>
    </row>
    <row r="23" spans="2:7" s="12" customFormat="1" ht="20.25" customHeight="1" x14ac:dyDescent="0.2">
      <c r="B23" s="13" t="s">
        <v>21</v>
      </c>
      <c r="C23" s="2">
        <v>467365.94896000001</v>
      </c>
      <c r="D23" s="2">
        <v>38916</v>
      </c>
      <c r="E23" s="2">
        <v>923.81608703558743</v>
      </c>
      <c r="F23" s="2">
        <v>979393</v>
      </c>
      <c r="G23" s="52">
        <v>39.734815339705307</v>
      </c>
    </row>
    <row r="24" spans="2:7" s="12" customFormat="1" ht="20.25" customHeight="1" x14ac:dyDescent="0.2">
      <c r="B24" s="13" t="s">
        <v>22</v>
      </c>
      <c r="C24" s="2">
        <v>317479.799</v>
      </c>
      <c r="D24" s="2">
        <v>28851</v>
      </c>
      <c r="E24" s="2">
        <v>846.47059027416731</v>
      </c>
      <c r="F24" s="2">
        <v>560139</v>
      </c>
      <c r="G24" s="52">
        <v>51.506858119145427</v>
      </c>
    </row>
    <row r="25" spans="2:7" s="12" customFormat="1" ht="20.25" customHeight="1" x14ac:dyDescent="0.2">
      <c r="B25" s="13" t="s">
        <v>23</v>
      </c>
      <c r="C25" s="2">
        <v>203290</v>
      </c>
      <c r="D25" s="2">
        <v>18113</v>
      </c>
      <c r="E25" s="2">
        <v>863.34082193409745</v>
      </c>
      <c r="F25" s="2">
        <v>330026</v>
      </c>
      <c r="G25" s="52">
        <v>54.883554629029227</v>
      </c>
    </row>
    <row r="26" spans="2:7" s="12" customFormat="1" ht="20.25" customHeight="1" x14ac:dyDescent="0.2">
      <c r="B26" s="13" t="s">
        <v>24</v>
      </c>
      <c r="C26" s="2">
        <v>265534.39159000001</v>
      </c>
      <c r="D26" s="2">
        <v>16412.3</v>
      </c>
      <c r="E26" s="2">
        <v>1244.5374767704711</v>
      </c>
      <c r="F26" s="2">
        <v>186210</v>
      </c>
      <c r="G26" s="52">
        <v>88.138660651952094</v>
      </c>
    </row>
    <row r="27" spans="2:7" s="12" customFormat="1" ht="20.25" customHeight="1" x14ac:dyDescent="0.2">
      <c r="B27" s="13" t="s">
        <v>25</v>
      </c>
      <c r="C27" s="2">
        <v>1185451.08256</v>
      </c>
      <c r="D27" s="2">
        <v>94802</v>
      </c>
      <c r="E27" s="2">
        <v>961.88418822712276</v>
      </c>
      <c r="F27" s="2">
        <v>2979021</v>
      </c>
      <c r="G27" s="52">
        <v>31.823206348662868</v>
      </c>
    </row>
    <row r="28" spans="2:7" s="12" customFormat="1" ht="20.25" customHeight="1" x14ac:dyDescent="0.2">
      <c r="B28" s="13" t="s">
        <v>56</v>
      </c>
      <c r="C28" s="2">
        <v>361844.61953000003</v>
      </c>
      <c r="D28" s="2">
        <v>31535</v>
      </c>
      <c r="E28" s="2">
        <v>882.64472815309</v>
      </c>
      <c r="F28" s="2">
        <v>705460</v>
      </c>
      <c r="G28" s="52">
        <v>44.701329628894619</v>
      </c>
    </row>
    <row r="29" spans="2:7" s="12" customFormat="1" ht="20.25" customHeight="1" x14ac:dyDescent="0.2">
      <c r="B29" s="13" t="s">
        <v>26</v>
      </c>
      <c r="C29" s="2">
        <v>507825</v>
      </c>
      <c r="D29" s="2">
        <v>45194.766666666663</v>
      </c>
      <c r="E29" s="2">
        <v>864.33594903970902</v>
      </c>
      <c r="F29" s="2">
        <v>1232100</v>
      </c>
      <c r="G29" s="52">
        <v>36.681086491897304</v>
      </c>
    </row>
    <row r="30" spans="2:7" s="12" customFormat="1" ht="20.25" customHeight="1" thickBot="1" x14ac:dyDescent="0.25">
      <c r="B30" s="13" t="s">
        <v>55</v>
      </c>
      <c r="C30" s="2">
        <v>171090.76194</v>
      </c>
      <c r="D30" s="2">
        <v>6636</v>
      </c>
      <c r="E30" s="2">
        <v>1983.2471129503408</v>
      </c>
      <c r="F30" s="2">
        <v>94968</v>
      </c>
      <c r="G30" s="52">
        <v>69.876168814758657</v>
      </c>
    </row>
    <row r="31" spans="2:7" s="12" customFormat="1" ht="26.25" customHeight="1" thickBot="1" x14ac:dyDescent="0.25">
      <c r="B31" s="44" t="s">
        <v>27</v>
      </c>
      <c r="C31" s="46">
        <v>14752157.393479997</v>
      </c>
      <c r="D31" s="46">
        <v>1201482.5333333332</v>
      </c>
      <c r="E31" s="46">
        <v>944.48425713831989</v>
      </c>
      <c r="F31" s="46">
        <v>35219612</v>
      </c>
      <c r="G31" s="53">
        <v>34.114019579015618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37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1723283.89876</v>
      </c>
      <c r="D7" s="2">
        <v>109318</v>
      </c>
      <c r="E7" s="2">
        <v>1212.6118288352823</v>
      </c>
      <c r="F7" s="2">
        <v>2985428</v>
      </c>
      <c r="G7" s="52">
        <v>36.617195256425546</v>
      </c>
    </row>
    <row r="8" spans="2:7" s="12" customFormat="1" ht="20.25" customHeight="1" x14ac:dyDescent="0.2">
      <c r="B8" s="13" t="s">
        <v>6</v>
      </c>
      <c r="C8" s="2">
        <v>3991144.2730800002</v>
      </c>
      <c r="D8" s="2">
        <v>348788</v>
      </c>
      <c r="E8" s="2">
        <v>880.22265080573527</v>
      </c>
      <c r="F8" s="2">
        <v>13634681</v>
      </c>
      <c r="G8" s="52">
        <v>25.580943184516016</v>
      </c>
    </row>
    <row r="9" spans="2:7" s="12" customFormat="1" ht="20.25" customHeight="1" x14ac:dyDescent="0.2">
      <c r="B9" s="13" t="s">
        <v>7</v>
      </c>
      <c r="C9" s="2">
        <v>275998.49358000001</v>
      </c>
      <c r="D9" s="2">
        <v>21843.533333333333</v>
      </c>
      <c r="E9" s="2">
        <v>971.94226906091319</v>
      </c>
      <c r="F9" s="2">
        <v>298246</v>
      </c>
      <c r="G9" s="52">
        <v>73.239987571780787</v>
      </c>
    </row>
    <row r="10" spans="2:7" s="12" customFormat="1" ht="20.25" customHeight="1" x14ac:dyDescent="0.2">
      <c r="B10" s="13" t="s">
        <v>8</v>
      </c>
      <c r="C10" s="2">
        <v>1180495.1780000001</v>
      </c>
      <c r="D10" s="2">
        <v>75730.933333333334</v>
      </c>
      <c r="E10" s="2">
        <v>1199.0783341454753</v>
      </c>
      <c r="F10" s="2">
        <v>2973533</v>
      </c>
      <c r="G10" s="52">
        <v>25.468334581567898</v>
      </c>
    </row>
    <row r="11" spans="2:7" s="12" customFormat="1" ht="20.25" customHeight="1" x14ac:dyDescent="0.2">
      <c r="B11" s="13" t="s">
        <v>9</v>
      </c>
      <c r="C11" s="2">
        <v>439106.36109000002</v>
      </c>
      <c r="D11" s="2">
        <v>40576</v>
      </c>
      <c r="E11" s="2">
        <v>832.44805775676411</v>
      </c>
      <c r="F11" s="2">
        <v>876423</v>
      </c>
      <c r="G11" s="52">
        <v>46.297278825407368</v>
      </c>
    </row>
    <row r="12" spans="2:7" s="12" customFormat="1" ht="20.25" customHeight="1" x14ac:dyDescent="0.2">
      <c r="B12" s="13" t="s">
        <v>10</v>
      </c>
      <c r="C12" s="2">
        <v>526144</v>
      </c>
      <c r="D12" s="2">
        <v>38960</v>
      </c>
      <c r="E12" s="2">
        <v>1038.8248302006002</v>
      </c>
      <c r="F12" s="2">
        <v>911091</v>
      </c>
      <c r="G12" s="52">
        <v>42.761919500906053</v>
      </c>
    </row>
    <row r="13" spans="2:7" s="12" customFormat="1" ht="20.25" customHeight="1" x14ac:dyDescent="0.2">
      <c r="B13" s="13" t="s">
        <v>11</v>
      </c>
      <c r="C13" s="2">
        <v>290411.21004999999</v>
      </c>
      <c r="D13" s="2">
        <v>21036</v>
      </c>
      <c r="E13" s="2">
        <v>1061.9568287697282</v>
      </c>
      <c r="F13" s="2">
        <v>415163</v>
      </c>
      <c r="G13" s="52">
        <v>50.669255208195331</v>
      </c>
    </row>
    <row r="14" spans="2:7" s="12" customFormat="1" ht="20.25" customHeight="1" x14ac:dyDescent="0.2">
      <c r="B14" s="13" t="s">
        <v>12</v>
      </c>
      <c r="C14" s="2">
        <v>568595.67000000004</v>
      </c>
      <c r="D14" s="2">
        <v>49249</v>
      </c>
      <c r="E14" s="2">
        <v>888.10185915528166</v>
      </c>
      <c r="F14" s="2">
        <v>1079142</v>
      </c>
      <c r="G14" s="52">
        <v>45.637182131730576</v>
      </c>
    </row>
    <row r="15" spans="2:7" s="12" customFormat="1" ht="20.25" customHeight="1" x14ac:dyDescent="0.2">
      <c r="B15" s="13" t="s">
        <v>13</v>
      </c>
      <c r="C15" s="2">
        <v>355518.35623999999</v>
      </c>
      <c r="D15" s="2">
        <v>32049.533333333333</v>
      </c>
      <c r="E15" s="2">
        <v>853.29061051170947</v>
      </c>
      <c r="F15" s="2">
        <v>465595</v>
      </c>
      <c r="G15" s="52">
        <v>68.835647576398657</v>
      </c>
    </row>
    <row r="16" spans="2:7" s="12" customFormat="1" ht="20.25" customHeight="1" x14ac:dyDescent="0.2">
      <c r="B16" s="13" t="s">
        <v>14</v>
      </c>
      <c r="C16" s="2">
        <v>327063.77601999999</v>
      </c>
      <c r="D16" s="2">
        <v>28479.5</v>
      </c>
      <c r="E16" s="2">
        <v>883.39865522703906</v>
      </c>
      <c r="F16" s="2">
        <v>569706</v>
      </c>
      <c r="G16" s="52">
        <v>49.989819310310935</v>
      </c>
    </row>
    <row r="17" spans="2:7" s="12" customFormat="1" ht="20.25" customHeight="1" x14ac:dyDescent="0.2">
      <c r="B17" s="13" t="s">
        <v>15</v>
      </c>
      <c r="C17" s="2">
        <v>218574.63500000001</v>
      </c>
      <c r="D17" s="2">
        <v>16620.400000000001</v>
      </c>
      <c r="E17" s="2">
        <v>1011.6142488471072</v>
      </c>
      <c r="F17" s="2">
        <v>289815</v>
      </c>
      <c r="G17" s="52">
        <v>57.348308403636807</v>
      </c>
    </row>
    <row r="18" spans="2:7" s="12" customFormat="1" ht="20.25" customHeight="1" x14ac:dyDescent="0.2">
      <c r="B18" s="13" t="s">
        <v>16</v>
      </c>
      <c r="C18" s="2">
        <v>287490.93267000001</v>
      </c>
      <c r="D18" s="2">
        <v>22522.400000000001</v>
      </c>
      <c r="E18" s="2">
        <v>981.89745002582038</v>
      </c>
      <c r="F18" s="2">
        <v>258231</v>
      </c>
      <c r="G18" s="52">
        <v>87.218033466160151</v>
      </c>
    </row>
    <row r="19" spans="2:7" s="12" customFormat="1" ht="20.25" customHeight="1" x14ac:dyDescent="0.2">
      <c r="B19" s="13" t="s">
        <v>17</v>
      </c>
      <c r="C19" s="2">
        <v>645900</v>
      </c>
      <c r="D19" s="2">
        <v>54829.966666666667</v>
      </c>
      <c r="E19" s="2">
        <v>906.15804468144336</v>
      </c>
      <c r="F19" s="2">
        <v>1536986</v>
      </c>
      <c r="G19" s="52">
        <v>35.673692972263034</v>
      </c>
    </row>
    <row r="20" spans="2:7" s="12" customFormat="1" ht="20.25" customHeight="1" x14ac:dyDescent="0.2">
      <c r="B20" s="13" t="s">
        <v>18</v>
      </c>
      <c r="C20" s="2">
        <v>405300</v>
      </c>
      <c r="D20" s="2">
        <v>33733.066666666666</v>
      </c>
      <c r="E20" s="2">
        <v>924.2243933822524</v>
      </c>
      <c r="F20" s="2">
        <v>918797</v>
      </c>
      <c r="G20" s="52">
        <v>36.714384860493304</v>
      </c>
    </row>
    <row r="21" spans="2:7" s="12" customFormat="1" ht="20.25" customHeight="1" x14ac:dyDescent="0.2">
      <c r="B21" s="13" t="s">
        <v>19</v>
      </c>
      <c r="C21" s="2">
        <v>430313.54349000001</v>
      </c>
      <c r="D21" s="2">
        <v>33753</v>
      </c>
      <c r="E21" s="2">
        <v>980.68443714404884</v>
      </c>
      <c r="F21" s="2">
        <v>496567</v>
      </c>
      <c r="G21" s="52">
        <v>67.972700562059103</v>
      </c>
    </row>
    <row r="22" spans="2:7" s="12" customFormat="1" ht="20.25" customHeight="1" x14ac:dyDescent="0.2">
      <c r="B22" s="13" t="s">
        <v>20</v>
      </c>
      <c r="C22" s="2">
        <v>383556</v>
      </c>
      <c r="D22" s="2">
        <v>30759.533333333333</v>
      </c>
      <c r="E22" s="2">
        <v>959.19230544159836</v>
      </c>
      <c r="F22" s="2">
        <v>578536</v>
      </c>
      <c r="G22" s="52">
        <v>53.167881226636432</v>
      </c>
    </row>
    <row r="23" spans="2:7" s="12" customFormat="1" ht="20.25" customHeight="1" x14ac:dyDescent="0.2">
      <c r="B23" s="13" t="s">
        <v>21</v>
      </c>
      <c r="C23" s="2">
        <v>458324.33789999998</v>
      </c>
      <c r="D23" s="2">
        <v>39239.933333333334</v>
      </c>
      <c r="E23" s="2">
        <v>898.46529555775658</v>
      </c>
      <c r="F23" s="2">
        <v>992374</v>
      </c>
      <c r="G23" s="52">
        <v>39.541476634145326</v>
      </c>
    </row>
    <row r="24" spans="2:7" s="12" customFormat="1" ht="20.25" customHeight="1" x14ac:dyDescent="0.2">
      <c r="B24" s="13" t="s">
        <v>22</v>
      </c>
      <c r="C24" s="2">
        <v>347125.69</v>
      </c>
      <c r="D24" s="2">
        <v>28393</v>
      </c>
      <c r="E24" s="2">
        <v>940.44222709280996</v>
      </c>
      <c r="F24" s="2">
        <v>558647</v>
      </c>
      <c r="G24" s="52">
        <v>50.824581533598142</v>
      </c>
    </row>
    <row r="25" spans="2:7" s="12" customFormat="1" ht="20.25" customHeight="1" x14ac:dyDescent="0.2">
      <c r="B25" s="13" t="s">
        <v>23</v>
      </c>
      <c r="C25" s="2">
        <v>197060.82</v>
      </c>
      <c r="D25" s="2">
        <v>17001</v>
      </c>
      <c r="E25" s="2">
        <v>891.62546999497772</v>
      </c>
      <c r="F25" s="2">
        <v>335637</v>
      </c>
      <c r="G25" s="52">
        <v>50.652937548601621</v>
      </c>
    </row>
    <row r="26" spans="2:7" s="12" customFormat="1" ht="20.25" customHeight="1" x14ac:dyDescent="0.2">
      <c r="B26" s="13" t="s">
        <v>24</v>
      </c>
      <c r="C26" s="2">
        <v>281665.91673</v>
      </c>
      <c r="D26" s="2">
        <v>16941.3</v>
      </c>
      <c r="E26" s="2">
        <v>1278.9224545478073</v>
      </c>
      <c r="F26" s="2">
        <v>189688</v>
      </c>
      <c r="G26" s="52">
        <v>89.311395554805785</v>
      </c>
    </row>
    <row r="27" spans="2:7" s="12" customFormat="1" ht="20.25" customHeight="1" x14ac:dyDescent="0.2">
      <c r="B27" s="13" t="s">
        <v>25</v>
      </c>
      <c r="C27" s="2">
        <v>1213386.11534</v>
      </c>
      <c r="D27" s="2">
        <v>94625</v>
      </c>
      <c r="E27" s="2">
        <v>986.39253355553308</v>
      </c>
      <c r="F27" s="2">
        <v>2987522</v>
      </c>
      <c r="G27" s="52">
        <v>31.673406923865333</v>
      </c>
    </row>
    <row r="28" spans="2:7" s="12" customFormat="1" ht="20.25" customHeight="1" x14ac:dyDescent="0.2">
      <c r="B28" s="13" t="s">
        <v>56</v>
      </c>
      <c r="C28" s="2">
        <v>372160.95668</v>
      </c>
      <c r="D28" s="2">
        <v>33651</v>
      </c>
      <c r="E28" s="2">
        <v>850.72556234470119</v>
      </c>
      <c r="F28" s="2">
        <v>705009</v>
      </c>
      <c r="G28" s="52">
        <v>47.731305557801392</v>
      </c>
    </row>
    <row r="29" spans="2:7" s="12" customFormat="1" ht="20.25" customHeight="1" x14ac:dyDescent="0.2">
      <c r="B29" s="13" t="s">
        <v>26</v>
      </c>
      <c r="C29" s="2">
        <v>538765</v>
      </c>
      <c r="D29" s="2">
        <v>45673.166666666664</v>
      </c>
      <c r="E29" s="2">
        <v>907.39190126503627</v>
      </c>
      <c r="F29" s="2">
        <v>1237629</v>
      </c>
      <c r="G29" s="52">
        <v>36.903762489943809</v>
      </c>
    </row>
    <row r="30" spans="2:7" s="12" customFormat="1" ht="20.25" customHeight="1" thickBot="1" x14ac:dyDescent="0.25">
      <c r="B30" s="13" t="s">
        <v>55</v>
      </c>
      <c r="C30" s="2">
        <v>189422.96299999999</v>
      </c>
      <c r="D30" s="2">
        <v>6878</v>
      </c>
      <c r="E30" s="2">
        <v>2118.4933343771668</v>
      </c>
      <c r="F30" s="2">
        <v>99143</v>
      </c>
      <c r="G30" s="52">
        <v>60.257746861393166</v>
      </c>
    </row>
    <row r="31" spans="2:7" s="12" customFormat="1" ht="26.25" customHeight="1" thickBot="1" x14ac:dyDescent="0.25">
      <c r="B31" s="44" t="s">
        <v>27</v>
      </c>
      <c r="C31" s="46">
        <v>15646808.127629999</v>
      </c>
      <c r="D31" s="46">
        <v>1240651.2666666668</v>
      </c>
      <c r="E31" s="46">
        <v>970.13613538322875</v>
      </c>
      <c r="F31" s="46">
        <v>35408589</v>
      </c>
      <c r="G31" s="53">
        <v>35.038144746933206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38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61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1656577.45848</v>
      </c>
      <c r="D7" s="2">
        <v>110847</v>
      </c>
      <c r="E7" s="2">
        <v>1149.5939021145571</v>
      </c>
      <c r="F7" s="2">
        <v>3040292</v>
      </c>
      <c r="G7" s="52">
        <v>36.459326933070905</v>
      </c>
    </row>
    <row r="8" spans="2:7" s="12" customFormat="1" ht="20.25" customHeight="1" x14ac:dyDescent="0.2">
      <c r="B8" s="13" t="s">
        <v>6</v>
      </c>
      <c r="C8" s="2">
        <v>4793804.2504500002</v>
      </c>
      <c r="D8" s="2">
        <v>365938.66666666669</v>
      </c>
      <c r="E8" s="2">
        <v>1007.6939298886292</v>
      </c>
      <c r="F8" s="2">
        <v>13879577</v>
      </c>
      <c r="G8" s="52">
        <v>26.365260747259565</v>
      </c>
    </row>
    <row r="9" spans="2:7" s="12" customFormat="1" ht="20.25" customHeight="1" x14ac:dyDescent="0.2">
      <c r="B9" s="13" t="s">
        <v>7</v>
      </c>
      <c r="C9" s="2">
        <v>273247.48255000002</v>
      </c>
      <c r="D9" s="2">
        <v>22145</v>
      </c>
      <c r="E9" s="2">
        <v>949.15498393455721</v>
      </c>
      <c r="F9" s="2">
        <v>306430</v>
      </c>
      <c r="G9" s="52">
        <v>72.267728355578768</v>
      </c>
    </row>
    <row r="10" spans="2:7" s="12" customFormat="1" ht="20.25" customHeight="1" x14ac:dyDescent="0.2">
      <c r="B10" s="13" t="s">
        <v>8</v>
      </c>
      <c r="C10" s="2">
        <v>1213417.96673</v>
      </c>
      <c r="D10" s="2">
        <v>74368.866666666669</v>
      </c>
      <c r="E10" s="2">
        <v>1255.0929949353635</v>
      </c>
      <c r="F10" s="2">
        <v>3027113</v>
      </c>
      <c r="G10" s="52">
        <v>24.567588546138406</v>
      </c>
    </row>
    <row r="11" spans="2:7" s="12" customFormat="1" ht="20.25" customHeight="1" x14ac:dyDescent="0.2">
      <c r="B11" s="13" t="s">
        <v>9</v>
      </c>
      <c r="C11" s="2">
        <v>476510.83123000001</v>
      </c>
      <c r="D11" s="2">
        <v>42343</v>
      </c>
      <c r="E11" s="2">
        <v>865.66089614303712</v>
      </c>
      <c r="F11" s="2">
        <v>896418</v>
      </c>
      <c r="G11" s="52">
        <v>47.235776166922129</v>
      </c>
    </row>
    <row r="12" spans="2:7" s="12" customFormat="1" ht="20.25" customHeight="1" x14ac:dyDescent="0.2">
      <c r="B12" s="13" t="s">
        <v>10</v>
      </c>
      <c r="C12" s="2">
        <v>556521.30000000005</v>
      </c>
      <c r="D12" s="2">
        <v>40637</v>
      </c>
      <c r="E12" s="2">
        <v>1053.4569670308038</v>
      </c>
      <c r="F12" s="2">
        <v>929878</v>
      </c>
      <c r="G12" s="52">
        <v>43.701431800730852</v>
      </c>
    </row>
    <row r="13" spans="2:7" s="12" customFormat="1" ht="20.25" customHeight="1" x14ac:dyDescent="0.2">
      <c r="B13" s="13" t="s">
        <v>11</v>
      </c>
      <c r="C13" s="2">
        <v>306941.96600000001</v>
      </c>
      <c r="D13" s="2">
        <v>22349</v>
      </c>
      <c r="E13" s="2">
        <v>1056.4642919834653</v>
      </c>
      <c r="F13" s="2">
        <v>428405</v>
      </c>
      <c r="G13" s="52">
        <v>52.167925210956923</v>
      </c>
    </row>
    <row r="14" spans="2:7" s="12" customFormat="1" ht="20.25" customHeight="1" x14ac:dyDescent="0.2">
      <c r="B14" s="13" t="s">
        <v>12</v>
      </c>
      <c r="C14" s="2">
        <v>597095.82169999985</v>
      </c>
      <c r="D14" s="2">
        <v>49595.133333333331</v>
      </c>
      <c r="E14" s="2">
        <v>926.10796132705718</v>
      </c>
      <c r="F14" s="2">
        <v>1096121</v>
      </c>
      <c r="G14" s="52">
        <v>45.246038834520398</v>
      </c>
    </row>
    <row r="15" spans="2:7" s="12" customFormat="1" ht="20.25" customHeight="1" x14ac:dyDescent="0.2">
      <c r="B15" s="13" t="s">
        <v>13</v>
      </c>
      <c r="C15" s="2">
        <v>371674.03208999999</v>
      </c>
      <c r="D15" s="2">
        <v>32909.333333333336</v>
      </c>
      <c r="E15" s="2">
        <v>868.75993114727009</v>
      </c>
      <c r="F15" s="2">
        <v>480979</v>
      </c>
      <c r="G15" s="52">
        <v>68.421559638431901</v>
      </c>
    </row>
    <row r="16" spans="2:7" s="12" customFormat="1" ht="20.25" customHeight="1" x14ac:dyDescent="0.2">
      <c r="B16" s="13" t="s">
        <v>14</v>
      </c>
      <c r="C16" s="2">
        <v>368708.85610000003</v>
      </c>
      <c r="D16" s="2">
        <v>29133.166666666668</v>
      </c>
      <c r="E16" s="2">
        <v>973.53713808431405</v>
      </c>
      <c r="F16" s="2">
        <v>584267</v>
      </c>
      <c r="G16" s="52">
        <v>49.862762515539416</v>
      </c>
    </row>
    <row r="17" spans="2:7" s="12" customFormat="1" ht="20.25" customHeight="1" x14ac:dyDescent="0.2">
      <c r="B17" s="13" t="s">
        <v>15</v>
      </c>
      <c r="C17" s="2">
        <v>223913.69477999999</v>
      </c>
      <c r="D17" s="2">
        <v>17098.400000000001</v>
      </c>
      <c r="E17" s="2">
        <v>1007.3533411133384</v>
      </c>
      <c r="F17" s="2">
        <v>296748</v>
      </c>
      <c r="G17" s="52">
        <v>57.619259438985267</v>
      </c>
    </row>
    <row r="18" spans="2:7" s="12" customFormat="1" ht="20.25" customHeight="1" x14ac:dyDescent="0.2">
      <c r="B18" s="13" t="s">
        <v>16</v>
      </c>
      <c r="C18" s="2">
        <v>295882.17115999997</v>
      </c>
      <c r="D18" s="2">
        <v>23253.4</v>
      </c>
      <c r="E18" s="2">
        <v>978.78877980457435</v>
      </c>
      <c r="F18" s="2">
        <v>266846</v>
      </c>
      <c r="G18" s="52">
        <v>87.141647242229595</v>
      </c>
    </row>
    <row r="19" spans="2:7" s="12" customFormat="1" ht="20.25" customHeight="1" x14ac:dyDescent="0.2">
      <c r="B19" s="13" t="s">
        <v>17</v>
      </c>
      <c r="C19" s="2">
        <v>672985.90172000008</v>
      </c>
      <c r="D19" s="2">
        <v>54044.266666666663</v>
      </c>
      <c r="E19" s="2">
        <v>957.88414718342972</v>
      </c>
      <c r="F19" s="2">
        <v>1568461</v>
      </c>
      <c r="G19" s="52">
        <v>34.45687630528694</v>
      </c>
    </row>
    <row r="20" spans="2:7" s="12" customFormat="1" ht="20.25" customHeight="1" x14ac:dyDescent="0.2">
      <c r="B20" s="13" t="s">
        <v>18</v>
      </c>
      <c r="C20" s="2">
        <v>418032.79926</v>
      </c>
      <c r="D20" s="2">
        <v>35577.066666666666</v>
      </c>
      <c r="E20" s="2">
        <v>903.85105312728103</v>
      </c>
      <c r="F20" s="2">
        <v>950262</v>
      </c>
      <c r="G20" s="52">
        <v>37.439218517279087</v>
      </c>
    </row>
    <row r="21" spans="2:7" s="12" customFormat="1" ht="20.25" customHeight="1" x14ac:dyDescent="0.2">
      <c r="B21" s="13" t="s">
        <v>19</v>
      </c>
      <c r="C21" s="2">
        <v>481871.19949999999</v>
      </c>
      <c r="D21" s="2">
        <v>34549</v>
      </c>
      <c r="E21" s="2">
        <v>1072.8824378753029</v>
      </c>
      <c r="F21" s="2">
        <v>520423</v>
      </c>
      <c r="G21" s="52">
        <v>66.386381847074404</v>
      </c>
    </row>
    <row r="22" spans="2:7" s="12" customFormat="1" ht="20.25" customHeight="1" x14ac:dyDescent="0.2">
      <c r="B22" s="13" t="s">
        <v>20</v>
      </c>
      <c r="C22" s="2">
        <v>386949.7</v>
      </c>
      <c r="D22" s="2">
        <v>28430.333333333332</v>
      </c>
      <c r="E22" s="2">
        <v>1046.9578808477402</v>
      </c>
      <c r="F22" s="2">
        <v>594794</v>
      </c>
      <c r="G22" s="52">
        <v>47.798621595600039</v>
      </c>
    </row>
    <row r="23" spans="2:7" s="12" customFormat="1" ht="20.25" customHeight="1" x14ac:dyDescent="0.2">
      <c r="B23" s="13" t="s">
        <v>21</v>
      </c>
      <c r="C23" s="2">
        <v>462830.62472000002</v>
      </c>
      <c r="D23" s="2">
        <v>38093.866666666669</v>
      </c>
      <c r="E23" s="2">
        <v>934.59548381434035</v>
      </c>
      <c r="F23" s="2">
        <v>1022846</v>
      </c>
      <c r="G23" s="52">
        <v>37.243012796321899</v>
      </c>
    </row>
    <row r="24" spans="2:7" s="12" customFormat="1" ht="20.25" customHeight="1" x14ac:dyDescent="0.2">
      <c r="B24" s="13" t="s">
        <v>22</v>
      </c>
      <c r="C24" s="2">
        <v>386195.03</v>
      </c>
      <c r="D24" s="2">
        <v>27866</v>
      </c>
      <c r="E24" s="2">
        <v>1066.0772984999642</v>
      </c>
      <c r="F24" s="2">
        <v>569527</v>
      </c>
      <c r="G24" s="52">
        <v>48.928321220942991</v>
      </c>
    </row>
    <row r="25" spans="2:7" s="12" customFormat="1" ht="20.25" customHeight="1" x14ac:dyDescent="0.2">
      <c r="B25" s="13" t="s">
        <v>23</v>
      </c>
      <c r="C25" s="2">
        <v>190119.6</v>
      </c>
      <c r="D25" s="2">
        <v>16899</v>
      </c>
      <c r="E25" s="2">
        <v>865.41124417921856</v>
      </c>
      <c r="F25" s="2">
        <v>346591</v>
      </c>
      <c r="G25" s="52">
        <v>48.757757702883225</v>
      </c>
    </row>
    <row r="26" spans="2:7" s="12" customFormat="1" ht="20.25" customHeight="1" x14ac:dyDescent="0.2">
      <c r="B26" s="13" t="s">
        <v>24</v>
      </c>
      <c r="C26" s="2">
        <v>290760.76542000001</v>
      </c>
      <c r="D26" s="2">
        <v>17728.3</v>
      </c>
      <c r="E26" s="2">
        <v>1261.6106860000896</v>
      </c>
      <c r="F26" s="2">
        <v>196438</v>
      </c>
      <c r="G26" s="52">
        <v>90.248831692442394</v>
      </c>
    </row>
    <row r="27" spans="2:7" s="12" customFormat="1" ht="20.25" customHeight="1" x14ac:dyDescent="0.2">
      <c r="B27" s="13" t="s">
        <v>25</v>
      </c>
      <c r="C27" s="2">
        <v>1292292.3538299999</v>
      </c>
      <c r="D27" s="2">
        <v>99792</v>
      </c>
      <c r="E27" s="2">
        <v>996.14301888697719</v>
      </c>
      <c r="F27" s="2">
        <v>3038867</v>
      </c>
      <c r="G27" s="52">
        <v>32.838554632367924</v>
      </c>
    </row>
    <row r="28" spans="2:7" s="12" customFormat="1" ht="20.25" customHeight="1" x14ac:dyDescent="0.2">
      <c r="B28" s="13" t="s">
        <v>56</v>
      </c>
      <c r="C28" s="2">
        <v>389984.84538000001</v>
      </c>
      <c r="D28" s="2">
        <v>34272</v>
      </c>
      <c r="E28" s="2">
        <v>875.31612570028017</v>
      </c>
      <c r="F28" s="2">
        <v>715891</v>
      </c>
      <c r="G28" s="52">
        <v>47.873209748411426</v>
      </c>
    </row>
    <row r="29" spans="2:7" s="12" customFormat="1" ht="20.25" customHeight="1" x14ac:dyDescent="0.2">
      <c r="B29" s="13" t="s">
        <v>26</v>
      </c>
      <c r="C29" s="2">
        <v>522253.37892000005</v>
      </c>
      <c r="D29" s="2">
        <v>46106.566666666666</v>
      </c>
      <c r="E29" s="2">
        <v>871.31486346485735</v>
      </c>
      <c r="F29" s="2">
        <v>1262936</v>
      </c>
      <c r="G29" s="52">
        <v>36.507445085631154</v>
      </c>
    </row>
    <row r="30" spans="2:7" s="12" customFormat="1" ht="20.25" customHeight="1" thickBot="1" x14ac:dyDescent="0.25">
      <c r="B30" s="13" t="s">
        <v>55</v>
      </c>
      <c r="C30" s="2">
        <v>211024</v>
      </c>
      <c r="D30" s="2">
        <v>7010</v>
      </c>
      <c r="E30" s="2">
        <v>2315.6370020849336</v>
      </c>
      <c r="F30" s="2">
        <v>104823</v>
      </c>
      <c r="G30" s="52">
        <v>66.874636291653545</v>
      </c>
    </row>
    <row r="31" spans="2:7" s="12" customFormat="1" ht="26.25" customHeight="1" thickBot="1" x14ac:dyDescent="0.25">
      <c r="B31" s="44" t="s">
        <v>27</v>
      </c>
      <c r="C31" s="46">
        <v>16839596.030019999</v>
      </c>
      <c r="D31" s="46">
        <v>1270986.3666666667</v>
      </c>
      <c r="E31" s="46">
        <v>1019.1718611176049</v>
      </c>
      <c r="F31" s="46">
        <v>36124933</v>
      </c>
      <c r="G31" s="53">
        <v>35.18307886319586</v>
      </c>
    </row>
    <row r="32" spans="2:7" ht="8.25" customHeight="1" x14ac:dyDescent="0.2"/>
    <row r="33" spans="2:7" x14ac:dyDescent="0.2">
      <c r="B33" s="59"/>
      <c r="C33" s="59"/>
      <c r="D33" s="59"/>
      <c r="E33" s="59"/>
      <c r="F33" s="59"/>
      <c r="G33" s="59"/>
    </row>
    <row r="34" spans="2:7" x14ac:dyDescent="0.2">
      <c r="B34" s="59"/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1:G41"/>
    <mergeCell ref="B42:G42"/>
    <mergeCell ref="B35:G35"/>
    <mergeCell ref="B36:G36"/>
    <mergeCell ref="B37:G37"/>
    <mergeCell ref="B38:G38"/>
    <mergeCell ref="B39:G39"/>
    <mergeCell ref="B40:G40"/>
    <mergeCell ref="B1:G1"/>
    <mergeCell ref="B34:G34"/>
    <mergeCell ref="B2:G2"/>
    <mergeCell ref="B3:G3"/>
    <mergeCell ref="B4:G4"/>
    <mergeCell ref="B33:G33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44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39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66</v>
      </c>
      <c r="D6" s="36" t="s">
        <v>2</v>
      </c>
      <c r="E6" s="35" t="s">
        <v>60</v>
      </c>
      <c r="F6" s="37" t="s">
        <v>3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1732063.2200770001</v>
      </c>
      <c r="D7" s="2">
        <v>114312</v>
      </c>
      <c r="E7" s="2">
        <f>+C7/D7/13*1000</f>
        <v>1165.5437076913656</v>
      </c>
      <c r="F7" s="2">
        <v>3043431</v>
      </c>
      <c r="G7" s="52">
        <v>37.560240399733068</v>
      </c>
    </row>
    <row r="8" spans="2:7" s="12" customFormat="1" ht="20.25" customHeight="1" x14ac:dyDescent="0.2">
      <c r="B8" s="13" t="s">
        <v>6</v>
      </c>
      <c r="C8" s="2">
        <v>5361228.5809099991</v>
      </c>
      <c r="D8" s="2">
        <v>404654.66666666669</v>
      </c>
      <c r="E8" s="2">
        <f t="shared" ref="E8:E30" si="0">+C8/D8/13*1000</f>
        <v>1019.1460336505984</v>
      </c>
      <c r="F8" s="2">
        <v>14047486</v>
      </c>
      <c r="G8" s="52">
        <v>28.806198252603114</v>
      </c>
    </row>
    <row r="9" spans="2:7" s="12" customFormat="1" ht="20.25" customHeight="1" x14ac:dyDescent="0.2">
      <c r="B9" s="13" t="s">
        <v>7</v>
      </c>
      <c r="C9" s="2">
        <v>291500.50771887612</v>
      </c>
      <c r="D9" s="2">
        <v>22962.766666666666</v>
      </c>
      <c r="E9" s="2">
        <f t="shared" si="0"/>
        <v>976.49888203258411</v>
      </c>
      <c r="F9" s="2">
        <v>312269</v>
      </c>
      <c r="G9" s="52">
        <v>73.535210560980005</v>
      </c>
    </row>
    <row r="10" spans="2:7" s="12" customFormat="1" ht="20.25" customHeight="1" x14ac:dyDescent="0.2">
      <c r="B10" s="13" t="s">
        <v>8</v>
      </c>
      <c r="C10" s="2">
        <v>1256629.4634199999</v>
      </c>
      <c r="D10" s="2">
        <v>72528.133333333331</v>
      </c>
      <c r="E10" s="2">
        <f t="shared" si="0"/>
        <v>1332.7766817629602</v>
      </c>
      <c r="F10" s="2">
        <v>3059115</v>
      </c>
      <c r="G10" s="52">
        <v>23.708861331899367</v>
      </c>
    </row>
    <row r="11" spans="2:7" s="12" customFormat="1" ht="20.25" customHeight="1" x14ac:dyDescent="0.2">
      <c r="B11" s="13" t="s">
        <v>9</v>
      </c>
      <c r="C11" s="2">
        <v>482257.18742999999</v>
      </c>
      <c r="D11" s="2">
        <v>41401</v>
      </c>
      <c r="E11" s="2">
        <f t="shared" si="0"/>
        <v>896.03407466932231</v>
      </c>
      <c r="F11" s="2">
        <v>909207</v>
      </c>
      <c r="G11" s="52">
        <v>45.535285144087098</v>
      </c>
    </row>
    <row r="12" spans="2:7" s="12" customFormat="1" ht="20.25" customHeight="1" x14ac:dyDescent="0.2">
      <c r="B12" s="13" t="s">
        <v>10</v>
      </c>
      <c r="C12" s="2">
        <v>593195.69999999995</v>
      </c>
      <c r="D12" s="2">
        <v>41776</v>
      </c>
      <c r="E12" s="2">
        <f t="shared" si="0"/>
        <v>1092.2644212356008</v>
      </c>
      <c r="F12" s="2">
        <v>940901</v>
      </c>
      <c r="G12" s="52">
        <v>44.399995323631288</v>
      </c>
    </row>
    <row r="13" spans="2:7" s="12" customFormat="1" ht="20.25" customHeight="1" x14ac:dyDescent="0.2">
      <c r="B13" s="13" t="s">
        <v>11</v>
      </c>
      <c r="C13" s="2">
        <v>316849.52479999996</v>
      </c>
      <c r="D13" s="2">
        <v>22921</v>
      </c>
      <c r="E13" s="2">
        <f t="shared" si="0"/>
        <v>1063.3497826984324</v>
      </c>
      <c r="F13" s="2">
        <v>438236</v>
      </c>
      <c r="G13" s="52">
        <v>52.302868773902645</v>
      </c>
    </row>
    <row r="14" spans="2:7" s="12" customFormat="1" ht="20.25" customHeight="1" x14ac:dyDescent="0.2">
      <c r="B14" s="13" t="s">
        <v>12</v>
      </c>
      <c r="C14" s="2">
        <v>645735.18782400002</v>
      </c>
      <c r="D14" s="2">
        <v>50283</v>
      </c>
      <c r="E14" s="2">
        <f t="shared" si="0"/>
        <v>987.84753345908325</v>
      </c>
      <c r="F14" s="2">
        <v>1104836</v>
      </c>
      <c r="G14" s="52">
        <v>45.51173205797059</v>
      </c>
    </row>
    <row r="15" spans="2:7" s="12" customFormat="1" ht="20.25" customHeight="1" x14ac:dyDescent="0.2">
      <c r="B15" s="13" t="s">
        <v>13</v>
      </c>
      <c r="C15" s="2">
        <v>393838.25964799995</v>
      </c>
      <c r="D15" s="2">
        <v>33439.599999999999</v>
      </c>
      <c r="E15" s="2">
        <f t="shared" si="0"/>
        <v>905.96929216120532</v>
      </c>
      <c r="F15" s="2">
        <v>492513</v>
      </c>
      <c r="G15" s="52">
        <v>67.895872799296669</v>
      </c>
    </row>
    <row r="16" spans="2:7" s="12" customFormat="1" ht="20.25" customHeight="1" x14ac:dyDescent="0.2">
      <c r="B16" s="13" t="s">
        <v>14</v>
      </c>
      <c r="C16" s="2">
        <v>372077.09610999998</v>
      </c>
      <c r="D16" s="2">
        <v>28938.166666666668</v>
      </c>
      <c r="E16" s="2">
        <f t="shared" si="0"/>
        <v>989.0507375628938</v>
      </c>
      <c r="F16" s="2">
        <v>594117</v>
      </c>
      <c r="G16" s="52">
        <v>48.707858328690591</v>
      </c>
    </row>
    <row r="17" spans="2:7" s="12" customFormat="1" ht="20.25" customHeight="1" x14ac:dyDescent="0.2">
      <c r="B17" s="13" t="s">
        <v>15</v>
      </c>
      <c r="C17" s="2">
        <v>230684.57178641378</v>
      </c>
      <c r="D17" s="2">
        <v>17177.466666666667</v>
      </c>
      <c r="E17" s="2">
        <f t="shared" si="0"/>
        <v>1033.0374906171671</v>
      </c>
      <c r="F17" s="2">
        <v>301466</v>
      </c>
      <c r="G17" s="52">
        <v>56.979781025610407</v>
      </c>
    </row>
    <row r="18" spans="2:7" s="12" customFormat="1" ht="20.25" customHeight="1" x14ac:dyDescent="0.2">
      <c r="B18" s="13" t="s">
        <v>16</v>
      </c>
      <c r="C18" s="2">
        <v>316512.04616135266</v>
      </c>
      <c r="D18" s="2">
        <v>23581.4</v>
      </c>
      <c r="E18" s="2">
        <f t="shared" si="0"/>
        <v>1032.4696783884845</v>
      </c>
      <c r="F18" s="2">
        <v>273471</v>
      </c>
      <c r="G18" s="52">
        <v>86.229984166511258</v>
      </c>
    </row>
    <row r="19" spans="2:7" s="12" customFormat="1" ht="20.25" customHeight="1" x14ac:dyDescent="0.2">
      <c r="B19" s="13" t="s">
        <v>17</v>
      </c>
      <c r="C19" s="2">
        <v>729567.23944522545</v>
      </c>
      <c r="D19" s="2">
        <v>60347.366666666669</v>
      </c>
      <c r="E19" s="2">
        <f t="shared" si="0"/>
        <v>929.95867061421552</v>
      </c>
      <c r="F19" s="2">
        <v>1588091</v>
      </c>
      <c r="G19" s="52">
        <v>37.999942488602144</v>
      </c>
    </row>
    <row r="20" spans="2:7" s="12" customFormat="1" ht="20.25" customHeight="1" x14ac:dyDescent="0.2">
      <c r="B20" s="13" t="s">
        <v>18</v>
      </c>
      <c r="C20" s="2">
        <v>455706.83170799998</v>
      </c>
      <c r="D20" s="2">
        <v>35849.066666666666</v>
      </c>
      <c r="E20" s="2">
        <f t="shared" si="0"/>
        <v>977.83219841649498</v>
      </c>
      <c r="F20" s="2">
        <v>972672</v>
      </c>
      <c r="G20" s="52">
        <v>36.856274948458136</v>
      </c>
    </row>
    <row r="21" spans="2:7" s="12" customFormat="1" ht="20.25" customHeight="1" x14ac:dyDescent="0.2">
      <c r="B21" s="13" t="s">
        <v>19</v>
      </c>
      <c r="C21" s="2">
        <v>547322.91861000005</v>
      </c>
      <c r="D21" s="2">
        <v>36177.26666666667</v>
      </c>
      <c r="E21" s="2">
        <f t="shared" si="0"/>
        <v>1163.7629608096429</v>
      </c>
      <c r="F21" s="2">
        <v>540384</v>
      </c>
      <c r="G21" s="52">
        <v>66.947331280472156</v>
      </c>
    </row>
    <row r="22" spans="2:7" s="12" customFormat="1" ht="20.25" customHeight="1" x14ac:dyDescent="0.2">
      <c r="B22" s="13" t="s">
        <v>20</v>
      </c>
      <c r="C22" s="2">
        <v>372319.05911999999</v>
      </c>
      <c r="D22" s="2">
        <v>28547.599999999999</v>
      </c>
      <c r="E22" s="2">
        <f t="shared" si="0"/>
        <v>1003.2341641544433</v>
      </c>
      <c r="F22" s="2">
        <v>606575</v>
      </c>
      <c r="G22" s="52">
        <v>47.06359477393562</v>
      </c>
    </row>
    <row r="23" spans="2:7" s="12" customFormat="1" ht="20.25" customHeight="1" x14ac:dyDescent="0.2">
      <c r="B23" s="13" t="s">
        <v>21</v>
      </c>
      <c r="C23" s="2">
        <v>466002.83051</v>
      </c>
      <c r="D23" s="2">
        <v>36237.866666666669</v>
      </c>
      <c r="E23" s="2">
        <f t="shared" si="0"/>
        <v>989.19651941502173</v>
      </c>
      <c r="F23" s="2">
        <v>1044973</v>
      </c>
      <c r="G23" s="52">
        <v>34.678280363862676</v>
      </c>
    </row>
    <row r="24" spans="2:7" s="12" customFormat="1" ht="20.25" customHeight="1" x14ac:dyDescent="0.2">
      <c r="B24" s="13" t="s">
        <v>22</v>
      </c>
      <c r="C24" s="2">
        <v>399685.52728600003</v>
      </c>
      <c r="D24" s="2">
        <v>29161.166666666668</v>
      </c>
      <c r="E24" s="2">
        <f t="shared" si="0"/>
        <v>1054.3144899482145</v>
      </c>
      <c r="F24" s="2">
        <v>574053</v>
      </c>
      <c r="G24" s="52">
        <v>50.798735772945477</v>
      </c>
    </row>
    <row r="25" spans="2:7" s="12" customFormat="1" ht="20.25" customHeight="1" x14ac:dyDescent="0.2">
      <c r="B25" s="13" t="s">
        <v>23</v>
      </c>
      <c r="C25" s="2">
        <v>199849.72</v>
      </c>
      <c r="D25" s="2">
        <v>16652</v>
      </c>
      <c r="E25" s="2">
        <f t="shared" si="0"/>
        <v>923.19573532400818</v>
      </c>
      <c r="F25" s="2">
        <v>354959</v>
      </c>
      <c r="G25" s="52">
        <v>46.912460312317755</v>
      </c>
    </row>
    <row r="26" spans="2:7" s="12" customFormat="1" ht="20.25" customHeight="1" x14ac:dyDescent="0.2">
      <c r="B26" s="13" t="s">
        <v>24</v>
      </c>
      <c r="C26" s="2">
        <v>303896.43195</v>
      </c>
      <c r="D26" s="2">
        <v>17765.3</v>
      </c>
      <c r="E26" s="2">
        <f t="shared" si="0"/>
        <v>1315.860053674211</v>
      </c>
      <c r="F26" s="2">
        <v>201642</v>
      </c>
      <c r="G26" s="52">
        <v>88.103172950079838</v>
      </c>
    </row>
    <row r="27" spans="2:7" s="12" customFormat="1" ht="20.25" customHeight="1" x14ac:dyDescent="0.2">
      <c r="B27" s="13" t="s">
        <v>25</v>
      </c>
      <c r="C27" s="2">
        <v>1398704.8035509998</v>
      </c>
      <c r="D27" s="2">
        <v>101363</v>
      </c>
      <c r="E27" s="2">
        <f t="shared" si="0"/>
        <v>1061.4590846386825</v>
      </c>
      <c r="F27" s="2">
        <v>3068765</v>
      </c>
      <c r="G27" s="52">
        <v>33.030551378160276</v>
      </c>
    </row>
    <row r="28" spans="2:7" s="12" customFormat="1" ht="20.25" customHeight="1" x14ac:dyDescent="0.2">
      <c r="B28" s="13" t="s">
        <v>56</v>
      </c>
      <c r="C28" s="2">
        <v>408097.07449999999</v>
      </c>
      <c r="D28" s="2">
        <v>34454</v>
      </c>
      <c r="E28" s="2">
        <f t="shared" si="0"/>
        <v>911.13027961473711</v>
      </c>
      <c r="F28" s="2">
        <v>720982</v>
      </c>
      <c r="G28" s="52">
        <v>47.787600800019973</v>
      </c>
    </row>
    <row r="29" spans="2:7" s="12" customFormat="1" ht="20.25" customHeight="1" x14ac:dyDescent="0.2">
      <c r="B29" s="13" t="s">
        <v>26</v>
      </c>
      <c r="C29" s="2">
        <v>558871.60353999992</v>
      </c>
      <c r="D29" s="2">
        <v>46306.400000000001</v>
      </c>
      <c r="E29" s="2">
        <f t="shared" si="0"/>
        <v>928.38405380748156</v>
      </c>
      <c r="F29" s="2">
        <v>1278216</v>
      </c>
      <c r="G29" s="52">
        <v>36.227366892606568</v>
      </c>
    </row>
    <row r="30" spans="2:7" s="12" customFormat="1" ht="20.25" customHeight="1" thickBot="1" x14ac:dyDescent="0.25">
      <c r="B30" s="13" t="s">
        <v>55</v>
      </c>
      <c r="C30" s="2">
        <v>215543.23699999999</v>
      </c>
      <c r="D30" s="2">
        <v>7777</v>
      </c>
      <c r="E30" s="2">
        <f t="shared" si="0"/>
        <v>2131.9594959495948</v>
      </c>
      <c r="F30" s="2">
        <v>109998</v>
      </c>
      <c r="G30" s="52">
        <v>70.701285477917779</v>
      </c>
    </row>
    <row r="31" spans="2:7" s="12" customFormat="1" ht="26.25" customHeight="1" thickBot="1" x14ac:dyDescent="0.25">
      <c r="B31" s="44" t="s">
        <v>27</v>
      </c>
      <c r="C31" s="46">
        <f>+SUM(C7:C30)</f>
        <v>18048138.623105865</v>
      </c>
      <c r="D31" s="46">
        <v>1324613.2333333334</v>
      </c>
      <c r="E31" s="46">
        <f>C31/D31/13*1000</f>
        <v>1048.0933760037135</v>
      </c>
      <c r="F31" s="46">
        <v>36578358</v>
      </c>
      <c r="G31" s="53">
        <v>36.213031578217191</v>
      </c>
    </row>
    <row r="32" spans="2:7" s="12" customFormat="1" ht="8.25" customHeight="1" x14ac:dyDescent="0.2">
      <c r="B32" s="14"/>
      <c r="C32" s="28"/>
      <c r="D32" s="28"/>
      <c r="E32" s="28"/>
      <c r="F32" s="28"/>
      <c r="G32" s="28"/>
    </row>
    <row r="33" spans="2:7" x14ac:dyDescent="0.2">
      <c r="B33" s="64" t="s">
        <v>40</v>
      </c>
      <c r="C33" s="64"/>
      <c r="D33" s="64"/>
      <c r="E33" s="64"/>
      <c r="F33" s="64"/>
      <c r="G33" s="64"/>
    </row>
    <row r="34" spans="2:7" x14ac:dyDescent="0.2">
      <c r="B34" s="51"/>
      <c r="C34" s="51"/>
      <c r="D34" s="51"/>
      <c r="E34" s="51"/>
      <c r="F34" s="51"/>
      <c r="G34" s="51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64"/>
      <c r="C38" s="64"/>
      <c r="D38" s="64"/>
      <c r="E38" s="64"/>
      <c r="F38" s="64"/>
      <c r="G38" s="64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  <row r="43" spans="2:7" x14ac:dyDescent="0.2">
      <c r="B43" s="59"/>
      <c r="C43" s="59"/>
      <c r="D43" s="59"/>
      <c r="E43" s="59"/>
      <c r="F43" s="59"/>
      <c r="G43" s="59"/>
    </row>
    <row r="44" spans="2:7" x14ac:dyDescent="0.2">
      <c r="B44" s="59"/>
      <c r="C44" s="59"/>
      <c r="D44" s="59"/>
      <c r="E44" s="59"/>
      <c r="F44" s="59"/>
      <c r="G44" s="59"/>
    </row>
  </sheetData>
  <mergeCells count="15">
    <mergeCell ref="B43:G43"/>
    <mergeCell ref="B44:G44"/>
    <mergeCell ref="B33:G33"/>
    <mergeCell ref="B37:G37"/>
    <mergeCell ref="B38:G38"/>
    <mergeCell ref="B39:G39"/>
    <mergeCell ref="B40:G40"/>
    <mergeCell ref="B41:G41"/>
    <mergeCell ref="B42:G42"/>
    <mergeCell ref="B36:G36"/>
    <mergeCell ref="B1:G1"/>
    <mergeCell ref="B2:G2"/>
    <mergeCell ref="B3:G3"/>
    <mergeCell ref="B4:G4"/>
    <mergeCell ref="B35:G35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6.425781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61"/>
      <c r="C1" s="61"/>
      <c r="D1" s="61"/>
      <c r="E1" s="61"/>
      <c r="F1" s="61"/>
      <c r="G1" s="61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41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66</v>
      </c>
      <c r="D6" s="36" t="s">
        <v>2</v>
      </c>
      <c r="E6" s="35" t="s">
        <v>60</v>
      </c>
      <c r="F6" s="37" t="s">
        <v>65</v>
      </c>
      <c r="G6" s="38" t="s">
        <v>4</v>
      </c>
    </row>
    <row r="7" spans="2:7" s="12" customFormat="1" ht="20.25" customHeight="1" x14ac:dyDescent="0.2">
      <c r="B7" s="29" t="s">
        <v>5</v>
      </c>
      <c r="C7" s="2">
        <v>1802088.7463400001</v>
      </c>
      <c r="D7" s="2">
        <v>112466</v>
      </c>
      <c r="E7" s="2">
        <v>1169.7877667926309</v>
      </c>
      <c r="F7" s="2">
        <v>2979972</v>
      </c>
      <c r="G7" s="52">
        <v>36.953688123699862</v>
      </c>
    </row>
    <row r="8" spans="2:7" s="12" customFormat="1" ht="20.25" customHeight="1" x14ac:dyDescent="0.2">
      <c r="B8" s="13" t="s">
        <v>6</v>
      </c>
      <c r="C8" s="2">
        <v>5628742.7962600002</v>
      </c>
      <c r="D8" s="2">
        <v>428407.83333333331</v>
      </c>
      <c r="E8" s="2">
        <v>981.02900255932138</v>
      </c>
      <c r="F8" s="2">
        <v>14085188</v>
      </c>
      <c r="G8" s="52">
        <v>30.497117657446555</v>
      </c>
    </row>
    <row r="9" spans="2:7" s="12" customFormat="1" ht="20.25" customHeight="1" x14ac:dyDescent="0.2">
      <c r="B9" s="13" t="s">
        <v>7</v>
      </c>
      <c r="C9" s="2">
        <v>266600.23880142497</v>
      </c>
      <c r="D9" s="2">
        <v>23784.333333333332</v>
      </c>
      <c r="E9" s="2">
        <v>839.13446164483935</v>
      </c>
      <c r="F9" s="2">
        <v>314642</v>
      </c>
      <c r="G9" s="52">
        <v>76.16616869856864</v>
      </c>
    </row>
    <row r="10" spans="2:7" s="12" customFormat="1" ht="20.25" customHeight="1" x14ac:dyDescent="0.2">
      <c r="B10" s="13" t="s">
        <v>63</v>
      </c>
      <c r="C10" s="2">
        <v>1295652.6240000001</v>
      </c>
      <c r="D10" s="2">
        <v>76079.133333333331</v>
      </c>
      <c r="E10" s="2">
        <v>1276.9277740144862</v>
      </c>
      <c r="F10" s="2">
        <v>3059874</v>
      </c>
      <c r="G10" s="52">
        <v>24.869654567851594</v>
      </c>
    </row>
    <row r="11" spans="2:7" s="12" customFormat="1" ht="20.25" customHeight="1" x14ac:dyDescent="0.2">
      <c r="B11" s="13" t="s">
        <v>9</v>
      </c>
      <c r="C11" s="2">
        <v>474771.04531999998</v>
      </c>
      <c r="D11" s="2">
        <v>36967</v>
      </c>
      <c r="E11" s="2">
        <v>955.14259081592525</v>
      </c>
      <c r="F11" s="2">
        <v>911591</v>
      </c>
      <c r="G11" s="52">
        <v>40.658507908540081</v>
      </c>
    </row>
    <row r="12" spans="2:7" s="12" customFormat="1" ht="20.25" customHeight="1" x14ac:dyDescent="0.2">
      <c r="B12" s="13" t="s">
        <v>10</v>
      </c>
      <c r="C12" s="2">
        <v>612410.90599999996</v>
      </c>
      <c r="D12" s="2">
        <v>42119</v>
      </c>
      <c r="E12" s="2">
        <v>1077.6230042096843</v>
      </c>
      <c r="F12" s="2">
        <v>940910</v>
      </c>
      <c r="G12" s="52">
        <v>44.764539521161097</v>
      </c>
    </row>
    <row r="13" spans="2:7" s="12" customFormat="1" ht="20.25" customHeight="1" x14ac:dyDescent="0.2">
      <c r="B13" s="13" t="s">
        <v>11</v>
      </c>
      <c r="C13" s="2">
        <v>328437.48499999999</v>
      </c>
      <c r="D13" s="2">
        <v>23408</v>
      </c>
      <c r="E13" s="2">
        <v>1051.941218503536</v>
      </c>
      <c r="F13" s="2">
        <v>442940</v>
      </c>
      <c r="G13" s="52">
        <v>53.414142151717336</v>
      </c>
    </row>
    <row r="14" spans="2:7" s="12" customFormat="1" ht="20.25" customHeight="1" x14ac:dyDescent="0.2">
      <c r="B14" s="13" t="s">
        <v>12</v>
      </c>
      <c r="C14" s="2">
        <v>675655.4682</v>
      </c>
      <c r="D14" s="2">
        <v>54159</v>
      </c>
      <c r="E14" s="2">
        <v>927.5318818351094</v>
      </c>
      <c r="F14" s="2">
        <v>1101791</v>
      </c>
      <c r="G14" s="52">
        <v>49.019945041617035</v>
      </c>
    </row>
    <row r="15" spans="2:7" s="12" customFormat="1" ht="20.25" customHeight="1" x14ac:dyDescent="0.2">
      <c r="B15" s="13" t="s">
        <v>13</v>
      </c>
      <c r="C15" s="2">
        <v>400607.60450999998</v>
      </c>
      <c r="D15" s="2">
        <v>33696.73333333333</v>
      </c>
      <c r="E15" s="2">
        <v>888.10759477491774</v>
      </c>
      <c r="F15" s="2">
        <v>498304</v>
      </c>
      <c r="G15" s="52">
        <v>68.417957157137636</v>
      </c>
    </row>
    <row r="16" spans="2:7" s="12" customFormat="1" ht="20.25" customHeight="1" x14ac:dyDescent="0.2">
      <c r="B16" s="13" t="s">
        <v>14</v>
      </c>
      <c r="C16" s="2">
        <v>367678.28897396842</v>
      </c>
      <c r="D16" s="2">
        <v>29622.166666666668</v>
      </c>
      <c r="E16" s="2">
        <v>929.11249510212178</v>
      </c>
      <c r="F16" s="2">
        <v>597061</v>
      </c>
      <c r="G16" s="52">
        <v>49.859146711281902</v>
      </c>
    </row>
    <row r="17" spans="2:7" s="12" customFormat="1" ht="20.25" customHeight="1" x14ac:dyDescent="0.2">
      <c r="B17" s="13" t="s">
        <v>15</v>
      </c>
      <c r="C17" s="2">
        <v>229882.09317000001</v>
      </c>
      <c r="D17" s="2">
        <v>17174.400000000001</v>
      </c>
      <c r="E17" s="2">
        <v>1004.4053508641215</v>
      </c>
      <c r="F17" s="2">
        <v>302922</v>
      </c>
      <c r="G17" s="52">
        <v>56.969608513066156</v>
      </c>
    </row>
    <row r="18" spans="2:7" s="12" customFormat="1" ht="20.25" customHeight="1" x14ac:dyDescent="0.2">
      <c r="B18" s="13" t="s">
        <v>16</v>
      </c>
      <c r="C18" s="2">
        <v>318118.54071000003</v>
      </c>
      <c r="D18" s="2">
        <v>23258.400000000001</v>
      </c>
      <c r="E18" s="2">
        <v>1026.7194243267611</v>
      </c>
      <c r="F18" s="2">
        <v>277091</v>
      </c>
      <c r="G18" s="52">
        <v>85.048871726801025</v>
      </c>
    </row>
    <row r="19" spans="2:7" s="12" customFormat="1" ht="20.25" customHeight="1" x14ac:dyDescent="0.2">
      <c r="B19" s="13" t="s">
        <v>17</v>
      </c>
      <c r="C19" s="2">
        <v>752137.6</v>
      </c>
      <c r="D19" s="2">
        <v>63257.433333333334</v>
      </c>
      <c r="E19" s="2">
        <v>889.86409853699558</v>
      </c>
      <c r="F19" s="2">
        <v>1590581</v>
      </c>
      <c r="G19" s="52">
        <v>39.832373165853426</v>
      </c>
    </row>
    <row r="20" spans="2:7" s="12" customFormat="1" ht="20.25" customHeight="1" x14ac:dyDescent="0.2">
      <c r="B20" s="13" t="s">
        <v>18</v>
      </c>
      <c r="C20" s="2">
        <v>451903.29957000003</v>
      </c>
      <c r="D20" s="2">
        <v>35511.066666666666</v>
      </c>
      <c r="E20" s="2">
        <v>946.53503106087976</v>
      </c>
      <c r="F20" s="2">
        <v>981625</v>
      </c>
      <c r="G20" s="52">
        <v>36.508778567355357</v>
      </c>
    </row>
    <row r="21" spans="2:7" s="12" customFormat="1" ht="20.25" customHeight="1" x14ac:dyDescent="0.2">
      <c r="B21" s="13" t="s">
        <v>19</v>
      </c>
      <c r="C21" s="2">
        <v>569349.8931632</v>
      </c>
      <c r="D21" s="2">
        <v>36543.26666666667</v>
      </c>
      <c r="E21" s="2">
        <v>1174.6816613931837</v>
      </c>
      <c r="F21" s="2">
        <v>554068</v>
      </c>
      <c r="G21" s="52">
        <v>67.624627425435747</v>
      </c>
    </row>
    <row r="22" spans="2:7" s="12" customFormat="1" ht="20.25" customHeight="1" x14ac:dyDescent="0.2">
      <c r="B22" s="13" t="s">
        <v>20</v>
      </c>
      <c r="C22" s="2">
        <v>370761.86242000002</v>
      </c>
      <c r="D22" s="2">
        <v>29295</v>
      </c>
      <c r="E22" s="2">
        <v>944.37987727808638</v>
      </c>
      <c r="F22" s="2">
        <v>611364</v>
      </c>
      <c r="G22" s="52">
        <v>48.295758974570333</v>
      </c>
    </row>
    <row r="23" spans="2:7" s="12" customFormat="1" ht="20.25" customHeight="1" x14ac:dyDescent="0.2">
      <c r="B23" s="13" t="s">
        <v>21</v>
      </c>
      <c r="C23" s="2">
        <v>456418.81935000001</v>
      </c>
      <c r="D23" s="2">
        <v>37563.866666666669</v>
      </c>
      <c r="E23" s="2">
        <v>904.34385235775676</v>
      </c>
      <c r="F23" s="2">
        <v>1054655</v>
      </c>
      <c r="G23" s="52">
        <v>35.947212671204582</v>
      </c>
    </row>
    <row r="24" spans="2:7" s="12" customFormat="1" ht="20.25" customHeight="1" x14ac:dyDescent="0.2">
      <c r="B24" s="13" t="s">
        <v>22</v>
      </c>
      <c r="C24" s="2">
        <v>414875.22200000001</v>
      </c>
      <c r="D24" s="2">
        <v>28452.5</v>
      </c>
      <c r="E24" s="2">
        <v>1096.5455239596358</v>
      </c>
      <c r="F24" s="2">
        <v>569816</v>
      </c>
      <c r="G24" s="52">
        <v>49.564238842058138</v>
      </c>
    </row>
    <row r="25" spans="2:7" s="12" customFormat="1" ht="20.25" customHeight="1" x14ac:dyDescent="0.2">
      <c r="B25" s="13" t="s">
        <v>23</v>
      </c>
      <c r="C25" s="2">
        <v>219021.84</v>
      </c>
      <c r="D25" s="2">
        <v>16738</v>
      </c>
      <c r="E25" s="2">
        <v>987.24455041407384</v>
      </c>
      <c r="F25" s="2">
        <v>359369</v>
      </c>
      <c r="G25" s="52">
        <v>47.154741815251903</v>
      </c>
    </row>
    <row r="26" spans="2:7" s="12" customFormat="1" ht="20.25" customHeight="1" x14ac:dyDescent="0.2">
      <c r="B26" s="13" t="s">
        <v>24</v>
      </c>
      <c r="C26" s="2">
        <v>329274.41835037031</v>
      </c>
      <c r="D26" s="2">
        <v>17365.3</v>
      </c>
      <c r="E26" s="2">
        <v>1434.6015689741187</v>
      </c>
      <c r="F26" s="2">
        <v>204478</v>
      </c>
      <c r="G26" s="52">
        <v>86.119459239642538</v>
      </c>
    </row>
    <row r="27" spans="2:7" s="12" customFormat="1" ht="20.25" customHeight="1" x14ac:dyDescent="0.2">
      <c r="B27" s="13" t="s">
        <v>25</v>
      </c>
      <c r="C27" s="2">
        <v>1439356.32</v>
      </c>
      <c r="D27" s="2">
        <v>104623</v>
      </c>
      <c r="E27" s="2">
        <v>1031.2715644394268</v>
      </c>
      <c r="F27" s="2">
        <v>3067507</v>
      </c>
      <c r="G27" s="52">
        <v>34.092867977834729</v>
      </c>
    </row>
    <row r="28" spans="2:7" s="12" customFormat="1" ht="20.25" customHeight="1" x14ac:dyDescent="0.2">
      <c r="B28" s="13" t="s">
        <v>56</v>
      </c>
      <c r="C28" s="2">
        <v>430015.21791510005</v>
      </c>
      <c r="D28" s="2">
        <v>34881</v>
      </c>
      <c r="E28" s="2">
        <v>924.6260789568048</v>
      </c>
      <c r="F28" s="2">
        <v>717893</v>
      </c>
      <c r="G28" s="52">
        <v>48.379848595387955</v>
      </c>
    </row>
    <row r="29" spans="2:7" s="12" customFormat="1" ht="20.25" customHeight="1" x14ac:dyDescent="0.2">
      <c r="B29" s="13" t="s">
        <v>26</v>
      </c>
      <c r="C29" s="2">
        <v>547356.66749999998</v>
      </c>
      <c r="D29" s="2">
        <v>46100.066666666666</v>
      </c>
      <c r="E29" s="2">
        <v>887.38283387790307</v>
      </c>
      <c r="F29" s="2">
        <v>1279026</v>
      </c>
      <c r="G29" s="52">
        <v>36.065943992773263</v>
      </c>
    </row>
    <row r="30" spans="2:7" s="12" customFormat="1" ht="20.25" customHeight="1" thickBot="1" x14ac:dyDescent="0.25">
      <c r="B30" s="13" t="s">
        <v>55</v>
      </c>
      <c r="C30" s="2">
        <v>192999.20513850002</v>
      </c>
      <c r="D30" s="2">
        <v>8129</v>
      </c>
      <c r="E30" s="2">
        <v>1802.3528106683575</v>
      </c>
      <c r="F30" s="2">
        <v>114998</v>
      </c>
      <c r="G30" s="52">
        <v>73.901343660793827</v>
      </c>
    </row>
    <row r="31" spans="2:7" s="12" customFormat="1" ht="26.25" customHeight="1" thickBot="1" x14ac:dyDescent="0.25">
      <c r="B31" s="44" t="s">
        <v>27</v>
      </c>
      <c r="C31" s="46">
        <f>+SUM(C7:C30)</f>
        <v>18574116.202692565</v>
      </c>
      <c r="D31" s="46">
        <v>1359601.5</v>
      </c>
      <c r="E31" s="46">
        <f>+C31/D31/13*1000</f>
        <v>1050.8801067356058</v>
      </c>
      <c r="F31" s="46">
        <v>36578358</v>
      </c>
      <c r="G31" s="53">
        <v>37.169560755023504</v>
      </c>
    </row>
    <row r="32" spans="2:7" s="12" customFormat="1" ht="8.25" customHeight="1" x14ac:dyDescent="0.2">
      <c r="B32" s="14"/>
      <c r="C32" s="28"/>
      <c r="D32" s="28"/>
      <c r="E32" s="28"/>
      <c r="F32" s="28"/>
      <c r="G32" s="28"/>
    </row>
    <row r="33" spans="2:7" x14ac:dyDescent="0.2">
      <c r="B33" s="64" t="s">
        <v>40</v>
      </c>
      <c r="C33" s="64"/>
      <c r="D33" s="64"/>
      <c r="E33" s="64"/>
      <c r="F33" s="64"/>
      <c r="G33" s="64"/>
    </row>
    <row r="34" spans="2:7" x14ac:dyDescent="0.2">
      <c r="B34" s="59" t="s">
        <v>42</v>
      </c>
      <c r="C34" s="59"/>
      <c r="D34" s="59"/>
      <c r="E34" s="59"/>
      <c r="F34" s="59"/>
      <c r="G34" s="59"/>
    </row>
    <row r="35" spans="2:7" x14ac:dyDescent="0.2">
      <c r="B35" s="59"/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1:G1"/>
    <mergeCell ref="B42:G42"/>
    <mergeCell ref="B2:G2"/>
    <mergeCell ref="B3:G3"/>
    <mergeCell ref="B4:G4"/>
    <mergeCell ref="B36:G36"/>
    <mergeCell ref="B33:G33"/>
    <mergeCell ref="B34:G34"/>
    <mergeCell ref="B35:G35"/>
    <mergeCell ref="B37:G37"/>
    <mergeCell ref="B38:G38"/>
    <mergeCell ref="B39:G39"/>
    <mergeCell ref="B40:G40"/>
    <mergeCell ref="B41:G41"/>
  </mergeCells>
  <printOptions horizontalCentered="1" verticalCentered="1"/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>
                <anchor moveWithCells="1" sizeWithCells="1">
                  <from>
                    <xdr:col>0</xdr:col>
                    <xdr:colOff>9525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4.28515625" style="10" bestFit="1" customWidth="1"/>
    <col min="7" max="7" width="14.85546875" style="10" bestFit="1" customWidth="1"/>
    <col min="8" max="16384" width="11.42578125" style="10"/>
  </cols>
  <sheetData>
    <row r="1" spans="1:7" ht="61.5" customHeight="1" x14ac:dyDescent="0.2">
      <c r="B1" s="61"/>
      <c r="C1" s="61"/>
      <c r="D1" s="61"/>
      <c r="E1" s="61"/>
      <c r="F1" s="61"/>
      <c r="G1" s="61"/>
    </row>
    <row r="2" spans="1:7" s="12" customFormat="1" ht="18.75" customHeight="1" x14ac:dyDescent="0.2">
      <c r="A2" s="23"/>
      <c r="B2" s="56" t="s">
        <v>71</v>
      </c>
      <c r="C2" s="56"/>
      <c r="D2" s="56"/>
      <c r="E2" s="56"/>
      <c r="F2" s="56"/>
      <c r="G2" s="56"/>
    </row>
    <row r="3" spans="1:7" s="11" customFormat="1" ht="18.75" customHeight="1" x14ac:dyDescent="0.2">
      <c r="A3" s="22"/>
      <c r="B3" s="62" t="s">
        <v>62</v>
      </c>
      <c r="C3" s="62"/>
      <c r="D3" s="62"/>
      <c r="E3" s="62"/>
      <c r="F3" s="62"/>
      <c r="G3" s="62"/>
    </row>
    <row r="4" spans="1:7" x14ac:dyDescent="0.2">
      <c r="A4" s="21"/>
      <c r="B4" s="63" t="s">
        <v>43</v>
      </c>
      <c r="C4" s="63"/>
      <c r="D4" s="63"/>
      <c r="E4" s="63"/>
      <c r="F4" s="63"/>
      <c r="G4" s="63"/>
    </row>
    <row r="5" spans="1:7" ht="6" customHeight="1" thickBot="1" x14ac:dyDescent="0.25">
      <c r="A5" s="21"/>
    </row>
    <row r="6" spans="1:7" s="11" customFormat="1" ht="57.75" customHeight="1" thickBot="1" x14ac:dyDescent="0.25">
      <c r="A6" s="22"/>
      <c r="B6" s="34" t="s">
        <v>1</v>
      </c>
      <c r="C6" s="35" t="s">
        <v>66</v>
      </c>
      <c r="D6" s="36" t="s">
        <v>2</v>
      </c>
      <c r="E6" s="35" t="s">
        <v>60</v>
      </c>
      <c r="F6" s="37" t="s">
        <v>44</v>
      </c>
      <c r="G6" s="38" t="s">
        <v>4</v>
      </c>
    </row>
    <row r="7" spans="1:7" s="12" customFormat="1" ht="20.25" customHeight="1" x14ac:dyDescent="0.2">
      <c r="A7" s="23"/>
      <c r="B7" s="13" t="s">
        <v>5</v>
      </c>
      <c r="C7" s="2">
        <v>1824905.35</v>
      </c>
      <c r="D7" s="2">
        <v>111424</v>
      </c>
      <c r="E7" s="2">
        <v>1259.848278785402</v>
      </c>
      <c r="F7" s="2">
        <v>2995397</v>
      </c>
      <c r="G7" s="52">
        <v>40.822592233141314</v>
      </c>
    </row>
    <row r="8" spans="1:7" s="12" customFormat="1" ht="20.25" customHeight="1" x14ac:dyDescent="0.2">
      <c r="A8" s="23"/>
      <c r="B8" s="13" t="s">
        <v>6</v>
      </c>
      <c r="C8" s="2">
        <v>5744785.2380400002</v>
      </c>
      <c r="D8" s="2">
        <v>412983.83333333331</v>
      </c>
      <c r="E8" s="2">
        <v>1070.0335487845352</v>
      </c>
      <c r="F8" s="2">
        <v>14167123</v>
      </c>
      <c r="G8" s="52">
        <v>30.022102608901683</v>
      </c>
    </row>
    <row r="9" spans="1:7" s="12" customFormat="1" ht="20.25" customHeight="1" x14ac:dyDescent="0.2">
      <c r="A9" s="23"/>
      <c r="B9" s="13" t="s">
        <v>7</v>
      </c>
      <c r="C9" s="2">
        <v>270771.87327271001</v>
      </c>
      <c r="D9" s="2">
        <v>23994.7</v>
      </c>
      <c r="E9" s="2">
        <v>868.05026261475689</v>
      </c>
      <c r="F9" s="2">
        <v>335859</v>
      </c>
      <c r="G9" s="52">
        <v>72.492416826789452</v>
      </c>
    </row>
    <row r="10" spans="1:7" s="12" customFormat="1" ht="20.25" customHeight="1" x14ac:dyDescent="0.2">
      <c r="A10" s="23"/>
      <c r="B10" s="13" t="s">
        <v>63</v>
      </c>
      <c r="C10" s="2">
        <v>1367257.3219999999</v>
      </c>
      <c r="D10" s="2">
        <v>95274.333333333328</v>
      </c>
      <c r="E10" s="2">
        <v>1103.9031864529393</v>
      </c>
      <c r="F10" s="2">
        <v>3144346</v>
      </c>
      <c r="G10" s="52">
        <v>31.209377433941732</v>
      </c>
    </row>
    <row r="11" spans="1:7" s="12" customFormat="1" ht="20.25" customHeight="1" x14ac:dyDescent="0.2">
      <c r="A11" s="23"/>
      <c r="B11" s="13" t="s">
        <v>9</v>
      </c>
      <c r="C11" s="2">
        <v>444375.38587</v>
      </c>
      <c r="D11" s="2">
        <v>36515</v>
      </c>
      <c r="E11" s="2">
        <v>936.12822100506628</v>
      </c>
      <c r="F11" s="2">
        <v>939179</v>
      </c>
      <c r="G11" s="52">
        <v>39.390974434432337</v>
      </c>
    </row>
    <row r="12" spans="1:7" s="12" customFormat="1" ht="20.25" customHeight="1" x14ac:dyDescent="0.2">
      <c r="A12" s="23"/>
      <c r="B12" s="13" t="s">
        <v>10</v>
      </c>
      <c r="C12" s="2">
        <v>604042</v>
      </c>
      <c r="D12" s="2">
        <v>41241</v>
      </c>
      <c r="E12" s="2">
        <v>1126.6644657202596</v>
      </c>
      <c r="F12" s="2">
        <v>991454</v>
      </c>
      <c r="G12" s="52">
        <v>42.127531778752058</v>
      </c>
    </row>
    <row r="13" spans="1:7" s="12" customFormat="1" ht="20.25" customHeight="1" x14ac:dyDescent="0.2">
      <c r="A13" s="23"/>
      <c r="B13" s="13" t="s">
        <v>11</v>
      </c>
      <c r="C13" s="2">
        <v>337904.55499999999</v>
      </c>
      <c r="D13" s="2">
        <v>24357</v>
      </c>
      <c r="E13" s="2">
        <v>1067.1535113898706</v>
      </c>
      <c r="F13" s="2">
        <v>425375</v>
      </c>
      <c r="G13" s="52">
        <v>59.670595383043718</v>
      </c>
    </row>
    <row r="14" spans="1:7" s="12" customFormat="1" ht="20.25" customHeight="1" x14ac:dyDescent="0.2">
      <c r="A14" s="23"/>
      <c r="B14" s="13" t="s">
        <v>12</v>
      </c>
      <c r="C14" s="2">
        <v>678347.25215000007</v>
      </c>
      <c r="D14" s="2">
        <v>54103</v>
      </c>
      <c r="E14" s="2">
        <v>964.46699550287997</v>
      </c>
      <c r="F14" s="2">
        <v>1173533</v>
      </c>
      <c r="G14" s="52">
        <v>46.960740914338288</v>
      </c>
    </row>
    <row r="15" spans="1:7" s="12" customFormat="1" ht="20.25" customHeight="1" x14ac:dyDescent="0.2">
      <c r="A15" s="23"/>
      <c r="B15" s="13" t="s">
        <v>13</v>
      </c>
      <c r="C15" s="2">
        <v>395053.86777000001</v>
      </c>
      <c r="D15" s="2">
        <v>33442.966666666667</v>
      </c>
      <c r="E15" s="2">
        <v>908.6741425221677</v>
      </c>
      <c r="F15" s="2">
        <v>489663</v>
      </c>
      <c r="G15" s="52">
        <v>68.351945868317003</v>
      </c>
    </row>
    <row r="16" spans="1:7" s="12" customFormat="1" ht="20.25" customHeight="1" x14ac:dyDescent="0.2">
      <c r="A16" s="23"/>
      <c r="B16" s="13" t="s">
        <v>14</v>
      </c>
      <c r="C16" s="2">
        <v>365081.14740999998</v>
      </c>
      <c r="D16" s="2">
        <v>29619.166666666668</v>
      </c>
      <c r="E16" s="2">
        <v>948.14163752248078</v>
      </c>
      <c r="F16" s="2">
        <v>617063</v>
      </c>
      <c r="G16" s="52">
        <v>48.631908596147866</v>
      </c>
    </row>
    <row r="17" spans="1:7" s="12" customFormat="1" ht="20.25" customHeight="1" x14ac:dyDescent="0.2">
      <c r="A17" s="23"/>
      <c r="B17" s="13" t="s">
        <v>15</v>
      </c>
      <c r="C17" s="2">
        <v>230180.84354</v>
      </c>
      <c r="D17" s="2">
        <v>17228.433333333334</v>
      </c>
      <c r="E17" s="2">
        <v>1027.73237654688</v>
      </c>
      <c r="F17" s="2">
        <v>306037</v>
      </c>
      <c r="G17" s="52">
        <v>57.664149697205005</v>
      </c>
    </row>
    <row r="18" spans="1:7" s="12" customFormat="1" ht="20.25" customHeight="1" x14ac:dyDescent="0.2">
      <c r="A18" s="23"/>
      <c r="B18" s="13" t="s">
        <v>16</v>
      </c>
      <c r="C18" s="2">
        <v>312256.03282999998</v>
      </c>
      <c r="D18" s="2">
        <v>23140.400000000001</v>
      </c>
      <c r="E18" s="2">
        <v>1037.9982555650256</v>
      </c>
      <c r="F18" s="2">
        <v>294597</v>
      </c>
      <c r="G18" s="52">
        <v>80.369819813561918</v>
      </c>
    </row>
    <row r="19" spans="1:7" s="12" customFormat="1" ht="20.25" customHeight="1" x14ac:dyDescent="0.2">
      <c r="A19" s="23"/>
      <c r="B19" s="13" t="s">
        <v>17</v>
      </c>
      <c r="C19" s="2">
        <v>751693.05356000003</v>
      </c>
      <c r="D19" s="2">
        <v>61205.3</v>
      </c>
      <c r="E19" s="2">
        <v>944.73097234289287</v>
      </c>
      <c r="F19" s="2">
        <v>1606024</v>
      </c>
      <c r="G19" s="52">
        <v>38.893326495817739</v>
      </c>
    </row>
    <row r="20" spans="1:7" s="12" customFormat="1" ht="20.25" customHeight="1" x14ac:dyDescent="0.2">
      <c r="A20" s="23"/>
      <c r="B20" s="13" t="s">
        <v>18</v>
      </c>
      <c r="C20" s="2">
        <v>430820</v>
      </c>
      <c r="D20" s="2">
        <v>34558.066666666666</v>
      </c>
      <c r="E20" s="2">
        <v>958.96568287963646</v>
      </c>
      <c r="F20" s="2">
        <v>968238</v>
      </c>
      <c r="G20" s="52">
        <v>35.950277097546241</v>
      </c>
    </row>
    <row r="21" spans="1:7" s="12" customFormat="1" ht="20.25" customHeight="1" x14ac:dyDescent="0.2">
      <c r="A21" s="23"/>
      <c r="B21" s="13" t="s">
        <v>19</v>
      </c>
      <c r="C21" s="2">
        <v>588813.03500000003</v>
      </c>
      <c r="D21" s="2">
        <v>36909</v>
      </c>
      <c r="E21" s="2">
        <v>1227.161678306521</v>
      </c>
      <c r="F21" s="2">
        <v>486779</v>
      </c>
      <c r="G21" s="52">
        <v>78.22603719599428</v>
      </c>
    </row>
    <row r="22" spans="1:7" s="12" customFormat="1" ht="20.25" customHeight="1" x14ac:dyDescent="0.2">
      <c r="A22" s="23"/>
      <c r="B22" s="13" t="s">
        <v>20</v>
      </c>
      <c r="C22" s="2">
        <v>355420.05907000002</v>
      </c>
      <c r="D22" s="2">
        <v>30054</v>
      </c>
      <c r="E22" s="2">
        <v>909.69603193738453</v>
      </c>
      <c r="F22" s="2">
        <v>573394</v>
      </c>
      <c r="G22" s="52">
        <v>54.722835230624682</v>
      </c>
    </row>
    <row r="23" spans="1:7" s="12" customFormat="1" ht="20.25" customHeight="1" x14ac:dyDescent="0.2">
      <c r="A23" s="23"/>
      <c r="B23" s="13" t="s">
        <v>21</v>
      </c>
      <c r="C23" s="2">
        <v>441216.32</v>
      </c>
      <c r="D23" s="2">
        <v>38632.866666666669</v>
      </c>
      <c r="E23" s="2">
        <v>878.5192467314597</v>
      </c>
      <c r="F23" s="2">
        <v>1084033</v>
      </c>
      <c r="G23" s="52">
        <v>36.265083124391992</v>
      </c>
    </row>
    <row r="24" spans="1:7" s="12" customFormat="1" ht="20.25" customHeight="1" x14ac:dyDescent="0.2">
      <c r="A24" s="23"/>
      <c r="B24" s="13" t="s">
        <v>22</v>
      </c>
      <c r="C24" s="2">
        <v>408351.38299999997</v>
      </c>
      <c r="D24" s="2">
        <v>27568.9</v>
      </c>
      <c r="E24" s="2">
        <v>1139.3869485599296</v>
      </c>
      <c r="F24" s="2">
        <v>627913</v>
      </c>
      <c r="G24" s="52">
        <v>44.647582585938288</v>
      </c>
    </row>
    <row r="25" spans="1:7" s="12" customFormat="1" ht="20.25" customHeight="1" x14ac:dyDescent="0.2">
      <c r="A25" s="23"/>
      <c r="B25" s="13" t="s">
        <v>23</v>
      </c>
      <c r="C25" s="2">
        <v>248621.98</v>
      </c>
      <c r="D25" s="2">
        <v>18693</v>
      </c>
      <c r="E25" s="2">
        <v>1023.0978276524738</v>
      </c>
      <c r="F25" s="2">
        <v>372849</v>
      </c>
      <c r="G25" s="52">
        <v>50.92017520920502</v>
      </c>
    </row>
    <row r="26" spans="1:7" s="12" customFormat="1" ht="20.25" customHeight="1" x14ac:dyDescent="0.2">
      <c r="A26" s="23"/>
      <c r="B26" s="13" t="s">
        <v>68</v>
      </c>
      <c r="C26" s="2">
        <v>329274.41835037031</v>
      </c>
      <c r="D26" s="2">
        <v>17365.3</v>
      </c>
      <c r="E26" s="2">
        <v>1458.5870334268309</v>
      </c>
      <c r="F26" s="2">
        <v>198121</v>
      </c>
      <c r="G26" s="52">
        <v>88.204250391109113</v>
      </c>
    </row>
    <row r="27" spans="1:7" s="12" customFormat="1" ht="20.25" customHeight="1" x14ac:dyDescent="0.2">
      <c r="A27" s="23"/>
      <c r="B27" s="13" t="s">
        <v>25</v>
      </c>
      <c r="C27" s="2">
        <v>1404298.6911897999</v>
      </c>
      <c r="D27" s="2">
        <v>105692</v>
      </c>
      <c r="E27" s="2">
        <v>1022.0544246051661</v>
      </c>
      <c r="F27" s="2">
        <v>3095496</v>
      </c>
      <c r="G27" s="52">
        <v>35.515142961790609</v>
      </c>
    </row>
    <row r="28" spans="1:7" s="12" customFormat="1" ht="20.25" customHeight="1" x14ac:dyDescent="0.2">
      <c r="A28" s="23"/>
      <c r="B28" s="13" t="s">
        <v>56</v>
      </c>
      <c r="C28" s="2">
        <v>428320.72</v>
      </c>
      <c r="D28" s="2">
        <v>34118</v>
      </c>
      <c r="E28" s="2">
        <v>965.69985615533415</v>
      </c>
      <c r="F28" s="2">
        <v>808934</v>
      </c>
      <c r="G28" s="52">
        <v>42.880070783914249</v>
      </c>
    </row>
    <row r="29" spans="1:7" s="12" customFormat="1" ht="20.25" customHeight="1" x14ac:dyDescent="0.2">
      <c r="A29" s="23"/>
      <c r="B29" s="13" t="s">
        <v>26</v>
      </c>
      <c r="C29" s="2">
        <v>597627</v>
      </c>
      <c r="D29" s="2">
        <v>46745.3</v>
      </c>
      <c r="E29" s="2">
        <v>983.44235018938139</v>
      </c>
      <c r="F29" s="2">
        <v>1353541</v>
      </c>
      <c r="G29" s="52">
        <v>35.09609789755114</v>
      </c>
    </row>
    <row r="30" spans="1:7" s="12" customFormat="1" ht="20.25" customHeight="1" thickBot="1" x14ac:dyDescent="0.25">
      <c r="A30" s="23"/>
      <c r="B30" s="13" t="s">
        <v>55</v>
      </c>
      <c r="C30" s="2">
        <v>197697.02647419999</v>
      </c>
      <c r="D30" s="2">
        <v>8215</v>
      </c>
      <c r="E30" s="2">
        <v>1851.1824193473474</v>
      </c>
      <c r="F30" s="2">
        <v>101247</v>
      </c>
      <c r="G30" s="52">
        <v>81.893672804123085</v>
      </c>
    </row>
    <row r="31" spans="1:7" s="12" customFormat="1" ht="26.25" customHeight="1" thickBot="1" x14ac:dyDescent="0.25">
      <c r="A31" s="23"/>
      <c r="B31" s="44" t="s">
        <v>27</v>
      </c>
      <c r="C31" s="46">
        <v>18757114.554527078</v>
      </c>
      <c r="D31" s="46">
        <v>1363080.5666666667</v>
      </c>
      <c r="E31" s="46">
        <v>1058.5250798940442</v>
      </c>
      <c r="F31" s="46">
        <f>+SUM(F7:F30)</f>
        <v>37156195</v>
      </c>
      <c r="G31" s="53">
        <v>37.834929786952713</v>
      </c>
    </row>
    <row r="32" spans="1:7" ht="8.25" customHeight="1" x14ac:dyDescent="0.2"/>
    <row r="33" spans="2:7" x14ac:dyDescent="0.2">
      <c r="B33" s="64" t="s">
        <v>40</v>
      </c>
      <c r="C33" s="64"/>
      <c r="D33" s="64"/>
      <c r="E33" s="64"/>
      <c r="F33" s="64"/>
      <c r="G33" s="64"/>
    </row>
    <row r="34" spans="2:7" x14ac:dyDescent="0.2">
      <c r="B34" s="59" t="s">
        <v>45</v>
      </c>
      <c r="C34" s="59"/>
      <c r="D34" s="59"/>
      <c r="E34" s="59"/>
      <c r="F34" s="59"/>
      <c r="G34" s="59"/>
    </row>
    <row r="35" spans="2:7" x14ac:dyDescent="0.2">
      <c r="B35" s="59" t="s">
        <v>46</v>
      </c>
      <c r="C35" s="59"/>
      <c r="D35" s="59"/>
      <c r="E35" s="59"/>
      <c r="F35" s="59"/>
      <c r="G35" s="59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38:G38"/>
    <mergeCell ref="B39:G39"/>
    <mergeCell ref="B40:G40"/>
    <mergeCell ref="B41:G41"/>
    <mergeCell ref="B42:G42"/>
    <mergeCell ref="B1:G1"/>
    <mergeCell ref="B2:G2"/>
    <mergeCell ref="B3:G3"/>
    <mergeCell ref="B4:G4"/>
    <mergeCell ref="B37:G37"/>
    <mergeCell ref="B33:G33"/>
    <mergeCell ref="B34:G34"/>
    <mergeCell ref="B35:G35"/>
    <mergeCell ref="B36:G36"/>
  </mergeCells>
  <printOptions horizontalCentered="1"/>
  <pageMargins left="0.75" right="0.75" top="1" bottom="1" header="0" footer="0"/>
  <pageSetup paperSize="9" orientation="portrait" horizontalDpi="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I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6.425781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9" ht="61.5" customHeight="1" x14ac:dyDescent="0.2">
      <c r="B1" s="56"/>
      <c r="C1" s="56"/>
      <c r="D1" s="56"/>
      <c r="E1" s="56"/>
      <c r="F1" s="56"/>
      <c r="G1" s="56"/>
    </row>
    <row r="2" spans="2:9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9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9" x14ac:dyDescent="0.2">
      <c r="B4" s="63" t="s">
        <v>47</v>
      </c>
      <c r="C4" s="63"/>
      <c r="D4" s="63"/>
      <c r="E4" s="63"/>
      <c r="F4" s="63"/>
      <c r="G4" s="63"/>
    </row>
    <row r="5" spans="2:9" ht="6" customHeight="1" thickBot="1" x14ac:dyDescent="0.25"/>
    <row r="6" spans="2:9" s="11" customFormat="1" ht="57.75" customHeight="1" thickBot="1" x14ac:dyDescent="0.25">
      <c r="B6" s="34" t="s">
        <v>1</v>
      </c>
      <c r="C6" s="35" t="s">
        <v>66</v>
      </c>
      <c r="D6" s="36" t="s">
        <v>2</v>
      </c>
      <c r="E6" s="35" t="s">
        <v>60</v>
      </c>
      <c r="F6" s="37" t="s">
        <v>65</v>
      </c>
      <c r="G6" s="38" t="s">
        <v>4</v>
      </c>
    </row>
    <row r="7" spans="2:9" s="12" customFormat="1" ht="20.25" customHeight="1" x14ac:dyDescent="0.2">
      <c r="B7" s="13" t="s">
        <v>5</v>
      </c>
      <c r="C7" s="16">
        <v>1776477.8799999997</v>
      </c>
      <c r="D7" s="16">
        <v>111424</v>
      </c>
      <c r="E7" s="16">
        <f t="shared" ref="E7:E31" si="0">C7/D7/13*1000</f>
        <v>1226.415714885344</v>
      </c>
      <c r="F7" s="16">
        <v>3000966</v>
      </c>
      <c r="G7" s="52">
        <f t="shared" ref="G7:G31" si="1">D7/F7*1000</f>
        <v>37.129377673722395</v>
      </c>
      <c r="I7" s="18"/>
    </row>
    <row r="8" spans="2:9" s="12" customFormat="1" ht="20.25" customHeight="1" x14ac:dyDescent="0.2">
      <c r="B8" s="13" t="s">
        <v>6</v>
      </c>
      <c r="C8" s="16">
        <v>5376985.7873299997</v>
      </c>
      <c r="D8" s="16">
        <v>406181.83333333331</v>
      </c>
      <c r="E8" s="16">
        <f t="shared" si="0"/>
        <v>1018.2983515996989</v>
      </c>
      <c r="F8" s="16">
        <v>14290241</v>
      </c>
      <c r="G8" s="52">
        <f t="shared" si="1"/>
        <v>28.423721708635519</v>
      </c>
      <c r="I8" s="18"/>
    </row>
    <row r="9" spans="2:9" s="12" customFormat="1" ht="20.25" customHeight="1" x14ac:dyDescent="0.2">
      <c r="B9" s="13" t="s">
        <v>7</v>
      </c>
      <c r="C9" s="16">
        <v>271197.69075826497</v>
      </c>
      <c r="D9" s="16">
        <v>23995</v>
      </c>
      <c r="E9" s="16">
        <f t="shared" si="0"/>
        <v>869.40449375115008</v>
      </c>
      <c r="F9" s="16">
        <v>343154</v>
      </c>
      <c r="G9" s="52">
        <f t="shared" si="1"/>
        <v>69.924873380464746</v>
      </c>
      <c r="I9" s="18"/>
    </row>
    <row r="10" spans="2:9" s="12" customFormat="1" ht="20.25" customHeight="1" x14ac:dyDescent="0.2">
      <c r="B10" s="13" t="s">
        <v>8</v>
      </c>
      <c r="C10" s="16">
        <v>1283332.1850000001</v>
      </c>
      <c r="D10" s="16">
        <v>86309</v>
      </c>
      <c r="E10" s="16">
        <f t="shared" si="0"/>
        <v>1143.772496316901</v>
      </c>
      <c r="F10" s="16">
        <v>3172180</v>
      </c>
      <c r="G10" s="52">
        <f t="shared" si="1"/>
        <v>27.208102944977902</v>
      </c>
      <c r="I10" s="18"/>
    </row>
    <row r="11" spans="2:9" s="12" customFormat="1" ht="20.25" customHeight="1" x14ac:dyDescent="0.2">
      <c r="B11" s="13" t="s">
        <v>9</v>
      </c>
      <c r="C11" s="16">
        <v>448800</v>
      </c>
      <c r="D11" s="16">
        <v>36515</v>
      </c>
      <c r="E11" s="16">
        <f t="shared" si="0"/>
        <v>945.44918315971302</v>
      </c>
      <c r="F11" s="16">
        <v>949538</v>
      </c>
      <c r="G11" s="52">
        <f t="shared" si="1"/>
        <v>38.455543643329705</v>
      </c>
      <c r="I11" s="18"/>
    </row>
    <row r="12" spans="2:9" s="12" customFormat="1" ht="20.25" customHeight="1" x14ac:dyDescent="0.2">
      <c r="B12" s="13" t="s">
        <v>10</v>
      </c>
      <c r="C12" s="16">
        <v>599089.44932000001</v>
      </c>
      <c r="D12" s="16">
        <v>40968</v>
      </c>
      <c r="E12" s="16">
        <f t="shared" si="0"/>
        <v>1124.8731642708005</v>
      </c>
      <c r="F12" s="16">
        <v>999654</v>
      </c>
      <c r="G12" s="52">
        <f t="shared" si="1"/>
        <v>40.982179834222642</v>
      </c>
      <c r="I12" s="18"/>
    </row>
    <row r="13" spans="2:9" s="12" customFormat="1" ht="20.25" customHeight="1" x14ac:dyDescent="0.2">
      <c r="B13" s="13" t="s">
        <v>11</v>
      </c>
      <c r="C13" s="16">
        <v>373064.516</v>
      </c>
      <c r="D13" s="16">
        <v>23632</v>
      </c>
      <c r="E13" s="16">
        <f t="shared" si="0"/>
        <v>1214.3394745065361</v>
      </c>
      <c r="F13" s="16">
        <v>430431</v>
      </c>
      <c r="G13" s="52">
        <f t="shared" si="1"/>
        <v>54.903108744490986</v>
      </c>
      <c r="I13" s="18"/>
    </row>
    <row r="14" spans="2:9" s="12" customFormat="1" ht="20.25" customHeight="1" x14ac:dyDescent="0.2">
      <c r="B14" s="13" t="s">
        <v>12</v>
      </c>
      <c r="C14" s="16">
        <v>670700.82200000004</v>
      </c>
      <c r="D14" s="16">
        <v>54103</v>
      </c>
      <c r="E14" s="16">
        <f t="shared" si="0"/>
        <v>953.59538145901206</v>
      </c>
      <c r="F14" s="16">
        <v>1184584</v>
      </c>
      <c r="G14" s="52">
        <f t="shared" si="1"/>
        <v>45.672573662990551</v>
      </c>
      <c r="I14" s="18"/>
    </row>
    <row r="15" spans="2:9" s="12" customFormat="1" ht="20.25" customHeight="1" x14ac:dyDescent="0.2">
      <c r="B15" s="13" t="s">
        <v>13</v>
      </c>
      <c r="C15" s="16">
        <v>386004.21588000003</v>
      </c>
      <c r="D15" s="16">
        <v>33628.966666666667</v>
      </c>
      <c r="E15" s="16">
        <f t="shared" si="0"/>
        <v>882.94809308550157</v>
      </c>
      <c r="F15" s="16">
        <v>496550</v>
      </c>
      <c r="G15" s="52">
        <f t="shared" si="1"/>
        <v>67.725237471889372</v>
      </c>
      <c r="I15" s="18"/>
    </row>
    <row r="16" spans="2:9" s="12" customFormat="1" ht="20.25" customHeight="1" x14ac:dyDescent="0.2">
      <c r="B16" s="13" t="s">
        <v>14</v>
      </c>
      <c r="C16" s="16">
        <v>361161</v>
      </c>
      <c r="D16" s="16">
        <v>31353</v>
      </c>
      <c r="E16" s="16">
        <f t="shared" si="0"/>
        <v>886.09113592368794</v>
      </c>
      <c r="F16" s="16">
        <v>625930</v>
      </c>
      <c r="G16" s="52">
        <f t="shared" si="1"/>
        <v>50.090265684661226</v>
      </c>
      <c r="I16" s="18"/>
    </row>
    <row r="17" spans="2:9" s="12" customFormat="1" ht="20.25" customHeight="1" x14ac:dyDescent="0.2">
      <c r="B17" s="13" t="s">
        <v>15</v>
      </c>
      <c r="C17" s="16">
        <v>233029.50166000004</v>
      </c>
      <c r="D17" s="16">
        <v>17228</v>
      </c>
      <c r="E17" s="16">
        <f t="shared" si="0"/>
        <v>1040.4774948652464</v>
      </c>
      <c r="F17" s="16">
        <v>309956</v>
      </c>
      <c r="G17" s="52">
        <f t="shared" si="1"/>
        <v>55.582082618178063</v>
      </c>
      <c r="I17" s="18"/>
    </row>
    <row r="18" spans="2:9" s="12" customFormat="1" ht="20.25" customHeight="1" x14ac:dyDescent="0.2">
      <c r="B18" s="13" t="s">
        <v>16</v>
      </c>
      <c r="C18" s="16">
        <v>304934.29346999998</v>
      </c>
      <c r="D18" s="16">
        <v>23438.400000000001</v>
      </c>
      <c r="E18" s="16">
        <f t="shared" si="0"/>
        <v>1000.7715591967421</v>
      </c>
      <c r="F18" s="16">
        <v>300974</v>
      </c>
      <c r="G18" s="52">
        <f t="shared" si="1"/>
        <v>77.875165296670147</v>
      </c>
      <c r="I18" s="18"/>
    </row>
    <row r="19" spans="2:9" s="12" customFormat="1" ht="20.25" customHeight="1" x14ac:dyDescent="0.2">
      <c r="B19" s="13" t="s">
        <v>17</v>
      </c>
      <c r="C19" s="16">
        <v>720102.25699999987</v>
      </c>
      <c r="D19" s="16">
        <v>61759</v>
      </c>
      <c r="E19" s="16">
        <f t="shared" si="0"/>
        <v>896.9135074676127</v>
      </c>
      <c r="F19" s="16">
        <v>1623499</v>
      </c>
      <c r="G19" s="52">
        <f t="shared" si="1"/>
        <v>38.04067634165466</v>
      </c>
      <c r="I19" s="18"/>
    </row>
    <row r="20" spans="2:9" s="12" customFormat="1" ht="20.25" customHeight="1" x14ac:dyDescent="0.2">
      <c r="B20" s="13" t="s">
        <v>18</v>
      </c>
      <c r="C20" s="16">
        <v>417730.00833079999</v>
      </c>
      <c r="D20" s="16">
        <v>34432</v>
      </c>
      <c r="E20" s="16">
        <f t="shared" si="0"/>
        <v>933.23296828263506</v>
      </c>
      <c r="F20" s="16">
        <v>983482</v>
      </c>
      <c r="G20" s="52">
        <f t="shared" si="1"/>
        <v>35.010300137674101</v>
      </c>
      <c r="I20" s="18"/>
    </row>
    <row r="21" spans="2:9" s="12" customFormat="1" ht="20.25" customHeight="1" x14ac:dyDescent="0.2">
      <c r="B21" s="13" t="s">
        <v>19</v>
      </c>
      <c r="C21" s="16">
        <v>594916.01479939977</v>
      </c>
      <c r="D21" s="16">
        <v>36909</v>
      </c>
      <c r="E21" s="16">
        <f t="shared" si="0"/>
        <v>1239.881068822905</v>
      </c>
      <c r="F21" s="16">
        <v>495473</v>
      </c>
      <c r="G21" s="52">
        <f t="shared" si="1"/>
        <v>74.492454684715412</v>
      </c>
      <c r="I21" s="18"/>
    </row>
    <row r="22" spans="2:9" s="12" customFormat="1" ht="20.25" customHeight="1" x14ac:dyDescent="0.2">
      <c r="B22" s="13" t="s">
        <v>20</v>
      </c>
      <c r="C22" s="16">
        <v>360669.26260000002</v>
      </c>
      <c r="D22" s="16">
        <v>30053</v>
      </c>
      <c r="E22" s="16">
        <f t="shared" si="0"/>
        <v>923.16206138386292</v>
      </c>
      <c r="F22" s="16">
        <v>577042</v>
      </c>
      <c r="G22" s="52">
        <f t="shared" si="1"/>
        <v>52.081131009527901</v>
      </c>
      <c r="I22" s="18"/>
    </row>
    <row r="23" spans="2:9" s="12" customFormat="1" ht="20.25" customHeight="1" x14ac:dyDescent="0.2">
      <c r="B23" s="13" t="s">
        <v>21</v>
      </c>
      <c r="C23" s="16">
        <v>424932.76563999994</v>
      </c>
      <c r="D23" s="16">
        <v>38632.866666666669</v>
      </c>
      <c r="E23" s="16">
        <f t="shared" si="0"/>
        <v>846.09656592387307</v>
      </c>
      <c r="F23" s="16">
        <v>1103122</v>
      </c>
      <c r="G23" s="52">
        <f t="shared" si="1"/>
        <v>35.02139080416007</v>
      </c>
      <c r="I23" s="18"/>
    </row>
    <row r="24" spans="2:9" s="12" customFormat="1" ht="20.25" customHeight="1" x14ac:dyDescent="0.2">
      <c r="B24" s="13" t="s">
        <v>22</v>
      </c>
      <c r="C24" s="16">
        <v>405651.288</v>
      </c>
      <c r="D24" s="16">
        <v>27568.9</v>
      </c>
      <c r="E24" s="16">
        <f t="shared" si="0"/>
        <v>1131.8531109608737</v>
      </c>
      <c r="F24" s="16">
        <v>637602</v>
      </c>
      <c r="G24" s="52">
        <f t="shared" si="1"/>
        <v>43.238415186903431</v>
      </c>
      <c r="I24" s="18"/>
    </row>
    <row r="25" spans="2:9" s="12" customFormat="1" ht="20.25" customHeight="1" x14ac:dyDescent="0.2">
      <c r="B25" s="13" t="s">
        <v>23</v>
      </c>
      <c r="C25" s="16">
        <v>250105.71000000005</v>
      </c>
      <c r="D25" s="16">
        <v>18693</v>
      </c>
      <c r="E25" s="16">
        <f t="shared" si="0"/>
        <v>1029.2034862906314</v>
      </c>
      <c r="F25" s="16">
        <v>381889</v>
      </c>
      <c r="G25" s="52">
        <f t="shared" si="1"/>
        <v>48.948778309927754</v>
      </c>
      <c r="I25" s="18"/>
    </row>
    <row r="26" spans="2:9" s="12" customFormat="1" ht="20.25" customHeight="1" x14ac:dyDescent="0.2">
      <c r="B26" s="13" t="s">
        <v>24</v>
      </c>
      <c r="C26" s="16">
        <v>329274.41835037037</v>
      </c>
      <c r="D26" s="16">
        <v>17365.3</v>
      </c>
      <c r="E26" s="16">
        <f t="shared" si="0"/>
        <v>1458.5870334268311</v>
      </c>
      <c r="F26" s="16">
        <v>202043</v>
      </c>
      <c r="G26" s="52">
        <f t="shared" si="1"/>
        <v>85.948535707745378</v>
      </c>
      <c r="I26" s="18"/>
    </row>
    <row r="27" spans="2:9" s="12" customFormat="1" ht="20.25" customHeight="1" x14ac:dyDescent="0.2">
      <c r="B27" s="13" t="s">
        <v>25</v>
      </c>
      <c r="C27" s="16">
        <v>1367200</v>
      </c>
      <c r="D27" s="16">
        <v>105162</v>
      </c>
      <c r="E27" s="16">
        <f t="shared" si="0"/>
        <v>1000.0687583844998</v>
      </c>
      <c r="F27" s="16">
        <v>3115922</v>
      </c>
      <c r="G27" s="52">
        <f t="shared" si="1"/>
        <v>33.749882057381413</v>
      </c>
      <c r="I27" s="18"/>
    </row>
    <row r="28" spans="2:9" s="12" customFormat="1" ht="20.25" customHeight="1" x14ac:dyDescent="0.2">
      <c r="B28" s="13" t="s">
        <v>56</v>
      </c>
      <c r="C28" s="16">
        <v>408927.63499999995</v>
      </c>
      <c r="D28" s="16">
        <v>33937</v>
      </c>
      <c r="E28" s="16">
        <f t="shared" si="0"/>
        <v>926.8931232306013</v>
      </c>
      <c r="F28" s="16">
        <v>816294</v>
      </c>
      <c r="G28" s="52">
        <f t="shared" si="1"/>
        <v>41.574481743097465</v>
      </c>
      <c r="I28" s="18"/>
    </row>
    <row r="29" spans="2:9" s="12" customFormat="1" ht="20.25" customHeight="1" x14ac:dyDescent="0.2">
      <c r="B29" s="13" t="s">
        <v>26</v>
      </c>
      <c r="C29" s="16">
        <v>565376</v>
      </c>
      <c r="D29" s="16">
        <v>46613</v>
      </c>
      <c r="E29" s="16">
        <f t="shared" si="0"/>
        <v>933.01142467683997</v>
      </c>
      <c r="F29" s="16">
        <v>1370385</v>
      </c>
      <c r="G29" s="52">
        <f t="shared" si="1"/>
        <v>34.014528763814546</v>
      </c>
      <c r="I29" s="18"/>
    </row>
    <row r="30" spans="2:9" s="12" customFormat="1" ht="20.25" customHeight="1" thickBot="1" x14ac:dyDescent="0.25">
      <c r="B30" s="13" t="s">
        <v>55</v>
      </c>
      <c r="C30" s="16">
        <v>195294.73938339998</v>
      </c>
      <c r="D30" s="16">
        <v>8215</v>
      </c>
      <c r="E30" s="16">
        <f t="shared" si="0"/>
        <v>1828.6880414195418</v>
      </c>
      <c r="F30" s="16">
        <v>104721</v>
      </c>
      <c r="G30" s="52">
        <f t="shared" si="1"/>
        <v>78.446538898597225</v>
      </c>
      <c r="I30" s="18"/>
    </row>
    <row r="31" spans="2:9" s="12" customFormat="1" ht="26.25" customHeight="1" thickBot="1" x14ac:dyDescent="0.25">
      <c r="B31" s="44" t="s">
        <v>27</v>
      </c>
      <c r="C31" s="45">
        <f>SUM(C7:C30)</f>
        <v>18124957.440522242</v>
      </c>
      <c r="D31" s="45">
        <f>SUM(D7:D30)</f>
        <v>1348116.2666666666</v>
      </c>
      <c r="E31" s="45">
        <f t="shared" si="0"/>
        <v>1034.2041928417163</v>
      </c>
      <c r="F31" s="45">
        <f>SUM(F7:F30)</f>
        <v>37515632</v>
      </c>
      <c r="G31" s="53">
        <f t="shared" si="1"/>
        <v>35.934787575127793</v>
      </c>
      <c r="I31" s="18"/>
    </row>
    <row r="32" spans="2:9" ht="8.25" customHeight="1" x14ac:dyDescent="0.2">
      <c r="B32" s="14"/>
      <c r="C32" s="17"/>
      <c r="D32" s="18"/>
      <c r="E32" s="17"/>
      <c r="F32" s="18"/>
      <c r="G32" s="18"/>
    </row>
    <row r="33" spans="2:7" x14ac:dyDescent="0.2">
      <c r="B33" s="64" t="s">
        <v>67</v>
      </c>
      <c r="C33" s="64"/>
      <c r="D33" s="64"/>
      <c r="E33" s="64"/>
      <c r="F33" s="64"/>
      <c r="G33" s="64"/>
    </row>
    <row r="34" spans="2:7" x14ac:dyDescent="0.2">
      <c r="B34" s="65" t="s">
        <v>64</v>
      </c>
      <c r="C34" s="65"/>
      <c r="D34" s="65"/>
      <c r="E34" s="65"/>
      <c r="F34" s="65"/>
      <c r="G34" s="65"/>
    </row>
    <row r="35" spans="2:7" x14ac:dyDescent="0.2">
      <c r="B35" s="64" t="s">
        <v>48</v>
      </c>
      <c r="C35" s="64"/>
      <c r="D35" s="64"/>
      <c r="E35" s="64"/>
      <c r="F35" s="64"/>
      <c r="G35" s="64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2:G42"/>
    <mergeCell ref="B37:G37"/>
    <mergeCell ref="B38:G38"/>
    <mergeCell ref="B39:G39"/>
    <mergeCell ref="B40:G40"/>
    <mergeCell ref="B41:G41"/>
    <mergeCell ref="B1:G1"/>
    <mergeCell ref="B33:G33"/>
    <mergeCell ref="B34:G34"/>
    <mergeCell ref="B35:G35"/>
    <mergeCell ref="B36:G36"/>
    <mergeCell ref="B2:G2"/>
    <mergeCell ref="B3:G3"/>
    <mergeCell ref="B4:G4"/>
  </mergeCells>
  <printOptions horizontalCentered="1" verticalCentered="1"/>
  <pageMargins left="0.78740157480314965" right="0.78740157480314965" top="0.59055118110236227" bottom="0.98425196850393704" header="0" footer="0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I42"/>
  <sheetViews>
    <sheetView showGridLines="0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1.7109375" style="10" bestFit="1" customWidth="1"/>
    <col min="5" max="5" width="15.140625" style="10" bestFit="1" customWidth="1"/>
    <col min="6" max="6" width="16.425781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9" ht="61.5" customHeight="1" x14ac:dyDescent="0.2">
      <c r="B1" s="56"/>
      <c r="C1" s="56"/>
      <c r="D1" s="56"/>
      <c r="E1" s="56"/>
      <c r="F1" s="56"/>
      <c r="G1" s="56"/>
    </row>
    <row r="2" spans="2:9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9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9" x14ac:dyDescent="0.2">
      <c r="B4" s="63" t="s">
        <v>49</v>
      </c>
      <c r="C4" s="63"/>
      <c r="D4" s="63"/>
      <c r="E4" s="63"/>
      <c r="F4" s="63"/>
      <c r="G4" s="63"/>
    </row>
    <row r="5" spans="2:9" ht="6" customHeight="1" thickBot="1" x14ac:dyDescent="0.25">
      <c r="I5" s="15"/>
    </row>
    <row r="6" spans="2:9" s="11" customFormat="1" ht="57.75" customHeight="1" thickBot="1" x14ac:dyDescent="0.25">
      <c r="B6" s="34" t="s">
        <v>1</v>
      </c>
      <c r="C6" s="35" t="s">
        <v>66</v>
      </c>
      <c r="D6" s="36" t="s">
        <v>2</v>
      </c>
      <c r="E6" s="35" t="s">
        <v>60</v>
      </c>
      <c r="F6" s="37" t="s">
        <v>65</v>
      </c>
      <c r="G6" s="38" t="s">
        <v>4</v>
      </c>
      <c r="I6" s="19"/>
    </row>
    <row r="7" spans="2:9" s="12" customFormat="1" ht="20.25" customHeight="1" x14ac:dyDescent="0.2">
      <c r="B7" s="13" t="s">
        <v>5</v>
      </c>
      <c r="C7" s="16">
        <v>1830930.59</v>
      </c>
      <c r="D7" s="16">
        <v>111721</v>
      </c>
      <c r="E7" s="16">
        <f t="shared" ref="E7:E31" si="0">C7/D7/13*1000</f>
        <v>1260.6476366608304</v>
      </c>
      <c r="F7" s="16">
        <v>3006179</v>
      </c>
      <c r="G7" s="52">
        <f t="shared" ref="G7:G31" si="1">D7/F7*1000</f>
        <v>37.163788317329079</v>
      </c>
      <c r="I7" s="18"/>
    </row>
    <row r="8" spans="2:9" s="12" customFormat="1" ht="20.25" customHeight="1" x14ac:dyDescent="0.2">
      <c r="B8" s="13" t="s">
        <v>6</v>
      </c>
      <c r="C8" s="16">
        <v>5538014.9200650007</v>
      </c>
      <c r="D8" s="16">
        <v>426879.83333333331</v>
      </c>
      <c r="E8" s="16">
        <f t="shared" si="0"/>
        <v>997.94160893204003</v>
      </c>
      <c r="F8" s="16">
        <v>14410581</v>
      </c>
      <c r="G8" s="52">
        <f t="shared" si="1"/>
        <v>29.622666381968454</v>
      </c>
      <c r="I8" s="18"/>
    </row>
    <row r="9" spans="2:9" s="12" customFormat="1" ht="20.25" customHeight="1" x14ac:dyDescent="0.2">
      <c r="B9" s="13" t="s">
        <v>7</v>
      </c>
      <c r="C9" s="16">
        <v>281929.78722587996</v>
      </c>
      <c r="D9" s="16">
        <v>23994.7</v>
      </c>
      <c r="E9" s="16">
        <f t="shared" si="0"/>
        <v>903.82070664284504</v>
      </c>
      <c r="F9" s="16">
        <v>350440</v>
      </c>
      <c r="G9" s="52">
        <f t="shared" si="1"/>
        <v>68.470208880264806</v>
      </c>
      <c r="I9" s="18"/>
    </row>
    <row r="10" spans="2:9" s="12" customFormat="1" ht="20.25" customHeight="1" x14ac:dyDescent="0.2">
      <c r="B10" s="13" t="s">
        <v>8</v>
      </c>
      <c r="C10" s="16">
        <v>1333200.32</v>
      </c>
      <c r="D10" s="16">
        <v>88914</v>
      </c>
      <c r="E10" s="16">
        <f t="shared" si="0"/>
        <v>1153.4052091822523</v>
      </c>
      <c r="F10" s="16">
        <v>3199362</v>
      </c>
      <c r="G10" s="52">
        <f t="shared" si="1"/>
        <v>27.791165863694076</v>
      </c>
      <c r="I10" s="18"/>
    </row>
    <row r="11" spans="2:9" s="12" customFormat="1" ht="20.25" customHeight="1" x14ac:dyDescent="0.2">
      <c r="B11" s="13" t="s">
        <v>9</v>
      </c>
      <c r="C11" s="16">
        <v>475776.26678999997</v>
      </c>
      <c r="D11" s="16">
        <v>38519</v>
      </c>
      <c r="E11" s="16">
        <f t="shared" si="0"/>
        <v>950.13303482596996</v>
      </c>
      <c r="F11" s="16">
        <v>959809</v>
      </c>
      <c r="G11" s="52">
        <f t="shared" si="1"/>
        <v>40.131942917809688</v>
      </c>
      <c r="I11" s="18"/>
    </row>
    <row r="12" spans="2:9" s="12" customFormat="1" ht="20.25" customHeight="1" x14ac:dyDescent="0.2">
      <c r="B12" s="13" t="s">
        <v>10</v>
      </c>
      <c r="C12" s="16">
        <v>619971</v>
      </c>
      <c r="D12" s="16">
        <v>41416</v>
      </c>
      <c r="E12" s="16">
        <f t="shared" si="0"/>
        <v>1151.4892052124039</v>
      </c>
      <c r="F12" s="16">
        <v>1007845</v>
      </c>
      <c r="G12" s="52">
        <f t="shared" si="1"/>
        <v>41.093620546810278</v>
      </c>
      <c r="I12" s="18"/>
    </row>
    <row r="13" spans="2:9" s="12" customFormat="1" ht="20.25" customHeight="1" x14ac:dyDescent="0.2">
      <c r="B13" s="13" t="s">
        <v>11</v>
      </c>
      <c r="C13" s="16">
        <v>466123.44</v>
      </c>
      <c r="D13" s="16">
        <v>24906</v>
      </c>
      <c r="E13" s="16">
        <f t="shared" si="0"/>
        <v>1439.6390119155717</v>
      </c>
      <c r="F13" s="16">
        <v>435397</v>
      </c>
      <c r="G13" s="52">
        <f t="shared" si="1"/>
        <v>57.202966488055729</v>
      </c>
      <c r="I13" s="18"/>
    </row>
    <row r="14" spans="2:9" s="12" customFormat="1" ht="20.25" customHeight="1" x14ac:dyDescent="0.2">
      <c r="B14" s="13" t="s">
        <v>12</v>
      </c>
      <c r="C14" s="16">
        <v>705943.23615000013</v>
      </c>
      <c r="D14" s="16">
        <v>56736</v>
      </c>
      <c r="E14" s="16">
        <f t="shared" si="0"/>
        <v>957.12291768352225</v>
      </c>
      <c r="F14" s="16">
        <v>1195374</v>
      </c>
      <c r="G14" s="52">
        <f t="shared" si="1"/>
        <v>47.462969748380004</v>
      </c>
      <c r="I14" s="18"/>
    </row>
    <row r="15" spans="2:9" s="12" customFormat="1" ht="20.25" customHeight="1" x14ac:dyDescent="0.2">
      <c r="B15" s="13" t="s">
        <v>13</v>
      </c>
      <c r="C15" s="16">
        <v>400148.20185000001</v>
      </c>
      <c r="D15" s="16">
        <v>34295.966666666667</v>
      </c>
      <c r="E15" s="16">
        <f t="shared" si="0"/>
        <v>897.5000241487619</v>
      </c>
      <c r="F15" s="16">
        <v>503404</v>
      </c>
      <c r="G15" s="52">
        <f t="shared" si="1"/>
        <v>68.128117112034602</v>
      </c>
      <c r="I15" s="18"/>
    </row>
    <row r="16" spans="2:9" s="12" customFormat="1" ht="20.25" customHeight="1" x14ac:dyDescent="0.2">
      <c r="B16" s="13" t="s">
        <v>14</v>
      </c>
      <c r="C16" s="16">
        <v>393663.15</v>
      </c>
      <c r="D16" s="16">
        <v>32869</v>
      </c>
      <c r="E16" s="16">
        <f t="shared" si="0"/>
        <v>921.28695029452592</v>
      </c>
      <c r="F16" s="16">
        <v>634722</v>
      </c>
      <c r="G16" s="52">
        <f t="shared" si="1"/>
        <v>51.784875898424822</v>
      </c>
      <c r="I16" s="18"/>
    </row>
    <row r="17" spans="2:9" s="12" customFormat="1" ht="20.25" customHeight="1" x14ac:dyDescent="0.2">
      <c r="B17" s="13" t="s">
        <v>15</v>
      </c>
      <c r="C17" s="16">
        <v>247070.66581735795</v>
      </c>
      <c r="D17" s="16">
        <v>17228.433333333334</v>
      </c>
      <c r="E17" s="16">
        <f t="shared" si="0"/>
        <v>1103.1435920138485</v>
      </c>
      <c r="F17" s="16">
        <v>313810</v>
      </c>
      <c r="G17" s="52">
        <f t="shared" si="1"/>
        <v>54.900842335595854</v>
      </c>
      <c r="I17" s="18"/>
    </row>
    <row r="18" spans="2:9" s="12" customFormat="1" ht="20.25" customHeight="1" x14ac:dyDescent="0.2">
      <c r="B18" s="13" t="s">
        <v>16</v>
      </c>
      <c r="C18" s="16">
        <v>310284.83131000004</v>
      </c>
      <c r="D18" s="16">
        <v>23617.4</v>
      </c>
      <c r="E18" s="16">
        <f t="shared" si="0"/>
        <v>1010.613528454575</v>
      </c>
      <c r="F18" s="16">
        <v>307391</v>
      </c>
      <c r="G18" s="52">
        <f t="shared" si="1"/>
        <v>76.83178752793674</v>
      </c>
      <c r="I18" s="18"/>
    </row>
    <row r="19" spans="2:9" s="12" customFormat="1" ht="20.25" customHeight="1" x14ac:dyDescent="0.2">
      <c r="B19" s="13" t="s">
        <v>17</v>
      </c>
      <c r="C19" s="16">
        <v>823969.46499999997</v>
      </c>
      <c r="D19" s="16">
        <v>61280.533333333333</v>
      </c>
      <c r="E19" s="16">
        <f t="shared" si="0"/>
        <v>1034.2969143838209</v>
      </c>
      <c r="F19" s="16">
        <v>1640635</v>
      </c>
      <c r="G19" s="52">
        <f t="shared" si="1"/>
        <v>37.351716459379041</v>
      </c>
      <c r="I19" s="18"/>
    </row>
    <row r="20" spans="2:9" s="12" customFormat="1" ht="20.25" customHeight="1" x14ac:dyDescent="0.2">
      <c r="B20" s="13" t="s">
        <v>18</v>
      </c>
      <c r="C20" s="16">
        <v>456801.24226119992</v>
      </c>
      <c r="D20" s="16">
        <v>36062</v>
      </c>
      <c r="E20" s="16">
        <f t="shared" si="0"/>
        <v>974.39290935098927</v>
      </c>
      <c r="F20" s="16">
        <v>998667</v>
      </c>
      <c r="G20" s="52">
        <f t="shared" si="1"/>
        <v>36.110134809701329</v>
      </c>
      <c r="I20" s="18"/>
    </row>
    <row r="21" spans="2:9" s="12" customFormat="1" ht="20.25" customHeight="1" x14ac:dyDescent="0.2">
      <c r="B21" s="13" t="s">
        <v>19</v>
      </c>
      <c r="C21" s="16">
        <v>712084.93499999994</v>
      </c>
      <c r="D21" s="16">
        <v>36909</v>
      </c>
      <c r="E21" s="16">
        <f t="shared" si="0"/>
        <v>1484.0760852575042</v>
      </c>
      <c r="F21" s="16">
        <v>504075</v>
      </c>
      <c r="G21" s="52">
        <f t="shared" si="1"/>
        <v>73.221246838268115</v>
      </c>
      <c r="I21" s="18"/>
    </row>
    <row r="22" spans="2:9" s="12" customFormat="1" ht="20.25" customHeight="1" x14ac:dyDescent="0.2">
      <c r="B22" s="13" t="s">
        <v>20</v>
      </c>
      <c r="C22" s="16">
        <v>384716</v>
      </c>
      <c r="D22" s="16">
        <v>33298</v>
      </c>
      <c r="E22" s="16">
        <f t="shared" si="0"/>
        <v>888.74822696673846</v>
      </c>
      <c r="F22" s="16">
        <v>580533</v>
      </c>
      <c r="G22" s="52">
        <f t="shared" si="1"/>
        <v>57.357635138743184</v>
      </c>
      <c r="I22" s="18"/>
    </row>
    <row r="23" spans="2:9" s="12" customFormat="1" ht="20.25" customHeight="1" x14ac:dyDescent="0.2">
      <c r="B23" s="13" t="s">
        <v>21</v>
      </c>
      <c r="C23" s="16">
        <v>455760</v>
      </c>
      <c r="D23" s="16">
        <v>38632.866666666669</v>
      </c>
      <c r="E23" s="16">
        <f t="shared" si="0"/>
        <v>907.47761073373283</v>
      </c>
      <c r="F23" s="16">
        <v>1122260</v>
      </c>
      <c r="G23" s="52">
        <f t="shared" si="1"/>
        <v>34.424167899298439</v>
      </c>
      <c r="I23" s="18"/>
    </row>
    <row r="24" spans="2:9" s="12" customFormat="1" ht="20.25" customHeight="1" x14ac:dyDescent="0.2">
      <c r="B24" s="13" t="s">
        <v>22</v>
      </c>
      <c r="C24" s="16">
        <v>403155.17477200006</v>
      </c>
      <c r="D24" s="16">
        <v>27391.933333333334</v>
      </c>
      <c r="E24" s="16">
        <f t="shared" si="0"/>
        <v>1132.1558118420417</v>
      </c>
      <c r="F24" s="16">
        <v>647156</v>
      </c>
      <c r="G24" s="52">
        <f t="shared" si="1"/>
        <v>42.326631188358498</v>
      </c>
      <c r="I24" s="18"/>
    </row>
    <row r="25" spans="2:9" s="14" customFormat="1" ht="20.25" customHeight="1" x14ac:dyDescent="0.2">
      <c r="B25" s="13" t="s">
        <v>23</v>
      </c>
      <c r="C25" s="16">
        <v>250105.71</v>
      </c>
      <c r="D25" s="16">
        <v>18693</v>
      </c>
      <c r="E25" s="16">
        <f t="shared" si="0"/>
        <v>1029.2034862906312</v>
      </c>
      <c r="F25" s="16">
        <v>390918</v>
      </c>
      <c r="G25" s="52">
        <f t="shared" si="1"/>
        <v>47.818212515156631</v>
      </c>
      <c r="I25" s="20"/>
    </row>
    <row r="26" spans="2:9" s="14" customFormat="1" ht="20.25" customHeight="1" x14ac:dyDescent="0.2">
      <c r="B26" s="13" t="s">
        <v>24</v>
      </c>
      <c r="C26" s="16">
        <v>325543.33900999994</v>
      </c>
      <c r="D26" s="16">
        <v>17365.3</v>
      </c>
      <c r="E26" s="16">
        <f t="shared" si="0"/>
        <v>1442.0594696585451</v>
      </c>
      <c r="F26" s="16">
        <v>205953</v>
      </c>
      <c r="G26" s="52">
        <f t="shared" si="1"/>
        <v>84.316810146004187</v>
      </c>
      <c r="I26" s="20"/>
    </row>
    <row r="27" spans="2:9" s="12" customFormat="1" ht="20.25" customHeight="1" x14ac:dyDescent="0.2">
      <c r="B27" s="13" t="s">
        <v>25</v>
      </c>
      <c r="C27" s="16">
        <v>1431692.0875200001</v>
      </c>
      <c r="D27" s="16">
        <v>98323</v>
      </c>
      <c r="E27" s="16">
        <f t="shared" si="0"/>
        <v>1120.0854385897658</v>
      </c>
      <c r="F27" s="16">
        <v>3135972</v>
      </c>
      <c r="G27" s="52">
        <f t="shared" si="1"/>
        <v>31.353277388956275</v>
      </c>
    </row>
    <row r="28" spans="2:9" s="12" customFormat="1" ht="20.25" customHeight="1" x14ac:dyDescent="0.2">
      <c r="B28" s="13" t="s">
        <v>56</v>
      </c>
      <c r="C28" s="16">
        <v>420903</v>
      </c>
      <c r="D28" s="16">
        <v>35392</v>
      </c>
      <c r="E28" s="16">
        <f t="shared" si="0"/>
        <v>914.81560370009743</v>
      </c>
      <c r="F28" s="16">
        <v>823817</v>
      </c>
      <c r="G28" s="52">
        <f t="shared" si="1"/>
        <v>42.960997405977302</v>
      </c>
    </row>
    <row r="29" spans="2:9" s="12" customFormat="1" ht="20.25" customHeight="1" x14ac:dyDescent="0.2">
      <c r="B29" s="13" t="s">
        <v>26</v>
      </c>
      <c r="C29" s="16">
        <v>593966</v>
      </c>
      <c r="D29" s="16">
        <v>49065</v>
      </c>
      <c r="E29" s="16">
        <f t="shared" si="0"/>
        <v>931.2074250013718</v>
      </c>
      <c r="F29" s="16">
        <v>1387220</v>
      </c>
      <c r="G29" s="52">
        <f t="shared" si="1"/>
        <v>35.369299750580296</v>
      </c>
    </row>
    <row r="30" spans="2:9" s="12" customFormat="1" ht="20.25" customHeight="1" thickBot="1" x14ac:dyDescent="0.25">
      <c r="B30" s="13" t="s">
        <v>55</v>
      </c>
      <c r="C30" s="16">
        <v>214948.90431538463</v>
      </c>
      <c r="D30" s="16">
        <v>8408</v>
      </c>
      <c r="E30" s="16">
        <f t="shared" si="0"/>
        <v>1966.5236799694853</v>
      </c>
      <c r="F30" s="16">
        <v>108210</v>
      </c>
      <c r="G30" s="52">
        <f t="shared" si="1"/>
        <v>77.700767027076978</v>
      </c>
    </row>
    <row r="31" spans="2:9" s="12" customFormat="1" ht="26.25" customHeight="1" thickBot="1" x14ac:dyDescent="0.25">
      <c r="B31" s="44" t="s">
        <v>27</v>
      </c>
      <c r="C31" s="45">
        <f>SUM(C7:C30)</f>
        <v>19076702.267086826</v>
      </c>
      <c r="D31" s="45">
        <f>SUM(D7:D30)</f>
        <v>1381917.9666666668</v>
      </c>
      <c r="E31" s="45">
        <f t="shared" si="0"/>
        <v>1061.8854890998878</v>
      </c>
      <c r="F31" s="45">
        <f>SUM(F7:F30)</f>
        <v>37869730</v>
      </c>
      <c r="G31" s="53">
        <f t="shared" si="1"/>
        <v>36.491360426035953</v>
      </c>
    </row>
    <row r="32" spans="2:9" ht="8.25" customHeight="1" x14ac:dyDescent="0.2">
      <c r="B32" s="14"/>
      <c r="C32" s="17"/>
      <c r="D32" s="18"/>
      <c r="E32" s="17"/>
      <c r="F32" s="18"/>
      <c r="G32" s="18"/>
    </row>
    <row r="33" spans="2:7" x14ac:dyDescent="0.2">
      <c r="B33" s="64" t="s">
        <v>67</v>
      </c>
      <c r="C33" s="64"/>
      <c r="D33" s="64"/>
      <c r="E33" s="64"/>
      <c r="F33" s="64"/>
      <c r="G33" s="64"/>
    </row>
    <row r="34" spans="2:7" x14ac:dyDescent="0.2">
      <c r="B34" s="65" t="s">
        <v>64</v>
      </c>
      <c r="C34" s="65"/>
      <c r="D34" s="65"/>
      <c r="E34" s="65"/>
      <c r="F34" s="65"/>
      <c r="G34" s="65"/>
    </row>
    <row r="35" spans="2:7" ht="26.25" customHeight="1" x14ac:dyDescent="0.2">
      <c r="B35" s="66" t="s">
        <v>50</v>
      </c>
      <c r="C35" s="66"/>
      <c r="D35" s="66"/>
      <c r="E35" s="66"/>
      <c r="F35" s="66"/>
      <c r="G35" s="66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38:G38"/>
    <mergeCell ref="B39:G39"/>
    <mergeCell ref="B40:G40"/>
    <mergeCell ref="B41:G41"/>
    <mergeCell ref="B42:G42"/>
    <mergeCell ref="B1:G1"/>
    <mergeCell ref="B37:G37"/>
    <mergeCell ref="B33:G33"/>
    <mergeCell ref="B34:G34"/>
    <mergeCell ref="B36:G36"/>
    <mergeCell ref="B2:G2"/>
    <mergeCell ref="B3:G3"/>
    <mergeCell ref="B4:G4"/>
    <mergeCell ref="B35:G35"/>
  </mergeCells>
  <printOptions horizontalCentered="1" verticalCentered="1"/>
  <pageMargins left="0.78740157480314965" right="0.78740157480314965" top="0.59055118110236227" bottom="0.98425196850393704" header="0" footer="0"/>
  <pageSetup paperSize="9"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G42"/>
  <sheetViews>
    <sheetView showGridLines="0" tabSelected="1" zoomScaleNormal="100" workbookViewId="0">
      <selection activeCell="B1" sqref="B1:G1"/>
    </sheetView>
  </sheetViews>
  <sheetFormatPr baseColWidth="10" defaultRowHeight="12.75" x14ac:dyDescent="0.2"/>
  <cols>
    <col min="1" max="1" width="2.85546875" style="10" customWidth="1"/>
    <col min="2" max="2" width="27.140625" style="10" customWidth="1"/>
    <col min="3" max="3" width="15.42578125" style="10" customWidth="1"/>
    <col min="4" max="4" width="13.28515625" style="10" bestFit="1" customWidth="1"/>
    <col min="5" max="5" width="15.140625" style="10" bestFit="1" customWidth="1"/>
    <col min="6" max="6" width="16.42578125" style="10" bestFit="1" customWidth="1"/>
    <col min="7" max="7" width="14.85546875" style="10" bestFit="1" customWidth="1"/>
    <col min="8" max="8" width="3.7109375" style="10" customWidth="1"/>
    <col min="9" max="16384" width="11.42578125" style="10"/>
  </cols>
  <sheetData>
    <row r="1" spans="2:7" ht="61.5" customHeight="1" x14ac:dyDescent="0.2">
      <c r="B1" s="56"/>
      <c r="C1" s="56"/>
      <c r="D1" s="56"/>
      <c r="E1" s="56"/>
      <c r="F1" s="56"/>
      <c r="G1" s="56"/>
    </row>
    <row r="2" spans="2:7" s="12" customFormat="1" ht="18.75" customHeight="1" x14ac:dyDescent="0.2">
      <c r="B2" s="56" t="s">
        <v>71</v>
      </c>
      <c r="C2" s="56"/>
      <c r="D2" s="56"/>
      <c r="E2" s="56"/>
      <c r="F2" s="56"/>
      <c r="G2" s="56"/>
    </row>
    <row r="3" spans="2:7" s="11" customFormat="1" ht="18.75" customHeight="1" x14ac:dyDescent="0.2">
      <c r="B3" s="62" t="s">
        <v>62</v>
      </c>
      <c r="C3" s="62"/>
      <c r="D3" s="62"/>
      <c r="E3" s="62"/>
      <c r="F3" s="62"/>
      <c r="G3" s="62"/>
    </row>
    <row r="4" spans="2:7" x14ac:dyDescent="0.2">
      <c r="B4" s="63" t="s">
        <v>51</v>
      </c>
      <c r="C4" s="63"/>
      <c r="D4" s="63"/>
      <c r="E4" s="63"/>
      <c r="F4" s="63"/>
      <c r="G4" s="63"/>
    </row>
    <row r="5" spans="2:7" ht="6" customHeight="1" thickBot="1" x14ac:dyDescent="0.25"/>
    <row r="6" spans="2:7" s="11" customFormat="1" ht="57.75" customHeight="1" thickBot="1" x14ac:dyDescent="0.25">
      <c r="B6" s="34" t="s">
        <v>1</v>
      </c>
      <c r="C6" s="35" t="s">
        <v>66</v>
      </c>
      <c r="D6" s="36" t="s">
        <v>70</v>
      </c>
      <c r="E6" s="35" t="s">
        <v>60</v>
      </c>
      <c r="F6" s="37" t="s">
        <v>65</v>
      </c>
      <c r="G6" s="38" t="s">
        <v>4</v>
      </c>
    </row>
    <row r="7" spans="2:7" s="12" customFormat="1" ht="20.25" customHeight="1" x14ac:dyDescent="0.2">
      <c r="B7" s="13" t="s">
        <v>5</v>
      </c>
      <c r="C7" s="16">
        <v>2054000</v>
      </c>
      <c r="D7" s="16">
        <v>111721</v>
      </c>
      <c r="E7" s="16">
        <f>C7/D7/13*1000</f>
        <v>1414.23725172528</v>
      </c>
      <c r="F7" s="16">
        <v>3011694</v>
      </c>
      <c r="G7" s="52">
        <f t="shared" ref="G7:G31" si="0">D7/F7*1000</f>
        <v>37.095734161571528</v>
      </c>
    </row>
    <row r="8" spans="2:7" s="12" customFormat="1" ht="20.25" customHeight="1" x14ac:dyDescent="0.2">
      <c r="B8" s="13" t="s">
        <v>6</v>
      </c>
      <c r="C8" s="16">
        <v>6888347</v>
      </c>
      <c r="D8" s="16">
        <v>438648.83333333331</v>
      </c>
      <c r="E8" s="16">
        <f t="shared" ref="E8:E31" si="1">C8/D8/13*1000</f>
        <v>1207.9659305766145</v>
      </c>
      <c r="F8" s="16">
        <v>14530996</v>
      </c>
      <c r="G8" s="52">
        <f t="shared" si="0"/>
        <v>30.187114037697988</v>
      </c>
    </row>
    <row r="9" spans="2:7" s="12" customFormat="1" ht="20.25" customHeight="1" x14ac:dyDescent="0.2">
      <c r="B9" s="13" t="s">
        <v>7</v>
      </c>
      <c r="C9" s="16">
        <v>335939.33637080999</v>
      </c>
      <c r="D9" s="16">
        <v>29025</v>
      </c>
      <c r="E9" s="16">
        <f t="shared" si="1"/>
        <v>890.31825712796649</v>
      </c>
      <c r="F9" s="16">
        <v>357804</v>
      </c>
      <c r="G9" s="52">
        <f t="shared" si="0"/>
        <v>81.119830968910364</v>
      </c>
    </row>
    <row r="10" spans="2:7" s="12" customFormat="1" ht="20.25" customHeight="1" x14ac:dyDescent="0.2">
      <c r="B10" s="13" t="s">
        <v>8</v>
      </c>
      <c r="C10" s="16">
        <v>1475114.4883677</v>
      </c>
      <c r="D10" s="16">
        <v>89782</v>
      </c>
      <c r="E10" s="16">
        <f t="shared" si="1"/>
        <v>1263.8429224015265</v>
      </c>
      <c r="F10" s="16">
        <v>3226504</v>
      </c>
      <c r="G10" s="52">
        <f t="shared" si="0"/>
        <v>27.826402818654493</v>
      </c>
    </row>
    <row r="11" spans="2:7" s="12" customFormat="1" ht="20.25" customHeight="1" x14ac:dyDescent="0.2">
      <c r="B11" s="13" t="s">
        <v>9</v>
      </c>
      <c r="C11" s="16">
        <v>546699.62997000001</v>
      </c>
      <c r="D11" s="16">
        <v>40633</v>
      </c>
      <c r="E11" s="16">
        <f t="shared" si="1"/>
        <v>1034.9670880811163</v>
      </c>
      <c r="F11" s="16">
        <v>970173</v>
      </c>
      <c r="G11" s="52">
        <f t="shared" si="0"/>
        <v>41.882221005944295</v>
      </c>
    </row>
    <row r="12" spans="2:7" s="12" customFormat="1" ht="20.25" customHeight="1" x14ac:dyDescent="0.2">
      <c r="B12" s="13" t="s">
        <v>10</v>
      </c>
      <c r="C12" s="16">
        <v>750493</v>
      </c>
      <c r="D12" s="16">
        <v>44689</v>
      </c>
      <c r="E12" s="16">
        <f t="shared" si="1"/>
        <v>1291.821942071444</v>
      </c>
      <c r="F12" s="16">
        <v>1016209</v>
      </c>
      <c r="G12" s="52">
        <f t="shared" si="0"/>
        <v>43.976189937306202</v>
      </c>
    </row>
    <row r="13" spans="2:7" s="12" customFormat="1" ht="20.25" customHeight="1" x14ac:dyDescent="0.2">
      <c r="B13" s="13" t="s">
        <v>11</v>
      </c>
      <c r="C13" s="16">
        <v>616560.43700000003</v>
      </c>
      <c r="D13" s="16">
        <v>26027</v>
      </c>
      <c r="E13" s="16">
        <f t="shared" si="1"/>
        <v>1822.2509671908758</v>
      </c>
      <c r="F13" s="16">
        <v>440381</v>
      </c>
      <c r="G13" s="52">
        <f t="shared" si="0"/>
        <v>59.101096550486965</v>
      </c>
    </row>
    <row r="14" spans="2:7" s="12" customFormat="1" ht="20.25" customHeight="1" x14ac:dyDescent="0.2">
      <c r="B14" s="13" t="s">
        <v>12</v>
      </c>
      <c r="C14" s="16">
        <v>922730.94</v>
      </c>
      <c r="D14" s="16">
        <v>58502</v>
      </c>
      <c r="E14" s="16">
        <f t="shared" si="1"/>
        <v>1213.279940462259</v>
      </c>
      <c r="F14" s="16">
        <v>1206177</v>
      </c>
      <c r="G14" s="52">
        <f t="shared" si="0"/>
        <v>48.502002608240744</v>
      </c>
    </row>
    <row r="15" spans="2:7" s="12" customFormat="1" ht="20.25" customHeight="1" x14ac:dyDescent="0.2">
      <c r="B15" s="13" t="s">
        <v>13</v>
      </c>
      <c r="C15" s="16">
        <v>463480.66791999998</v>
      </c>
      <c r="D15" s="16">
        <v>33374</v>
      </c>
      <c r="E15" s="16">
        <f t="shared" si="1"/>
        <v>1068.2674857904126</v>
      </c>
      <c r="F15" s="16">
        <v>510353</v>
      </c>
      <c r="G15" s="52">
        <f t="shared" si="0"/>
        <v>65.39395281305292</v>
      </c>
    </row>
    <row r="16" spans="2:7" s="12" customFormat="1" ht="20.25" customHeight="1" x14ac:dyDescent="0.2">
      <c r="B16" s="13" t="s">
        <v>14</v>
      </c>
      <c r="C16" s="16">
        <v>483520</v>
      </c>
      <c r="D16" s="16">
        <v>35661</v>
      </c>
      <c r="E16" s="16">
        <f t="shared" si="1"/>
        <v>1042.9838241733589</v>
      </c>
      <c r="F16" s="16">
        <v>643571</v>
      </c>
      <c r="G16" s="52">
        <f t="shared" si="0"/>
        <v>55.411135678891689</v>
      </c>
    </row>
    <row r="17" spans="2:7" s="12" customFormat="1" ht="20.25" customHeight="1" x14ac:dyDescent="0.2">
      <c r="B17" s="13" t="s">
        <v>15</v>
      </c>
      <c r="C17" s="16">
        <v>280516</v>
      </c>
      <c r="D17" s="16">
        <v>17228.433333333334</v>
      </c>
      <c r="E17" s="16">
        <f t="shared" si="1"/>
        <v>1252.4733635765203</v>
      </c>
      <c r="F17" s="16">
        <v>317697</v>
      </c>
      <c r="G17" s="52">
        <f t="shared" si="0"/>
        <v>54.229134468796794</v>
      </c>
    </row>
    <row r="18" spans="2:7" s="12" customFormat="1" ht="20.25" customHeight="1" x14ac:dyDescent="0.2">
      <c r="B18" s="13" t="s">
        <v>16</v>
      </c>
      <c r="C18" s="16">
        <v>346459.44838000002</v>
      </c>
      <c r="D18" s="16">
        <v>24102.400000000001</v>
      </c>
      <c r="E18" s="16">
        <f t="shared" si="1"/>
        <v>1105.7291721347888</v>
      </c>
      <c r="F18" s="16">
        <v>313918</v>
      </c>
      <c r="G18" s="52">
        <f t="shared" si="0"/>
        <v>76.779286310437755</v>
      </c>
    </row>
    <row r="19" spans="2:7" s="12" customFormat="1" ht="20.25" customHeight="1" x14ac:dyDescent="0.2">
      <c r="B19" s="13" t="s">
        <v>17</v>
      </c>
      <c r="C19" s="16">
        <v>1105701.5656666667</v>
      </c>
      <c r="D19" s="16">
        <v>64680.333333333336</v>
      </c>
      <c r="E19" s="16">
        <f t="shared" si="1"/>
        <v>1314.9896144074232</v>
      </c>
      <c r="F19" s="16">
        <v>1657801</v>
      </c>
      <c r="G19" s="52">
        <f t="shared" si="0"/>
        <v>39.015740329106649</v>
      </c>
    </row>
    <row r="20" spans="2:7" s="12" customFormat="1" ht="20.25" customHeight="1" x14ac:dyDescent="0.2">
      <c r="B20" s="13" t="s">
        <v>18</v>
      </c>
      <c r="C20" s="16">
        <v>517471.4088572</v>
      </c>
      <c r="D20" s="16">
        <v>37336</v>
      </c>
      <c r="E20" s="16">
        <f t="shared" si="1"/>
        <v>1066.1424091765423</v>
      </c>
      <c r="F20" s="16">
        <v>1013983</v>
      </c>
      <c r="G20" s="52">
        <f t="shared" si="0"/>
        <v>36.821130137290268</v>
      </c>
    </row>
    <row r="21" spans="2:7" s="12" customFormat="1" ht="20.25" customHeight="1" x14ac:dyDescent="0.2">
      <c r="B21" s="13" t="s">
        <v>19</v>
      </c>
      <c r="C21" s="16">
        <v>783761.92099999997</v>
      </c>
      <c r="D21" s="16">
        <v>36909</v>
      </c>
      <c r="E21" s="16">
        <f t="shared" si="1"/>
        <v>1633.4600920767707</v>
      </c>
      <c r="F21" s="16">
        <v>512698</v>
      </c>
      <c r="G21" s="52">
        <f t="shared" si="0"/>
        <v>71.98974835088103</v>
      </c>
    </row>
    <row r="22" spans="2:7" s="12" customFormat="1" ht="20.25" customHeight="1" x14ac:dyDescent="0.2">
      <c r="B22" s="13" t="s">
        <v>20</v>
      </c>
      <c r="C22" s="16">
        <v>487756</v>
      </c>
      <c r="D22" s="16">
        <v>35413</v>
      </c>
      <c r="E22" s="16">
        <f t="shared" si="1"/>
        <v>1059.4892358086665</v>
      </c>
      <c r="F22" s="16">
        <v>583953</v>
      </c>
      <c r="G22" s="52">
        <f t="shared" si="0"/>
        <v>60.643579192161013</v>
      </c>
    </row>
    <row r="23" spans="2:7" s="12" customFormat="1" ht="20.25" customHeight="1" x14ac:dyDescent="0.2">
      <c r="B23" s="13" t="s">
        <v>21</v>
      </c>
      <c r="C23" s="16">
        <v>552990</v>
      </c>
      <c r="D23" s="16">
        <v>40896.866666666669</v>
      </c>
      <c r="E23" s="16">
        <f t="shared" si="1"/>
        <v>1040.1210599921828</v>
      </c>
      <c r="F23" s="16">
        <v>1141632</v>
      </c>
      <c r="G23" s="52">
        <f t="shared" si="0"/>
        <v>35.823160761669847</v>
      </c>
    </row>
    <row r="24" spans="2:7" s="12" customFormat="1" ht="20.25" customHeight="1" x14ac:dyDescent="0.2">
      <c r="B24" s="13" t="s">
        <v>22</v>
      </c>
      <c r="C24" s="16">
        <v>439370</v>
      </c>
      <c r="D24" s="16">
        <v>27391.933333333334</v>
      </c>
      <c r="E24" s="16">
        <f t="shared" si="1"/>
        <v>1233.8556719019093</v>
      </c>
      <c r="F24" s="16">
        <v>656727</v>
      </c>
      <c r="G24" s="52">
        <f t="shared" si="0"/>
        <v>41.709771843297645</v>
      </c>
    </row>
    <row r="25" spans="2:7" s="14" customFormat="1" ht="20.25" customHeight="1" x14ac:dyDescent="0.2">
      <c r="B25" s="13" t="s">
        <v>23</v>
      </c>
      <c r="C25" s="16">
        <v>306970.07692307694</v>
      </c>
      <c r="D25" s="16">
        <v>18693</v>
      </c>
      <c r="E25" s="16">
        <f t="shared" si="1"/>
        <v>1263.2045600083823</v>
      </c>
      <c r="F25" s="16">
        <v>400012</v>
      </c>
      <c r="G25" s="52">
        <f t="shared" si="0"/>
        <v>46.731098067057992</v>
      </c>
    </row>
    <row r="26" spans="2:7" s="14" customFormat="1" ht="20.25" customHeight="1" x14ac:dyDescent="0.2">
      <c r="B26" s="13" t="s">
        <v>24</v>
      </c>
      <c r="C26" s="16">
        <v>398575.15488999995</v>
      </c>
      <c r="D26" s="16">
        <v>17365.3</v>
      </c>
      <c r="E26" s="16">
        <f t="shared" si="1"/>
        <v>1765.5685360593116</v>
      </c>
      <c r="F26" s="16">
        <v>209859</v>
      </c>
      <c r="G26" s="52">
        <f t="shared" si="0"/>
        <v>82.747463773295394</v>
      </c>
    </row>
    <row r="27" spans="2:7" s="12" customFormat="1" ht="20.25" customHeight="1" x14ac:dyDescent="0.2">
      <c r="B27" s="13" t="s">
        <v>25</v>
      </c>
      <c r="C27" s="16">
        <v>1715826.7505800002</v>
      </c>
      <c r="D27" s="16">
        <v>99890</v>
      </c>
      <c r="E27" s="16">
        <f t="shared" si="1"/>
        <v>1321.3201834171437</v>
      </c>
      <c r="F27" s="16">
        <v>3156308</v>
      </c>
      <c r="G27" s="52">
        <f t="shared" si="0"/>
        <v>31.64773526537968</v>
      </c>
    </row>
    <row r="28" spans="2:7" s="12" customFormat="1" ht="20.25" customHeight="1" x14ac:dyDescent="0.2">
      <c r="B28" s="13" t="s">
        <v>56</v>
      </c>
      <c r="C28" s="16">
        <v>525989</v>
      </c>
      <c r="D28" s="16">
        <v>36386</v>
      </c>
      <c r="E28" s="16">
        <f t="shared" si="1"/>
        <v>1111.9851675834745</v>
      </c>
      <c r="F28" s="16">
        <v>831597</v>
      </c>
      <c r="G28" s="52">
        <f t="shared" si="0"/>
        <v>43.754366598244104</v>
      </c>
    </row>
    <row r="29" spans="2:7" s="12" customFormat="1" ht="20.25" customHeight="1" x14ac:dyDescent="0.2">
      <c r="B29" s="13" t="s">
        <v>26</v>
      </c>
      <c r="C29" s="16">
        <v>759365</v>
      </c>
      <c r="D29" s="16">
        <v>54462</v>
      </c>
      <c r="E29" s="16">
        <f t="shared" si="1"/>
        <v>1072.5403457032849</v>
      </c>
      <c r="F29" s="16">
        <v>1404278</v>
      </c>
      <c r="G29" s="52">
        <f t="shared" si="0"/>
        <v>38.782919051640775</v>
      </c>
    </row>
    <row r="30" spans="2:7" s="12" customFormat="1" ht="20.25" customHeight="1" thickBot="1" x14ac:dyDescent="0.25">
      <c r="B30" s="13" t="s">
        <v>55</v>
      </c>
      <c r="C30" s="16">
        <v>297545</v>
      </c>
      <c r="D30" s="16">
        <v>8398</v>
      </c>
      <c r="E30" s="16">
        <f t="shared" si="1"/>
        <v>2725.4199717881543</v>
      </c>
      <c r="F30" s="16">
        <v>111726</v>
      </c>
      <c r="G30" s="52">
        <f t="shared" si="0"/>
        <v>75.166031183430889</v>
      </c>
    </row>
    <row r="31" spans="2:7" s="12" customFormat="1" ht="26.25" customHeight="1" thickBot="1" x14ac:dyDescent="0.25">
      <c r="B31" s="44" t="s">
        <v>27</v>
      </c>
      <c r="C31" s="45">
        <f>SUM(C7:C30)</f>
        <v>23055182.825925454</v>
      </c>
      <c r="D31" s="45">
        <f>SUM(D7:D30)</f>
        <v>1427215.1</v>
      </c>
      <c r="E31" s="45">
        <f t="shared" si="1"/>
        <v>1242.6126951671583</v>
      </c>
      <c r="F31" s="45">
        <f>SUM(F7:F30)</f>
        <v>38226051</v>
      </c>
      <c r="G31" s="53">
        <f t="shared" si="0"/>
        <v>37.336189919277828</v>
      </c>
    </row>
    <row r="32" spans="2:7" ht="8.25" customHeight="1" x14ac:dyDescent="0.2">
      <c r="B32" s="14"/>
      <c r="C32" s="17"/>
      <c r="D32" s="18"/>
      <c r="E32" s="17"/>
      <c r="F32" s="18"/>
      <c r="G32" s="18"/>
    </row>
    <row r="33" spans="2:7" x14ac:dyDescent="0.2">
      <c r="B33" s="64" t="s">
        <v>67</v>
      </c>
      <c r="C33" s="64"/>
      <c r="D33" s="64"/>
      <c r="E33" s="64"/>
      <c r="F33" s="64"/>
      <c r="G33" s="64"/>
    </row>
    <row r="34" spans="2:7" x14ac:dyDescent="0.2">
      <c r="B34" s="65" t="s">
        <v>64</v>
      </c>
      <c r="C34" s="65"/>
      <c r="D34" s="65"/>
      <c r="E34" s="65"/>
      <c r="F34" s="65"/>
      <c r="G34" s="65"/>
    </row>
    <row r="35" spans="2:7" ht="25.5" customHeight="1" x14ac:dyDescent="0.2">
      <c r="B35" s="66" t="s">
        <v>69</v>
      </c>
      <c r="C35" s="66"/>
      <c r="D35" s="66"/>
      <c r="E35" s="66"/>
      <c r="F35" s="66"/>
      <c r="G35" s="66"/>
    </row>
    <row r="36" spans="2:7" x14ac:dyDescent="0.2">
      <c r="B36" s="59" t="s">
        <v>72</v>
      </c>
      <c r="C36" s="59"/>
      <c r="D36" s="59"/>
      <c r="E36" s="59"/>
      <c r="F36" s="59"/>
      <c r="G36" s="59"/>
    </row>
    <row r="37" spans="2:7" x14ac:dyDescent="0.2">
      <c r="B37" s="60" t="s">
        <v>54</v>
      </c>
      <c r="C37" s="60"/>
      <c r="D37" s="60"/>
      <c r="E37" s="60"/>
      <c r="F37" s="60"/>
      <c r="G37" s="60"/>
    </row>
    <row r="38" spans="2:7" x14ac:dyDescent="0.2">
      <c r="B38" s="59"/>
      <c r="C38" s="59"/>
      <c r="D38" s="59"/>
      <c r="E38" s="59"/>
      <c r="F38" s="59"/>
      <c r="G38" s="59"/>
    </row>
    <row r="39" spans="2:7" x14ac:dyDescent="0.2">
      <c r="B39" s="59"/>
      <c r="C39" s="59"/>
      <c r="D39" s="59"/>
      <c r="E39" s="59"/>
      <c r="F39" s="59"/>
      <c r="G39" s="59"/>
    </row>
    <row r="40" spans="2:7" x14ac:dyDescent="0.2">
      <c r="B40" s="59"/>
      <c r="C40" s="59"/>
      <c r="D40" s="59"/>
      <c r="E40" s="59"/>
      <c r="F40" s="59"/>
      <c r="G40" s="59"/>
    </row>
    <row r="41" spans="2:7" x14ac:dyDescent="0.2">
      <c r="B41" s="59"/>
      <c r="C41" s="59"/>
      <c r="D41" s="59"/>
      <c r="E41" s="59"/>
      <c r="F41" s="59"/>
      <c r="G41" s="59"/>
    </row>
    <row r="42" spans="2:7" x14ac:dyDescent="0.2">
      <c r="B42" s="59"/>
      <c r="C42" s="59"/>
      <c r="D42" s="59"/>
      <c r="E42" s="59"/>
      <c r="F42" s="59"/>
      <c r="G42" s="59"/>
    </row>
  </sheetData>
  <mergeCells count="14">
    <mergeCell ref="B40:G40"/>
    <mergeCell ref="B41:G41"/>
    <mergeCell ref="B42:G42"/>
    <mergeCell ref="B1:G1"/>
    <mergeCell ref="B33:G33"/>
    <mergeCell ref="B34:G34"/>
    <mergeCell ref="B36:G36"/>
    <mergeCell ref="B38:G38"/>
    <mergeCell ref="B39:G39"/>
    <mergeCell ref="B2:G2"/>
    <mergeCell ref="B3:G3"/>
    <mergeCell ref="B4:G4"/>
    <mergeCell ref="B35:G35"/>
    <mergeCell ref="B37:G37"/>
  </mergeCells>
  <printOptions horizontalCentered="1" verticalCentered="1"/>
  <pageMargins left="0.39370078740157483" right="0.78740157480314965" top="0.59055118110236227" bottom="0.98425196850393704" header="0" footer="0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>
                <anchor moveWithCells="1" siz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1</xdr:col>
                    <xdr:colOff>276225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MECON</dc:creator>
  <cp:lastModifiedBy>ftomas@provincias.mecon.ar</cp:lastModifiedBy>
  <dcterms:created xsi:type="dcterms:W3CDTF">2006-05-16T15:49:33Z</dcterms:created>
  <dcterms:modified xsi:type="dcterms:W3CDTF">2026-10-07T18:20:17Z</dcterms:modified>
</cp:coreProperties>
</file>