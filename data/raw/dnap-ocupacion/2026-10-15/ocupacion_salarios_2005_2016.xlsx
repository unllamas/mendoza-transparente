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trlProps/ctrlProp5.xml" ContentType="application/vnd.ms-excel.controlproperties+xml"/>
  <Override PartName="/xl/drawings/drawing7.xml" ContentType="application/vnd.openxmlformats-officedocument.drawing+xml"/>
  <Override PartName="/xl/ctrlProps/ctrlProp6.xml" ContentType="application/vnd.ms-excel.controlproperties+xml"/>
  <Override PartName="/xl/drawings/drawing8.xml" ContentType="application/vnd.openxmlformats-officedocument.drawing+xml"/>
  <Override PartName="/xl/ctrlProps/ctrlProp7.xml" ContentType="application/vnd.ms-excel.controlproperties+xml"/>
  <Override PartName="/xl/drawings/drawing9.xml" ContentType="application/vnd.openxmlformats-officedocument.drawing+xml"/>
  <Override PartName="/xl/ctrlProps/ctrlProp8.xml" ContentType="application/vnd.ms-excel.controlproperties+xml"/>
  <Override PartName="/xl/drawings/drawing10.xml" ContentType="application/vnd.openxmlformats-officedocument.drawing+xml"/>
  <Override PartName="/xl/ctrlProps/ctrlProp9.xml" ContentType="application/vnd.ms-excel.controlproperties+xml"/>
  <Override PartName="/xl/drawings/drawing11.xml" ContentType="application/vnd.openxmlformats-officedocument.drawing+xml"/>
  <Override PartName="/xl/ctrlProps/ctrlProp10.xml" ContentType="application/vnd.ms-excel.controlproperties+xml"/>
  <Override PartName="/xl/drawings/drawing12.xml" ContentType="application/vnd.openxmlformats-officedocument.drawing+xml"/>
  <Override PartName="/xl/ctrlProps/ctrlProp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NCFP\EJEC\CONSOL\INFORMACION PARA INTERNET\PUBLICACIONES VIGENTES\PLANTILLA_WEB (VIGENTE)\Ocupación y Salarios\"/>
    </mc:Choice>
  </mc:AlternateContent>
  <xr:revisionPtr revIDLastSave="0" documentId="13_ncr:1_{B115806C-F93B-4DF4-A0D8-03F3E04B32D9}" xr6:coauthVersionLast="47" xr6:coauthVersionMax="47" xr10:uidLastSave="{00000000-0000-0000-0000-000000000000}"/>
  <bookViews>
    <workbookView xWindow="-120" yWindow="-120" windowWidth="29040" windowHeight="15840" tabRatio="932" activeTab="11" xr2:uid="{00000000-000D-0000-FFFF-FFFF00000000}"/>
  </bookViews>
  <sheets>
    <sheet name="2005" sheetId="19" r:id="rId1"/>
    <sheet name="2006" sheetId="20" r:id="rId2"/>
    <sheet name="2007" sheetId="21" r:id="rId3"/>
    <sheet name="2008" sheetId="22" r:id="rId4"/>
    <sheet name="2009" sheetId="23" r:id="rId5"/>
    <sheet name="2010" sheetId="24" r:id="rId6"/>
    <sheet name="2011" sheetId="25" r:id="rId7"/>
    <sheet name="2012" sheetId="26" r:id="rId8"/>
    <sheet name="2013" sheetId="27" r:id="rId9"/>
    <sheet name="2014" sheetId="28" r:id="rId10"/>
    <sheet name="2015" sheetId="29" r:id="rId11"/>
    <sheet name="2016" sheetId="30" r:id="rId12"/>
  </sheets>
  <definedNames>
    <definedName name="_xlnm.Print_Area" localSheetId="0">'2005'!$B$2:$G$37</definedName>
    <definedName name="_xlnm.Print_Area" localSheetId="1">'2006'!$B$2:$G$37</definedName>
    <definedName name="_xlnm.Print_Area" localSheetId="2">'2007'!$B$2:$G$36</definedName>
    <definedName name="_xlnm.Print_Area" localSheetId="3">'2008'!$B$2:$G$38</definedName>
    <definedName name="_xlnm.Print_Area" localSheetId="4">'2009'!$B$2:$G$36</definedName>
    <definedName name="_xlnm.Print_Area" localSheetId="5">'2010'!$B$2:$G$37</definedName>
    <definedName name="_xlnm.Print_Area" localSheetId="6">'2011'!$B$2:$G$37</definedName>
    <definedName name="_xlnm.Print_Area" localSheetId="7">'2012'!$B$2:$G$37</definedName>
    <definedName name="_xlnm.Print_Area" localSheetId="8">'2013'!$B$2:$G$36</definedName>
    <definedName name="_xlnm.Print_Area" localSheetId="9">'2014'!$B$2:$G$37</definedName>
    <definedName name="_xlnm.Print_Area" localSheetId="10">'2015'!$B$2:$G$37</definedName>
    <definedName name="_xlnm.Print_Area" localSheetId="11">'2016'!$B$2:$G$31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24" l="1"/>
  <c r="F31" i="27"/>
  <c r="F31" i="29"/>
  <c r="F31" i="25"/>
  <c r="F31" i="26"/>
  <c r="F31" i="30"/>
  <c r="F31" i="28"/>
  <c r="G8" i="25" l="1"/>
  <c r="G8" i="26"/>
  <c r="G8" i="30"/>
  <c r="G9" i="24"/>
  <c r="G9" i="26"/>
  <c r="G9" i="27"/>
  <c r="G9" i="28"/>
  <c r="G10" i="25"/>
  <c r="G10" i="27"/>
  <c r="G10" i="28"/>
  <c r="G10" i="29"/>
  <c r="G10" i="30"/>
  <c r="G11" i="25"/>
  <c r="G11" i="26"/>
  <c r="G11" i="27"/>
  <c r="G11" i="28"/>
  <c r="G11" i="29"/>
  <c r="G12" i="24"/>
  <c r="G12" i="25"/>
  <c r="G12" i="26"/>
  <c r="G12" i="27"/>
  <c r="G12" i="29"/>
  <c r="G12" i="30"/>
  <c r="G13" i="24"/>
  <c r="G13" i="25"/>
  <c r="G13" i="29"/>
  <c r="G13" i="30"/>
  <c r="G14" i="24"/>
  <c r="G14" i="25"/>
  <c r="G14" i="26"/>
  <c r="G14" i="27"/>
  <c r="G14" i="28"/>
  <c r="G14" i="30"/>
  <c r="G15" i="24"/>
  <c r="G15" i="25"/>
  <c r="G15" i="26"/>
  <c r="G15" i="27"/>
  <c r="G15" i="28"/>
  <c r="G15" i="29"/>
  <c r="G16" i="24"/>
  <c r="G16" i="26"/>
  <c r="G16" i="27"/>
  <c r="G16" i="28"/>
  <c r="G16" i="29"/>
  <c r="G16" i="30"/>
  <c r="G17" i="24"/>
  <c r="G17" i="25"/>
  <c r="G17" i="26"/>
  <c r="G17" i="29"/>
  <c r="G17" i="30"/>
  <c r="G18" i="24"/>
  <c r="G18" i="27"/>
  <c r="G18" i="28"/>
  <c r="G18" i="29"/>
  <c r="G18" i="30"/>
  <c r="G19" i="24"/>
  <c r="G19" i="25"/>
  <c r="G19" i="27"/>
  <c r="G19" i="28"/>
  <c r="G19" i="30"/>
  <c r="G20" i="24"/>
  <c r="G20" i="26"/>
  <c r="G20" i="27"/>
  <c r="G20" i="29"/>
  <c r="G20" i="30"/>
  <c r="G21" i="24"/>
  <c r="G21" i="25"/>
  <c r="G21" i="26"/>
  <c r="G21" i="29"/>
  <c r="G22" i="24"/>
  <c r="G22" i="25"/>
  <c r="G22" i="26"/>
  <c r="G22" i="27"/>
  <c r="G22" i="28"/>
  <c r="G22" i="30"/>
  <c r="G23" i="24"/>
  <c r="G23" i="26"/>
  <c r="G23" i="27"/>
  <c r="G23" i="29"/>
  <c r="G23" i="30"/>
  <c r="G24" i="24"/>
  <c r="G24" i="25"/>
  <c r="G24" i="26"/>
  <c r="G24" i="27"/>
  <c r="G24" i="30"/>
  <c r="G25" i="25"/>
  <c r="G25" i="26"/>
  <c r="G25" i="27"/>
  <c r="G25" i="28"/>
  <c r="G25" i="29"/>
  <c r="G26" i="24"/>
  <c r="G26" i="25"/>
  <c r="G26" i="26"/>
  <c r="G26" i="30"/>
  <c r="G27" i="24"/>
  <c r="G27" i="25"/>
  <c r="G27" i="26"/>
  <c r="G27" i="27"/>
  <c r="G27" i="28"/>
  <c r="G27" i="29"/>
  <c r="G27" i="30"/>
  <c r="G28" i="24"/>
  <c r="G28" i="25"/>
  <c r="G28" i="26"/>
  <c r="G28" i="27"/>
  <c r="G28" i="28"/>
  <c r="G28" i="29"/>
  <c r="G28" i="30"/>
  <c r="G29" i="25"/>
  <c r="G29" i="26"/>
  <c r="G29" i="27"/>
  <c r="G29" i="29"/>
  <c r="G29" i="30"/>
  <c r="G30" i="24"/>
  <c r="G30" i="25"/>
  <c r="G30" i="26"/>
  <c r="G30" i="27"/>
  <c r="G30" i="28"/>
  <c r="G30" i="29"/>
  <c r="G30" i="30"/>
  <c r="G7" i="24"/>
  <c r="G7" i="26"/>
  <c r="G7" i="27"/>
  <c r="G7" i="29"/>
  <c r="G17" i="22"/>
  <c r="G25" i="22"/>
  <c r="G25" i="20"/>
  <c r="G17" i="20"/>
  <c r="C31" i="20"/>
  <c r="F31" i="23"/>
  <c r="G25" i="19"/>
  <c r="G17" i="19"/>
  <c r="E21" i="25"/>
  <c r="E19" i="25"/>
  <c r="E27" i="27"/>
  <c r="E23" i="27"/>
  <c r="E19" i="27"/>
  <c r="E11" i="27"/>
  <c r="E7" i="27"/>
  <c r="E27" i="28"/>
  <c r="E25" i="28"/>
  <c r="E23" i="28"/>
  <c r="E19" i="28"/>
  <c r="E15" i="28"/>
  <c r="E11" i="28"/>
  <c r="E8" i="28"/>
  <c r="E24" i="30"/>
  <c r="E19" i="30"/>
  <c r="E17" i="30"/>
  <c r="E15" i="30"/>
  <c r="E14" i="30"/>
  <c r="E10" i="30"/>
  <c r="C31" i="30"/>
  <c r="G12" i="21"/>
  <c r="E27" i="30"/>
  <c r="E23" i="30"/>
  <c r="E11" i="30"/>
  <c r="E30" i="29"/>
  <c r="E27" i="29"/>
  <c r="E26" i="29"/>
  <c r="E24" i="29"/>
  <c r="E22" i="29"/>
  <c r="E18" i="29"/>
  <c r="E19" i="29"/>
  <c r="E16" i="29"/>
  <c r="E15" i="29"/>
  <c r="E14" i="29"/>
  <c r="E11" i="29"/>
  <c r="E10" i="29"/>
  <c r="E8" i="29"/>
  <c r="E28" i="28"/>
  <c r="E26" i="28"/>
  <c r="E24" i="28"/>
  <c r="E21" i="28"/>
  <c r="E20" i="28"/>
  <c r="E18" i="28"/>
  <c r="E17" i="28"/>
  <c r="E16" i="28"/>
  <c r="E14" i="28"/>
  <c r="E13" i="28"/>
  <c r="E12" i="28"/>
  <c r="E9" i="28"/>
  <c r="E29" i="27"/>
  <c r="E25" i="27"/>
  <c r="E21" i="27"/>
  <c r="E17" i="27"/>
  <c r="E13" i="27"/>
  <c r="E9" i="27"/>
  <c r="C31" i="24"/>
  <c r="C31" i="27"/>
  <c r="E23" i="29"/>
  <c r="G30" i="21"/>
  <c r="G30" i="23"/>
  <c r="G29" i="23"/>
  <c r="G10" i="23"/>
  <c r="G14" i="23"/>
  <c r="G15" i="23"/>
  <c r="G17" i="23"/>
  <c r="G19" i="23"/>
  <c r="G20" i="23"/>
  <c r="G23" i="23"/>
  <c r="G26" i="23"/>
  <c r="G8" i="23"/>
  <c r="G12" i="22"/>
  <c r="F31" i="21"/>
  <c r="F31" i="19"/>
  <c r="G31" i="19" s="1"/>
  <c r="C31" i="23"/>
  <c r="E31" i="23"/>
  <c r="E12" i="22"/>
  <c r="C31" i="21"/>
  <c r="E31" i="21" s="1"/>
  <c r="E25" i="21"/>
  <c r="E22" i="20"/>
  <c r="C31" i="19"/>
  <c r="E25" i="19"/>
  <c r="E25" i="23"/>
  <c r="E17" i="23"/>
  <c r="G7" i="22"/>
  <c r="E25" i="22"/>
  <c r="E17" i="22"/>
  <c r="G25" i="21"/>
  <c r="E17" i="21"/>
  <c r="E25" i="20"/>
  <c r="D31" i="20"/>
  <c r="D31" i="19"/>
  <c r="E17" i="19"/>
  <c r="D31" i="30"/>
  <c r="G31" i="30" s="1"/>
  <c r="E30" i="30"/>
  <c r="E29" i="30"/>
  <c r="E28" i="30"/>
  <c r="E26" i="30"/>
  <c r="G25" i="30"/>
  <c r="E25" i="30"/>
  <c r="E22" i="30"/>
  <c r="G21" i="30"/>
  <c r="E21" i="30"/>
  <c r="E20" i="30"/>
  <c r="E18" i="30"/>
  <c r="E16" i="30"/>
  <c r="G15" i="30"/>
  <c r="E13" i="30"/>
  <c r="E12" i="30"/>
  <c r="G11" i="30"/>
  <c r="G9" i="30"/>
  <c r="E9" i="30"/>
  <c r="E8" i="30"/>
  <c r="G7" i="30"/>
  <c r="D31" i="29"/>
  <c r="G31" i="29" s="1"/>
  <c r="E29" i="29"/>
  <c r="E28" i="29"/>
  <c r="G26" i="29"/>
  <c r="E25" i="29"/>
  <c r="G24" i="29"/>
  <c r="G22" i="29"/>
  <c r="E21" i="29"/>
  <c r="E20" i="29"/>
  <c r="G19" i="29"/>
  <c r="E17" i="29"/>
  <c r="G14" i="29"/>
  <c r="E13" i="29"/>
  <c r="E12" i="29"/>
  <c r="E9" i="29"/>
  <c r="G8" i="29"/>
  <c r="D31" i="28"/>
  <c r="G31" i="28" s="1"/>
  <c r="E30" i="28"/>
  <c r="G29" i="28"/>
  <c r="E29" i="28"/>
  <c r="G24" i="28"/>
  <c r="G23" i="28"/>
  <c r="E22" i="28"/>
  <c r="G21" i="28"/>
  <c r="G20" i="28"/>
  <c r="G17" i="28"/>
  <c r="G13" i="28"/>
  <c r="G12" i="28"/>
  <c r="E10" i="28"/>
  <c r="G8" i="28"/>
  <c r="G7" i="28"/>
  <c r="E30" i="27"/>
  <c r="E28" i="27"/>
  <c r="G26" i="27"/>
  <c r="E26" i="27"/>
  <c r="E24" i="27"/>
  <c r="E22" i="27"/>
  <c r="G21" i="27"/>
  <c r="E20" i="27"/>
  <c r="E18" i="27"/>
  <c r="G17" i="27"/>
  <c r="E16" i="27"/>
  <c r="E15" i="27"/>
  <c r="E14" i="27"/>
  <c r="G13" i="27"/>
  <c r="E12" i="27"/>
  <c r="E10" i="27"/>
  <c r="E8" i="27"/>
  <c r="D31" i="26"/>
  <c r="G31" i="26" s="1"/>
  <c r="E30" i="26"/>
  <c r="E29" i="26"/>
  <c r="E27" i="26"/>
  <c r="E26" i="26"/>
  <c r="E25" i="26"/>
  <c r="E24" i="26"/>
  <c r="E23" i="26"/>
  <c r="E22" i="26"/>
  <c r="E21" i="26"/>
  <c r="E20" i="26"/>
  <c r="G19" i="26"/>
  <c r="E19" i="26"/>
  <c r="G18" i="26"/>
  <c r="E18" i="26"/>
  <c r="E17" i="26"/>
  <c r="E16" i="26"/>
  <c r="E15" i="26"/>
  <c r="E14" i="26"/>
  <c r="E13" i="26"/>
  <c r="E12" i="26"/>
  <c r="E11" i="26"/>
  <c r="G10" i="26"/>
  <c r="E10" i="26"/>
  <c r="E9" i="26"/>
  <c r="E8" i="26"/>
  <c r="E7" i="26"/>
  <c r="D31" i="25"/>
  <c r="G31" i="25" s="1"/>
  <c r="E30" i="25"/>
  <c r="E29" i="25"/>
  <c r="E28" i="25"/>
  <c r="E27" i="25"/>
  <c r="E26" i="25"/>
  <c r="E25" i="25"/>
  <c r="E24" i="25"/>
  <c r="G23" i="25"/>
  <c r="E23" i="25"/>
  <c r="E22" i="25"/>
  <c r="G20" i="25"/>
  <c r="E20" i="25"/>
  <c r="G18" i="25"/>
  <c r="E18" i="25"/>
  <c r="E17" i="25"/>
  <c r="G16" i="25"/>
  <c r="E16" i="25"/>
  <c r="E15" i="25"/>
  <c r="E14" i="25"/>
  <c r="E13" i="25"/>
  <c r="E12" i="25"/>
  <c r="E11" i="25"/>
  <c r="E10" i="25"/>
  <c r="G9" i="25"/>
  <c r="E9" i="25"/>
  <c r="E8" i="25"/>
  <c r="G7" i="25"/>
  <c r="E7" i="25"/>
  <c r="D31" i="24"/>
  <c r="G31" i="24" s="1"/>
  <c r="E30" i="24"/>
  <c r="G29" i="24"/>
  <c r="E29" i="24"/>
  <c r="E28" i="24"/>
  <c r="E27" i="24"/>
  <c r="E26" i="24"/>
  <c r="G25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G8" i="24"/>
  <c r="E8" i="24"/>
  <c r="E30" i="23"/>
  <c r="E29" i="23"/>
  <c r="G28" i="23"/>
  <c r="E28" i="23"/>
  <c r="G27" i="23"/>
  <c r="E27" i="23"/>
  <c r="E26" i="23"/>
  <c r="G24" i="23"/>
  <c r="E24" i="23"/>
  <c r="E23" i="23"/>
  <c r="G22" i="23"/>
  <c r="E22" i="23"/>
  <c r="G21" i="23"/>
  <c r="E21" i="23"/>
  <c r="E20" i="23"/>
  <c r="E19" i="23"/>
  <c r="G18" i="23"/>
  <c r="E18" i="23"/>
  <c r="G16" i="23"/>
  <c r="E16" i="23"/>
  <c r="E15" i="23"/>
  <c r="E14" i="23"/>
  <c r="G13" i="23"/>
  <c r="E13" i="23"/>
  <c r="G12" i="23"/>
  <c r="E12" i="23"/>
  <c r="G11" i="23"/>
  <c r="E11" i="23"/>
  <c r="E10" i="23"/>
  <c r="G9" i="23"/>
  <c r="E9" i="23"/>
  <c r="E8" i="23"/>
  <c r="G30" i="22"/>
  <c r="E30" i="22"/>
  <c r="G29" i="22"/>
  <c r="E29" i="22"/>
  <c r="G28" i="22"/>
  <c r="E28" i="22"/>
  <c r="G27" i="22"/>
  <c r="E27" i="22"/>
  <c r="G26" i="22"/>
  <c r="E26" i="22"/>
  <c r="G24" i="22"/>
  <c r="E24" i="22"/>
  <c r="G23" i="22"/>
  <c r="E23" i="22"/>
  <c r="G22" i="22"/>
  <c r="E22" i="22"/>
  <c r="G21" i="22"/>
  <c r="E21" i="22"/>
  <c r="G20" i="22"/>
  <c r="E20" i="22"/>
  <c r="G19" i="22"/>
  <c r="E19" i="22"/>
  <c r="G18" i="22"/>
  <c r="E18" i="22"/>
  <c r="G16" i="22"/>
  <c r="E16" i="22"/>
  <c r="G15" i="22"/>
  <c r="E15" i="22"/>
  <c r="G14" i="22"/>
  <c r="E14" i="22"/>
  <c r="G13" i="22"/>
  <c r="E13" i="22"/>
  <c r="G11" i="22"/>
  <c r="E11" i="22"/>
  <c r="G10" i="22"/>
  <c r="E10" i="22"/>
  <c r="G9" i="22"/>
  <c r="E9" i="22"/>
  <c r="G8" i="22"/>
  <c r="E8" i="22"/>
  <c r="G29" i="21"/>
  <c r="E29" i="21"/>
  <c r="G28" i="21"/>
  <c r="E28" i="21"/>
  <c r="G27" i="21"/>
  <c r="E27" i="21"/>
  <c r="G26" i="21"/>
  <c r="E26" i="21"/>
  <c r="G24" i="21"/>
  <c r="E24" i="21"/>
  <c r="G23" i="21"/>
  <c r="E23" i="21"/>
  <c r="G22" i="21"/>
  <c r="E22" i="21"/>
  <c r="G21" i="21"/>
  <c r="E21" i="21"/>
  <c r="G20" i="21"/>
  <c r="E20" i="21"/>
  <c r="G19" i="21"/>
  <c r="E19" i="21"/>
  <c r="G18" i="21"/>
  <c r="E18" i="21"/>
  <c r="G16" i="21"/>
  <c r="E16" i="21"/>
  <c r="G15" i="21"/>
  <c r="E15" i="21"/>
  <c r="G14" i="21"/>
  <c r="E14" i="21"/>
  <c r="G13" i="21"/>
  <c r="E13" i="21"/>
  <c r="E12" i="21"/>
  <c r="G11" i="21"/>
  <c r="E11" i="21"/>
  <c r="G10" i="21"/>
  <c r="E10" i="21"/>
  <c r="G9" i="21"/>
  <c r="E9" i="21"/>
  <c r="G8" i="21"/>
  <c r="E8" i="21"/>
  <c r="G7" i="21"/>
  <c r="E7" i="21"/>
  <c r="G30" i="20"/>
  <c r="E30" i="20"/>
  <c r="G29" i="20"/>
  <c r="E29" i="20"/>
  <c r="G28" i="20"/>
  <c r="E28" i="20"/>
  <c r="G27" i="20"/>
  <c r="E27" i="20"/>
  <c r="G26" i="20"/>
  <c r="E26" i="20"/>
  <c r="G24" i="20"/>
  <c r="E24" i="20"/>
  <c r="G23" i="20"/>
  <c r="E23" i="20"/>
  <c r="G22" i="20"/>
  <c r="G21" i="20"/>
  <c r="E21" i="20"/>
  <c r="G20" i="20"/>
  <c r="E20" i="20"/>
  <c r="G19" i="20"/>
  <c r="E19" i="20"/>
  <c r="G18" i="20"/>
  <c r="E18" i="20"/>
  <c r="G16" i="20"/>
  <c r="E16" i="20"/>
  <c r="G15" i="20"/>
  <c r="E15" i="20"/>
  <c r="G14" i="20"/>
  <c r="E14" i="20"/>
  <c r="G13" i="20"/>
  <c r="E13" i="20"/>
  <c r="G12" i="20"/>
  <c r="E12" i="20"/>
  <c r="G11" i="20"/>
  <c r="E11" i="20"/>
  <c r="G10" i="20"/>
  <c r="E10" i="20"/>
  <c r="G9" i="20"/>
  <c r="E9" i="20"/>
  <c r="G8" i="20"/>
  <c r="E8" i="20"/>
  <c r="G7" i="20"/>
  <c r="E7" i="20"/>
  <c r="G30" i="19"/>
  <c r="E30" i="19"/>
  <c r="G29" i="19"/>
  <c r="E29" i="19"/>
  <c r="G28" i="19"/>
  <c r="E28" i="19"/>
  <c r="G27" i="19"/>
  <c r="E27" i="19"/>
  <c r="G26" i="19"/>
  <c r="E26" i="19"/>
  <c r="G24" i="19"/>
  <c r="E24" i="19"/>
  <c r="G23" i="19"/>
  <c r="E23" i="19"/>
  <c r="G22" i="19"/>
  <c r="E22" i="19"/>
  <c r="G21" i="19"/>
  <c r="E21" i="19"/>
  <c r="G20" i="19"/>
  <c r="E20" i="19"/>
  <c r="G19" i="19"/>
  <c r="E19" i="19"/>
  <c r="G18" i="19"/>
  <c r="E18" i="19"/>
  <c r="G16" i="19"/>
  <c r="E16" i="19"/>
  <c r="G15" i="19"/>
  <c r="E15" i="19"/>
  <c r="G14" i="19"/>
  <c r="E14" i="19"/>
  <c r="G13" i="19"/>
  <c r="E13" i="19"/>
  <c r="G12" i="19"/>
  <c r="E12" i="19"/>
  <c r="G11" i="19"/>
  <c r="E11" i="19"/>
  <c r="G10" i="19"/>
  <c r="E10" i="19"/>
  <c r="G9" i="19"/>
  <c r="E9" i="19"/>
  <c r="G8" i="19"/>
  <c r="E8" i="19"/>
  <c r="G7" i="19"/>
  <c r="E7" i="19"/>
  <c r="E30" i="21"/>
  <c r="D31" i="22"/>
  <c r="E7" i="22"/>
  <c r="F31" i="20"/>
  <c r="E17" i="20"/>
  <c r="D31" i="21"/>
  <c r="D31" i="23"/>
  <c r="C31" i="22"/>
  <c r="E31" i="22" s="1"/>
  <c r="E7" i="24"/>
  <c r="C31" i="25"/>
  <c r="C31" i="26"/>
  <c r="E31" i="26" s="1"/>
  <c r="E28" i="26"/>
  <c r="E7" i="28"/>
  <c r="E7" i="29"/>
  <c r="E7" i="30"/>
  <c r="G25" i="23"/>
  <c r="G7" i="23"/>
  <c r="F31" i="22"/>
  <c r="C31" i="29"/>
  <c r="D31" i="27"/>
  <c r="E7" i="23"/>
  <c r="C31" i="28"/>
  <c r="G17" i="21"/>
  <c r="G10" i="24"/>
  <c r="G11" i="24"/>
  <c r="G8" i="27"/>
  <c r="G9" i="29"/>
  <c r="G13" i="26"/>
  <c r="G26" i="28"/>
  <c r="E31" i="20" l="1"/>
  <c r="G31" i="21"/>
  <c r="G31" i="23"/>
  <c r="G31" i="22"/>
  <c r="E31" i="28"/>
  <c r="E31" i="27"/>
  <c r="E31" i="29"/>
  <c r="E31" i="19"/>
  <c r="E31" i="25"/>
  <c r="E31" i="30"/>
  <c r="G31" i="27"/>
  <c r="G31" i="20"/>
  <c r="E31" i="24"/>
</calcChain>
</file>

<file path=xl/sharedStrings.xml><?xml version="1.0" encoding="utf-8"?>
<sst xmlns="http://schemas.openxmlformats.org/spreadsheetml/2006/main" count="485" uniqueCount="63">
  <si>
    <t>PROVINCIAS</t>
  </si>
  <si>
    <t>EMPLEADOS
CADA MIL
 HABITANTES</t>
  </si>
  <si>
    <t>G.C.B.A.</t>
  </si>
  <si>
    <t>BUENOS AIRES</t>
  </si>
  <si>
    <t>CATAMARCA</t>
  </si>
  <si>
    <t>CORDOBA</t>
  </si>
  <si>
    <t xml:space="preserve">CORRIENTES </t>
  </si>
  <si>
    <t>CHACO</t>
  </si>
  <si>
    <t>CHUBUT</t>
  </si>
  <si>
    <t>ENTRE RIOS</t>
  </si>
  <si>
    <t>FORMOSA</t>
  </si>
  <si>
    <t>JUJUY</t>
  </si>
  <si>
    <t>LA RIOJA</t>
  </si>
  <si>
    <t>MENDOZA</t>
  </si>
  <si>
    <t>MISIONES</t>
  </si>
  <si>
    <t>NEUQUEN</t>
  </si>
  <si>
    <t>RIO NEGRO</t>
  </si>
  <si>
    <t>SALTA</t>
  </si>
  <si>
    <t>SAN JUAN</t>
  </si>
  <si>
    <t>SANTA CRUZ</t>
  </si>
  <si>
    <t>SANTA FE</t>
  </si>
  <si>
    <t>TUCUMAN</t>
  </si>
  <si>
    <t>TOTAL</t>
  </si>
  <si>
    <t>ANO 2005</t>
  </si>
  <si>
    <t>AÑO 2006</t>
  </si>
  <si>
    <t>AÑO 2007</t>
  </si>
  <si>
    <t>AÑO 2008</t>
  </si>
  <si>
    <t>AÑO 2009</t>
  </si>
  <si>
    <t xml:space="preserve">MENDOZA </t>
  </si>
  <si>
    <t>AÑO 2010</t>
  </si>
  <si>
    <t>JURISDICCIONES</t>
  </si>
  <si>
    <t>AÑO 2011</t>
  </si>
  <si>
    <t>AÑO 2012</t>
  </si>
  <si>
    <t>AÑO 2013</t>
  </si>
  <si>
    <t>AÑO 2014</t>
  </si>
  <si>
    <t>AÑO 2015</t>
  </si>
  <si>
    <t xml:space="preserve">BUENOS AIRES </t>
  </si>
  <si>
    <t>AÑO 2016</t>
  </si>
  <si>
    <t xml:space="preserve">SANTA FE </t>
  </si>
  <si>
    <t>SUBSECRETARÍA DE COORDINACIÓN FISCAL PROVINCIAL</t>
  </si>
  <si>
    <t>TIERRA DEL FUEGO</t>
  </si>
  <si>
    <t>SANTIAGO DEL ESTERO</t>
  </si>
  <si>
    <r>
      <t xml:space="preserve">GASTO MEDIO
 MENSUAL
</t>
    </r>
    <r>
      <rPr>
        <b/>
        <sz val="10"/>
        <color theme="0"/>
        <rFont val="Roboto"/>
      </rPr>
      <t xml:space="preserve"> - en $ -</t>
    </r>
  </si>
  <si>
    <r>
      <t xml:space="preserve">GASTO EN
 PERSONAL
</t>
    </r>
    <r>
      <rPr>
        <b/>
        <sz val="10"/>
        <color theme="0"/>
        <rFont val="Roboto"/>
      </rPr>
      <t>- en miles de $ -</t>
    </r>
  </si>
  <si>
    <t>ADMINISTRACION PÚBLICA NO FINANCIERA</t>
  </si>
  <si>
    <t>OCUPACION Y GASTO SALARIAL DE PROVINCIAS Y CIUDAD AUTÓNOMA DE BUENOS AIRES</t>
  </si>
  <si>
    <t>(1) Planta Ocupada con y sin remuneración.</t>
  </si>
  <si>
    <t>(2) Proyección INDEC 2010-2040</t>
  </si>
  <si>
    <t>(4) La información de la planta ocupada corresponde al dato del Presupuesto de la Provincia.</t>
  </si>
  <si>
    <r>
      <t>LA PAMPA</t>
    </r>
    <r>
      <rPr>
        <b/>
        <vertAlign val="superscript"/>
        <sz val="12"/>
        <rFont val="Roboto"/>
      </rPr>
      <t>(4)</t>
    </r>
  </si>
  <si>
    <r>
      <t>SAN LUIS</t>
    </r>
    <r>
      <rPr>
        <b/>
        <vertAlign val="superscript"/>
        <sz val="12"/>
        <rFont val="Roboto"/>
      </rPr>
      <t>(4)</t>
    </r>
  </si>
  <si>
    <t>(5) Parcialmente estimado.</t>
  </si>
  <si>
    <r>
      <t>MENDOZA</t>
    </r>
    <r>
      <rPr>
        <b/>
        <vertAlign val="superscript"/>
        <sz val="12"/>
        <rFont val="Roboto"/>
      </rPr>
      <t>(5)</t>
    </r>
  </si>
  <si>
    <t>(3) Estimado en base a la Cuenta de Inversión y el SIPA</t>
  </si>
  <si>
    <r>
      <t>SANTA CRUZ</t>
    </r>
    <r>
      <rPr>
        <b/>
        <vertAlign val="superscript"/>
        <sz val="12"/>
        <rFont val="Roboto"/>
      </rPr>
      <t>(4)</t>
    </r>
  </si>
  <si>
    <r>
      <t>G.C.B.A.</t>
    </r>
    <r>
      <rPr>
        <b/>
        <vertAlign val="superscript"/>
        <sz val="12"/>
        <rFont val="Roboto"/>
      </rPr>
      <t>(3)</t>
    </r>
  </si>
  <si>
    <r>
      <t>PLANTA OCUPADA</t>
    </r>
    <r>
      <rPr>
        <b/>
        <vertAlign val="superscript"/>
        <sz val="11"/>
        <color theme="0"/>
        <rFont val="Roboto"/>
      </rPr>
      <t>(1)</t>
    </r>
  </si>
  <si>
    <r>
      <t xml:space="preserve">HABITANTES </t>
    </r>
    <r>
      <rPr>
        <b/>
        <vertAlign val="superscript"/>
        <sz val="11"/>
        <color theme="0"/>
        <rFont val="Roboto"/>
      </rPr>
      <t>(2)</t>
    </r>
  </si>
  <si>
    <r>
      <t>CHACO</t>
    </r>
    <r>
      <rPr>
        <b/>
        <vertAlign val="superscript"/>
        <sz val="12"/>
        <rFont val="Roboto"/>
      </rPr>
      <t>(5)</t>
    </r>
  </si>
  <si>
    <t>(3) Estimado en base a la Cuenta de Inversión.</t>
  </si>
  <si>
    <t>(2) Proyección INDEC 2001-2015</t>
  </si>
  <si>
    <r>
      <rPr>
        <b/>
        <sz val="10"/>
        <color theme="1"/>
        <rFont val="Roboto"/>
      </rPr>
      <t>Fuente</t>
    </r>
    <r>
      <rPr>
        <sz val="10"/>
        <color theme="1"/>
        <rFont val="Roboto"/>
      </rPr>
      <t>: Elaborado en base a datos informados por las jurisdicciones e INDEC.</t>
    </r>
  </si>
  <si>
    <t>(5) Incluye estimación de cargos docentes en suplencias.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</si>
</sst>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#,##0.0_);\(#,##0.0\)"/>
    <numFmt numFmtId="166" formatCode="0_)"/>
    <numFmt numFmtId="167" formatCode="#,##0.0"/>
    <numFmt numFmtId="168" formatCode="#,##0.0\ \ \ \ \ 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Roboto"/>
    </font>
    <font>
      <b/>
      <sz val="10"/>
      <name val="Roboto"/>
    </font>
    <font>
      <b/>
      <sz val="11"/>
      <name val="Roboto"/>
    </font>
    <font>
      <b/>
      <sz val="12"/>
      <name val="Roboto"/>
    </font>
    <font>
      <sz val="12"/>
      <name val="Roboto"/>
    </font>
    <font>
      <sz val="11"/>
      <name val="Roboto"/>
    </font>
    <font>
      <b/>
      <sz val="11"/>
      <color theme="0"/>
      <name val="Roboto"/>
    </font>
    <font>
      <b/>
      <sz val="12"/>
      <color theme="0"/>
      <name val="Roboto"/>
    </font>
    <font>
      <b/>
      <vertAlign val="superscript"/>
      <sz val="12"/>
      <name val="Roboto"/>
    </font>
    <font>
      <b/>
      <sz val="10"/>
      <color theme="0"/>
      <name val="Roboto"/>
    </font>
    <font>
      <b/>
      <vertAlign val="superscript"/>
      <sz val="11"/>
      <color theme="0"/>
      <name val="Roboto"/>
    </font>
    <font>
      <sz val="8"/>
      <color rgb="FF000000"/>
      <name val="Arial"/>
      <family val="2"/>
    </font>
    <font>
      <sz val="10"/>
      <color theme="1"/>
      <name val="Roboto"/>
    </font>
    <font>
      <b/>
      <sz val="10"/>
      <color theme="1"/>
      <name val="Roboto"/>
    </font>
    <font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42C4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theme="0" tint="-4.9989318521683403E-2"/>
      </right>
      <top style="medium">
        <color auto="1"/>
      </top>
      <bottom style="medium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auto="1"/>
      </top>
      <bottom style="medium">
        <color theme="0" tint="-4.9989318521683403E-2"/>
      </bottom>
      <diagonal/>
    </border>
    <border>
      <left style="thin">
        <color theme="0" tint="-4.9989318521683403E-2"/>
      </left>
      <right style="medium">
        <color auto="1"/>
      </right>
      <top style="medium">
        <color auto="1"/>
      </top>
      <bottom style="medium">
        <color theme="0" tint="-4.9989318521683403E-2"/>
      </bottom>
      <diagonal/>
    </border>
    <border>
      <left style="medium">
        <color auto="1"/>
      </left>
      <right style="thin">
        <color theme="0" tint="-4.9989318521683403E-2"/>
      </right>
      <top style="medium">
        <color theme="0" tint="-4.9989318521683403E-2"/>
      </top>
      <bottom style="medium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theme="0" tint="-4.9989318521683403E-2"/>
      </top>
      <bottom style="medium">
        <color auto="1"/>
      </bottom>
      <diagonal/>
    </border>
    <border>
      <left style="thin">
        <color theme="0" tint="-4.9989318521683403E-2"/>
      </left>
      <right style="medium">
        <color auto="1"/>
      </right>
      <top style="medium">
        <color theme="0" tint="-4.9989318521683403E-2"/>
      </top>
      <bottom style="medium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3" fontId="7" fillId="2" borderId="4" xfId="0" applyNumberFormat="1" applyFont="1" applyFill="1" applyBorder="1" applyAlignment="1">
      <alignment horizontal="right" vertical="center"/>
    </xf>
    <xf numFmtId="3" fontId="7" fillId="2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3" fontId="7" fillId="2" borderId="1" xfId="2" applyNumberFormat="1" applyFont="1" applyFill="1" applyBorder="1" applyAlignment="1">
      <alignment horizontal="right" vertical="center"/>
    </xf>
    <xf numFmtId="3" fontId="7" fillId="0" borderId="1" xfId="2" applyNumberFormat="1" applyFont="1" applyBorder="1" applyAlignment="1">
      <alignment horizontal="right" vertical="center"/>
    </xf>
    <xf numFmtId="3" fontId="7" fillId="0" borderId="2" xfId="0" applyNumberFormat="1" applyFont="1" applyBorder="1" applyAlignment="1">
      <alignment horizontal="right" vertical="center"/>
    </xf>
    <xf numFmtId="3" fontId="7" fillId="0" borderId="5" xfId="0" applyNumberFormat="1" applyFont="1" applyBorder="1" applyAlignment="1">
      <alignment horizontal="right" vertical="center"/>
    </xf>
    <xf numFmtId="17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2" borderId="3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9" fontId="3" fillId="0" borderId="0" xfId="4" applyFont="1" applyFill="1" applyBorder="1" applyAlignment="1">
      <alignment vertical="center"/>
    </xf>
    <xf numFmtId="0" fontId="3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0" borderId="3" xfId="2" applyFont="1" applyBorder="1" applyAlignment="1">
      <alignment vertical="center"/>
    </xf>
    <xf numFmtId="0" fontId="6" fillId="0" borderId="0" xfId="2" applyFont="1" applyAlignment="1">
      <alignment vertical="center"/>
    </xf>
    <xf numFmtId="49" fontId="5" fillId="0" borderId="0" xfId="2" applyNumberFormat="1" applyFont="1" applyAlignment="1">
      <alignment vertical="center"/>
    </xf>
    <xf numFmtId="167" fontId="3" fillId="0" borderId="0" xfId="2" applyNumberFormat="1" applyFont="1" applyAlignment="1">
      <alignment vertical="center"/>
    </xf>
    <xf numFmtId="4" fontId="6" fillId="0" borderId="0" xfId="2" applyNumberFormat="1" applyFont="1" applyAlignment="1">
      <alignment vertical="center"/>
    </xf>
    <xf numFmtId="3" fontId="7" fillId="0" borderId="0" xfId="2" applyNumberFormat="1" applyFont="1" applyAlignment="1">
      <alignment vertical="center"/>
    </xf>
    <xf numFmtId="17" fontId="7" fillId="0" borderId="0" xfId="2" applyNumberFormat="1" applyFont="1" applyAlignment="1">
      <alignment vertical="center"/>
    </xf>
    <xf numFmtId="0" fontId="4" fillId="0" borderId="0" xfId="2" applyFont="1" applyAlignment="1">
      <alignment vertical="center"/>
    </xf>
    <xf numFmtId="3" fontId="6" fillId="0" borderId="0" xfId="2" applyNumberFormat="1" applyFont="1" applyAlignment="1">
      <alignment vertical="center"/>
    </xf>
    <xf numFmtId="14" fontId="3" fillId="0" borderId="0" xfId="2" applyNumberFormat="1" applyFont="1" applyAlignment="1">
      <alignment vertical="center"/>
    </xf>
    <xf numFmtId="0" fontId="6" fillId="2" borderId="0" xfId="0" applyFont="1" applyFill="1" applyAlignment="1">
      <alignment vertical="center"/>
    </xf>
    <xf numFmtId="17" fontId="7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3" fontId="6" fillId="2" borderId="0" xfId="2" applyNumberFormat="1" applyFont="1" applyFill="1" applyAlignment="1">
      <alignment vertical="center"/>
    </xf>
    <xf numFmtId="0" fontId="9" fillId="3" borderId="6" xfId="0" applyFont="1" applyFill="1" applyBorder="1" applyAlignment="1">
      <alignment horizontal="center" vertical="center"/>
    </xf>
    <xf numFmtId="165" fontId="9" fillId="3" borderId="7" xfId="0" applyNumberFormat="1" applyFont="1" applyFill="1" applyBorder="1" applyAlignment="1">
      <alignment horizontal="center" vertical="center" wrapText="1"/>
    </xf>
    <xf numFmtId="37" fontId="9" fillId="3" borderId="7" xfId="0" applyNumberFormat="1" applyFont="1" applyFill="1" applyBorder="1" applyAlignment="1">
      <alignment horizontal="center" vertical="center" wrapText="1"/>
    </xf>
    <xf numFmtId="166" fontId="9" fillId="3" borderId="7" xfId="0" applyNumberFormat="1" applyFont="1" applyFill="1" applyBorder="1" applyAlignment="1">
      <alignment horizontal="center" vertical="center" wrapText="1"/>
    </xf>
    <xf numFmtId="166" fontId="9" fillId="3" borderId="8" xfId="0" applyNumberFormat="1" applyFont="1" applyFill="1" applyBorder="1" applyAlignment="1">
      <alignment horizontal="center" vertical="center" wrapText="1"/>
    </xf>
    <xf numFmtId="0" fontId="9" fillId="3" borderId="6" xfId="2" applyFont="1" applyFill="1" applyBorder="1" applyAlignment="1">
      <alignment horizontal="center" vertical="center"/>
    </xf>
    <xf numFmtId="165" fontId="9" fillId="3" borderId="7" xfId="2" applyNumberFormat="1" applyFont="1" applyFill="1" applyBorder="1" applyAlignment="1">
      <alignment horizontal="center" vertical="center" wrapText="1"/>
    </xf>
    <xf numFmtId="166" fontId="9" fillId="3" borderId="8" xfId="2" applyNumberFormat="1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vertical="center"/>
    </xf>
    <xf numFmtId="3" fontId="10" fillId="3" borderId="10" xfId="0" applyNumberFormat="1" applyFont="1" applyFill="1" applyBorder="1" applyAlignment="1">
      <alignment vertical="center"/>
    </xf>
    <xf numFmtId="0" fontId="10" fillId="3" borderId="9" xfId="2" applyFont="1" applyFill="1" applyBorder="1" applyAlignment="1">
      <alignment vertical="center"/>
    </xf>
    <xf numFmtId="3" fontId="10" fillId="3" borderId="10" xfId="2" applyNumberFormat="1" applyFont="1" applyFill="1" applyBorder="1" applyAlignment="1">
      <alignment vertical="center"/>
    </xf>
    <xf numFmtId="168" fontId="7" fillId="2" borderId="2" xfId="0" applyNumberFormat="1" applyFont="1" applyFill="1" applyBorder="1" applyAlignment="1">
      <alignment horizontal="right" vertical="center"/>
    </xf>
    <xf numFmtId="168" fontId="10" fillId="3" borderId="11" xfId="0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2" applyNumberFormat="1" applyFont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3" fillId="0" borderId="0" xfId="2" applyFont="1" applyAlignment="1">
      <alignment horizontal="left" vertical="center"/>
    </xf>
  </cellXfs>
  <cellStyles count="6">
    <cellStyle name="Millares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Porcentaje 2" xfId="4" xr:uid="{00000000-0005-0000-0000-000005000000}"/>
    <cellStyle name="Porcentaje 3" xfId="5" xr:uid="{00000000-0005-0000-0000-000006000000}"/>
  </cellStyles>
  <dxfs count="0"/>
  <tableStyles count="0" defaultTableStyle="TableStyleMedium2" defaultPivotStyle="PivotStyleLight16"/>
  <colors>
    <mruColors>
      <color rgb="FF242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7169" name="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023E4D-231B-4197-9131-F9DAE7514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970684" cy="7866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1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1CA859-5EB5-4901-8555-26EE4F1CE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970684" cy="7866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2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7E3902-B1B2-458F-9CA4-AE48D3E48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970684" cy="7866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3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110786-1C04-4904-A4F0-B36A47471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970684" cy="7866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180975</xdr:colOff>
          <xdr:row>0</xdr:row>
          <xdr:rowOff>0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5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180975</xdr:colOff>
          <xdr:row>0</xdr:row>
          <xdr:rowOff>0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6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219075</xdr:colOff>
          <xdr:row>0</xdr:row>
          <xdr:rowOff>0</xdr:rowOff>
        </xdr:to>
        <xdr:sp macro="" textlink="">
          <xdr:nvSpPr>
            <xdr:cNvPr id="13313" name="Butto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7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180975</xdr:colOff>
          <xdr:row>0</xdr:row>
          <xdr:rowOff>0</xdr:rowOff>
        </xdr:to>
        <xdr:sp macro="" textlink="">
          <xdr:nvSpPr>
            <xdr:cNvPr id="14337" name="Butto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8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15361" name="Butto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9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A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17409" name="Button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B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trlProp" Target="../ctrlProps/ctrlProp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trlProp" Target="../ctrlProps/ctrlProp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trlProp" Target="../ctrlProps/ctrlProp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43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23.7109375" style="10" customWidth="1"/>
    <col min="4" max="4" width="17" style="10" customWidth="1"/>
    <col min="5" max="7" width="19.42578125" style="10" customWidth="1"/>
    <col min="8" max="8" width="3.7109375" style="10" customWidth="1"/>
    <col min="9" max="16384" width="11.42578125" style="10"/>
  </cols>
  <sheetData>
    <row r="1" spans="2:7" ht="63" customHeight="1" x14ac:dyDescent="0.2">
      <c r="B1" s="56"/>
      <c r="C1" s="56"/>
      <c r="D1" s="56"/>
      <c r="E1" s="56"/>
      <c r="F1" s="56"/>
      <c r="G1" s="56"/>
    </row>
    <row r="2" spans="2:7" s="13" customFormat="1" ht="18.75" customHeight="1" x14ac:dyDescent="0.2">
      <c r="B2" s="57" t="s">
        <v>45</v>
      </c>
      <c r="C2" s="57"/>
      <c r="D2" s="57"/>
      <c r="E2" s="57"/>
      <c r="F2" s="57"/>
      <c r="G2" s="57"/>
    </row>
    <row r="3" spans="2:7" s="11" customFormat="1" ht="18.75" customHeight="1" x14ac:dyDescent="0.2">
      <c r="B3" s="58" t="s">
        <v>44</v>
      </c>
      <c r="C3" s="58"/>
      <c r="D3" s="58"/>
      <c r="E3" s="58"/>
      <c r="F3" s="58"/>
      <c r="G3" s="58"/>
    </row>
    <row r="4" spans="2:7" ht="18.75" customHeight="1" x14ac:dyDescent="0.2">
      <c r="B4" s="59" t="s">
        <v>23</v>
      </c>
      <c r="C4" s="59"/>
      <c r="D4" s="59"/>
      <c r="E4" s="59"/>
      <c r="F4" s="59"/>
      <c r="G4" s="59"/>
    </row>
    <row r="5" spans="2:7" ht="13.5" thickBot="1" x14ac:dyDescent="0.25"/>
    <row r="6" spans="2:7" s="11" customFormat="1" ht="53.25" customHeight="1" thickBot="1" x14ac:dyDescent="0.25">
      <c r="B6" s="39" t="s">
        <v>0</v>
      </c>
      <c r="C6" s="40" t="s">
        <v>43</v>
      </c>
      <c r="D6" s="41" t="s">
        <v>56</v>
      </c>
      <c r="E6" s="40" t="s">
        <v>42</v>
      </c>
      <c r="F6" s="42" t="s">
        <v>57</v>
      </c>
      <c r="G6" s="43" t="s">
        <v>1</v>
      </c>
    </row>
    <row r="7" spans="2:7" s="13" customFormat="1" ht="20.25" customHeight="1" x14ac:dyDescent="0.2">
      <c r="B7" s="14" t="s">
        <v>2</v>
      </c>
      <c r="C7" s="1">
        <v>2734752</v>
      </c>
      <c r="D7" s="2">
        <v>123960</v>
      </c>
      <c r="E7" s="7">
        <f>C7/D7/13*1000</f>
        <v>1697.0437113709136</v>
      </c>
      <c r="F7" s="3">
        <v>3018102</v>
      </c>
      <c r="G7" s="51">
        <f t="shared" ref="G7:G31" si="0">D7/F7*1000</f>
        <v>41.072170523063832</v>
      </c>
    </row>
    <row r="8" spans="2:7" s="13" customFormat="1" ht="20.25" customHeight="1" x14ac:dyDescent="0.2">
      <c r="B8" s="14" t="s">
        <v>3</v>
      </c>
      <c r="C8" s="1">
        <v>9631850</v>
      </c>
      <c r="D8" s="2">
        <v>469253</v>
      </c>
      <c r="E8" s="7">
        <f t="shared" ref="E8:E31" si="1">C8/D8/13*1000</f>
        <v>1578.9169988503825</v>
      </c>
      <c r="F8" s="3">
        <v>14654379</v>
      </c>
      <c r="G8" s="51">
        <f t="shared" si="0"/>
        <v>32.021350068808779</v>
      </c>
    </row>
    <row r="9" spans="2:7" s="13" customFormat="1" ht="20.25" customHeight="1" x14ac:dyDescent="0.2">
      <c r="B9" s="14" t="s">
        <v>4</v>
      </c>
      <c r="C9" s="1">
        <v>462007.68088728498</v>
      </c>
      <c r="D9" s="2">
        <v>24898</v>
      </c>
      <c r="E9" s="7">
        <f t="shared" si="1"/>
        <v>1427.3858292210216</v>
      </c>
      <c r="F9" s="3">
        <v>365323</v>
      </c>
      <c r="G9" s="51">
        <f t="shared" si="0"/>
        <v>68.153387550195305</v>
      </c>
    </row>
    <row r="10" spans="2:7" s="13" customFormat="1" ht="20.25" customHeight="1" x14ac:dyDescent="0.2">
      <c r="B10" s="14" t="s">
        <v>5</v>
      </c>
      <c r="C10" s="1">
        <v>2072990.5508999999</v>
      </c>
      <c r="D10" s="2">
        <v>96092</v>
      </c>
      <c r="E10" s="7">
        <f t="shared" si="1"/>
        <v>1659.4598052667473</v>
      </c>
      <c r="F10" s="3">
        <v>3254279</v>
      </c>
      <c r="G10" s="51">
        <f t="shared" si="0"/>
        <v>29.52789235342145</v>
      </c>
    </row>
    <row r="11" spans="2:7" s="13" customFormat="1" ht="20.25" customHeight="1" x14ac:dyDescent="0.2">
      <c r="B11" s="14" t="s">
        <v>6</v>
      </c>
      <c r="C11" s="1">
        <v>745139</v>
      </c>
      <c r="D11" s="2">
        <v>44504</v>
      </c>
      <c r="E11" s="7">
        <f t="shared" si="1"/>
        <v>1287.9378171711444</v>
      </c>
      <c r="F11" s="3">
        <v>980813</v>
      </c>
      <c r="G11" s="51">
        <f t="shared" si="0"/>
        <v>45.374602498131651</v>
      </c>
    </row>
    <row r="12" spans="2:7" s="13" customFormat="1" ht="20.25" customHeight="1" x14ac:dyDescent="0.2">
      <c r="B12" s="14" t="s">
        <v>7</v>
      </c>
      <c r="C12" s="1">
        <v>976301.52439999999</v>
      </c>
      <c r="D12" s="2">
        <v>47187</v>
      </c>
      <c r="E12" s="7">
        <f t="shared" si="1"/>
        <v>1591.5425278474677</v>
      </c>
      <c r="F12" s="3">
        <v>1024934</v>
      </c>
      <c r="G12" s="51">
        <f t="shared" si="0"/>
        <v>46.039062027408598</v>
      </c>
    </row>
    <row r="13" spans="2:7" s="13" customFormat="1" ht="20.25" customHeight="1" x14ac:dyDescent="0.2">
      <c r="B13" s="14" t="s">
        <v>8</v>
      </c>
      <c r="C13" s="1">
        <v>832430.41160000011</v>
      </c>
      <c r="D13" s="2">
        <v>27450</v>
      </c>
      <c r="E13" s="7">
        <f t="shared" si="1"/>
        <v>2332.7179812246045</v>
      </c>
      <c r="F13" s="3">
        <v>445458</v>
      </c>
      <c r="G13" s="51">
        <f t="shared" si="0"/>
        <v>61.621971094918038</v>
      </c>
    </row>
    <row r="14" spans="2:7" s="13" customFormat="1" ht="20.25" customHeight="1" x14ac:dyDescent="0.2">
      <c r="B14" s="14" t="s">
        <v>9</v>
      </c>
      <c r="C14" s="1">
        <v>1180036</v>
      </c>
      <c r="D14" s="2">
        <v>60611</v>
      </c>
      <c r="E14" s="7">
        <f t="shared" si="1"/>
        <v>1497.6159443005395</v>
      </c>
      <c r="F14" s="3">
        <v>1217212</v>
      </c>
      <c r="G14" s="51">
        <f t="shared" si="0"/>
        <v>49.794941226343482</v>
      </c>
    </row>
    <row r="15" spans="2:7" s="13" customFormat="1" ht="20.25" customHeight="1" x14ac:dyDescent="0.2">
      <c r="B15" s="14" t="s">
        <v>10</v>
      </c>
      <c r="C15" s="1">
        <v>583385.88217999996</v>
      </c>
      <c r="D15" s="2">
        <v>35963</v>
      </c>
      <c r="E15" s="7">
        <f t="shared" si="1"/>
        <v>1247.8335258673978</v>
      </c>
      <c r="F15" s="3">
        <v>517506</v>
      </c>
      <c r="G15" s="51">
        <f t="shared" si="0"/>
        <v>69.492914091817298</v>
      </c>
    </row>
    <row r="16" spans="2:7" s="13" customFormat="1" ht="20.25" customHeight="1" x14ac:dyDescent="0.2">
      <c r="B16" s="14" t="s">
        <v>11</v>
      </c>
      <c r="C16" s="1">
        <v>635335.81999999995</v>
      </c>
      <c r="D16" s="2">
        <v>37213</v>
      </c>
      <c r="E16" s="7">
        <f t="shared" si="1"/>
        <v>1313.3041182878603</v>
      </c>
      <c r="F16" s="3">
        <v>652577</v>
      </c>
      <c r="G16" s="51">
        <f t="shared" si="0"/>
        <v>57.024688274333904</v>
      </c>
    </row>
    <row r="17" spans="1:7" s="13" customFormat="1" ht="20.25" customHeight="1" x14ac:dyDescent="0.2">
      <c r="B17" s="12" t="s">
        <v>49</v>
      </c>
      <c r="C17" s="1">
        <v>413715.04152999981</v>
      </c>
      <c r="D17" s="2">
        <v>16554</v>
      </c>
      <c r="E17" s="7">
        <f t="shared" si="1"/>
        <v>1922.4497984684149</v>
      </c>
      <c r="F17" s="3">
        <v>321653</v>
      </c>
      <c r="G17" s="51">
        <f t="shared" si="0"/>
        <v>51.465399048042457</v>
      </c>
    </row>
    <row r="18" spans="1:7" s="13" customFormat="1" ht="20.25" customHeight="1" x14ac:dyDescent="0.2">
      <c r="B18" s="14" t="s">
        <v>12</v>
      </c>
      <c r="C18" s="1">
        <v>402075.98078999994</v>
      </c>
      <c r="D18" s="2">
        <v>22695</v>
      </c>
      <c r="E18" s="7">
        <f t="shared" si="1"/>
        <v>1362.8077373531951</v>
      </c>
      <c r="F18" s="3">
        <v>320602</v>
      </c>
      <c r="G18" s="51">
        <f t="shared" si="0"/>
        <v>70.788703751068297</v>
      </c>
    </row>
    <row r="19" spans="1:7" s="13" customFormat="1" ht="20.25" customHeight="1" x14ac:dyDescent="0.2">
      <c r="B19" s="14" t="s">
        <v>13</v>
      </c>
      <c r="C19" s="2">
        <v>1263959</v>
      </c>
      <c r="D19" s="2">
        <v>64061</v>
      </c>
      <c r="E19" s="7">
        <f t="shared" si="1"/>
        <v>1517.7348993087116</v>
      </c>
      <c r="F19" s="3">
        <v>1675309</v>
      </c>
      <c r="G19" s="51">
        <f t="shared" si="0"/>
        <v>38.23831902055084</v>
      </c>
    </row>
    <row r="20" spans="1:7" s="13" customFormat="1" ht="20.25" customHeight="1" x14ac:dyDescent="0.2">
      <c r="B20" s="14" t="s">
        <v>14</v>
      </c>
      <c r="C20" s="1">
        <v>645316.79716000007</v>
      </c>
      <c r="D20" s="2">
        <v>40045</v>
      </c>
      <c r="E20" s="7">
        <f t="shared" si="1"/>
        <v>1239.5992914893823</v>
      </c>
      <c r="F20" s="3">
        <v>1029645</v>
      </c>
      <c r="G20" s="51">
        <f t="shared" si="0"/>
        <v>38.892045316589702</v>
      </c>
    </row>
    <row r="21" spans="1:7" s="13" customFormat="1" ht="20.25" customHeight="1" x14ac:dyDescent="0.2">
      <c r="B21" s="14" t="s">
        <v>15</v>
      </c>
      <c r="C21" s="1">
        <v>976665.64299999992</v>
      </c>
      <c r="D21" s="2">
        <v>40914</v>
      </c>
      <c r="E21" s="7">
        <f t="shared" si="1"/>
        <v>1836.2449622284639</v>
      </c>
      <c r="F21" s="3">
        <v>521439</v>
      </c>
      <c r="G21" s="51">
        <f t="shared" si="0"/>
        <v>78.463636206727912</v>
      </c>
    </row>
    <row r="22" spans="1:7" s="13" customFormat="1" ht="20.25" customHeight="1" x14ac:dyDescent="0.2">
      <c r="B22" s="14" t="s">
        <v>16</v>
      </c>
      <c r="C22" s="1">
        <v>697450</v>
      </c>
      <c r="D22" s="2">
        <v>36740</v>
      </c>
      <c r="E22" s="7">
        <f>C22/D22/13*1000</f>
        <v>1460.2612955906368</v>
      </c>
      <c r="F22" s="3">
        <v>587430</v>
      </c>
      <c r="G22" s="51">
        <f t="shared" si="0"/>
        <v>62.543622218817553</v>
      </c>
    </row>
    <row r="23" spans="1:7" s="13" customFormat="1" ht="20.25" customHeight="1" x14ac:dyDescent="0.2">
      <c r="B23" s="14" t="s">
        <v>17</v>
      </c>
      <c r="C23" s="1">
        <v>762815.92344000004</v>
      </c>
      <c r="D23" s="2">
        <v>41043</v>
      </c>
      <c r="E23" s="7">
        <f t="shared" si="1"/>
        <v>1429.674925247255</v>
      </c>
      <c r="F23" s="3">
        <v>1161484</v>
      </c>
      <c r="G23" s="51">
        <f t="shared" si="0"/>
        <v>35.336689958708</v>
      </c>
    </row>
    <row r="24" spans="1:7" s="13" customFormat="1" ht="20.25" customHeight="1" x14ac:dyDescent="0.2">
      <c r="B24" s="14" t="s">
        <v>18</v>
      </c>
      <c r="C24" s="1">
        <v>593070</v>
      </c>
      <c r="D24" s="2">
        <v>29655</v>
      </c>
      <c r="E24" s="7">
        <f t="shared" si="1"/>
        <v>1538.3837204778024</v>
      </c>
      <c r="F24" s="3">
        <v>666446</v>
      </c>
      <c r="G24" s="51">
        <f t="shared" si="0"/>
        <v>44.497228582660867</v>
      </c>
    </row>
    <row r="25" spans="1:7" s="13" customFormat="1" ht="20.25" customHeight="1" x14ac:dyDescent="0.2">
      <c r="B25" s="12" t="s">
        <v>50</v>
      </c>
      <c r="C25" s="1">
        <v>369028.74700000003</v>
      </c>
      <c r="D25" s="2">
        <v>16209</v>
      </c>
      <c r="E25" s="7">
        <f t="shared" si="1"/>
        <v>1751.3003079960326</v>
      </c>
      <c r="F25" s="3">
        <v>409280</v>
      </c>
      <c r="G25" s="51">
        <f t="shared" si="0"/>
        <v>39.603694292415945</v>
      </c>
    </row>
    <row r="26" spans="1:7" s="13" customFormat="1" ht="20.25" customHeight="1" x14ac:dyDescent="0.2">
      <c r="B26" s="14" t="s">
        <v>54</v>
      </c>
      <c r="C26" s="1">
        <v>483906.81904000009</v>
      </c>
      <c r="D26" s="2">
        <v>18386</v>
      </c>
      <c r="E26" s="7">
        <f t="shared" si="1"/>
        <v>2024.5622465253668</v>
      </c>
      <c r="F26" s="3">
        <v>213845</v>
      </c>
      <c r="G26" s="51">
        <f t="shared" si="0"/>
        <v>85.978161752671326</v>
      </c>
    </row>
    <row r="27" spans="1:7" s="13" customFormat="1" ht="20.25" customHeight="1" x14ac:dyDescent="0.2">
      <c r="B27" s="14" t="s">
        <v>20</v>
      </c>
      <c r="C27" s="1">
        <v>2276222.37</v>
      </c>
      <c r="D27" s="2">
        <v>101621</v>
      </c>
      <c r="E27" s="7">
        <f t="shared" si="1"/>
        <v>1723.0102878493469</v>
      </c>
      <c r="F27" s="3">
        <v>3177557</v>
      </c>
      <c r="G27" s="51">
        <f t="shared" si="0"/>
        <v>31.980858250536496</v>
      </c>
    </row>
    <row r="28" spans="1:7" s="13" customFormat="1" ht="20.25" customHeight="1" x14ac:dyDescent="0.2">
      <c r="B28" s="14" t="s">
        <v>41</v>
      </c>
      <c r="C28" s="1">
        <v>664111.69999999995</v>
      </c>
      <c r="D28" s="2">
        <v>39253</v>
      </c>
      <c r="E28" s="7">
        <f t="shared" si="1"/>
        <v>1301.442319940269</v>
      </c>
      <c r="F28" s="3">
        <v>839767</v>
      </c>
      <c r="G28" s="51">
        <f t="shared" si="0"/>
        <v>46.742727447018041</v>
      </c>
    </row>
    <row r="29" spans="1:7" s="13" customFormat="1" ht="20.25" customHeight="1" x14ac:dyDescent="0.2">
      <c r="B29" s="14" t="s">
        <v>21</v>
      </c>
      <c r="C29" s="1">
        <v>1077013.7</v>
      </c>
      <c r="D29" s="2">
        <v>63214</v>
      </c>
      <c r="E29" s="7">
        <f t="shared" si="1"/>
        <v>1310.5832203674454</v>
      </c>
      <c r="F29" s="3">
        <v>1421824</v>
      </c>
      <c r="G29" s="51">
        <f t="shared" si="0"/>
        <v>44.45979249189773</v>
      </c>
    </row>
    <row r="30" spans="1:7" s="13" customFormat="1" ht="20.25" customHeight="1" thickBot="1" x14ac:dyDescent="0.25">
      <c r="B30" s="14" t="s">
        <v>40</v>
      </c>
      <c r="C30" s="2">
        <v>446428.97900000005</v>
      </c>
      <c r="D30" s="2">
        <v>12189</v>
      </c>
      <c r="E30" s="7">
        <f t="shared" si="1"/>
        <v>2817.3509469445971</v>
      </c>
      <c r="F30" s="3">
        <v>115286</v>
      </c>
      <c r="G30" s="51">
        <f t="shared" si="0"/>
        <v>105.72836250715612</v>
      </c>
    </row>
    <row r="31" spans="1:7" s="13" customFormat="1" ht="26.25" customHeight="1" thickBot="1" x14ac:dyDescent="0.25">
      <c r="B31" s="49" t="s">
        <v>22</v>
      </c>
      <c r="C31" s="50">
        <f>SUM(C7:C30)</f>
        <v>30926009.570927285</v>
      </c>
      <c r="D31" s="50">
        <f>SUM(D7:D30)</f>
        <v>1509710</v>
      </c>
      <c r="E31" s="50">
        <f t="shared" si="1"/>
        <v>1575.7488611377366</v>
      </c>
      <c r="F31" s="50">
        <f>SUM(F7:F30)</f>
        <v>38592150</v>
      </c>
      <c r="G31" s="52">
        <f t="shared" si="0"/>
        <v>39.119613703823184</v>
      </c>
    </row>
    <row r="32" spans="1:7" ht="8.25" customHeight="1" x14ac:dyDescent="0.2">
      <c r="A32" s="36"/>
      <c r="B32" s="18"/>
      <c r="E32" s="17"/>
      <c r="G32" s="19"/>
    </row>
    <row r="33" spans="1:7" x14ac:dyDescent="0.2">
      <c r="B33" s="60" t="s">
        <v>46</v>
      </c>
      <c r="C33" s="60"/>
      <c r="D33" s="60"/>
      <c r="E33" s="60"/>
      <c r="F33" s="60"/>
      <c r="G33" s="60"/>
    </row>
    <row r="34" spans="1:7" x14ac:dyDescent="0.2">
      <c r="B34" s="60" t="s">
        <v>60</v>
      </c>
      <c r="C34" s="60"/>
      <c r="D34" s="60"/>
      <c r="E34" s="60"/>
      <c r="F34" s="60"/>
      <c r="G34" s="60"/>
    </row>
    <row r="35" spans="1:7" x14ac:dyDescent="0.2">
      <c r="A35" s="18"/>
      <c r="B35" s="55" t="s">
        <v>53</v>
      </c>
      <c r="C35" s="55"/>
      <c r="D35" s="55"/>
      <c r="E35" s="55"/>
      <c r="F35" s="55"/>
      <c r="G35" s="55"/>
    </row>
    <row r="36" spans="1:7" x14ac:dyDescent="0.2">
      <c r="A36" s="18"/>
      <c r="B36" s="55" t="s">
        <v>48</v>
      </c>
      <c r="C36" s="55"/>
      <c r="D36" s="55"/>
      <c r="E36" s="55"/>
      <c r="F36" s="55"/>
      <c r="G36" s="55"/>
    </row>
    <row r="37" spans="1:7" x14ac:dyDescent="0.2">
      <c r="A37" s="18"/>
      <c r="B37" s="55"/>
      <c r="C37" s="55"/>
      <c r="D37" s="55"/>
      <c r="E37" s="55"/>
      <c r="F37" s="55"/>
      <c r="G37" s="55"/>
    </row>
    <row r="38" spans="1:7" x14ac:dyDescent="0.2">
      <c r="B38" s="54" t="s">
        <v>61</v>
      </c>
      <c r="C38" s="53"/>
      <c r="D38" s="53"/>
      <c r="E38" s="53"/>
      <c r="F38" s="53"/>
      <c r="G38" s="53"/>
    </row>
    <row r="39" spans="1:7" x14ac:dyDescent="0.2">
      <c r="B39" s="61" t="s">
        <v>39</v>
      </c>
      <c r="C39" s="61"/>
      <c r="D39" s="61"/>
      <c r="E39" s="61"/>
      <c r="F39" s="61"/>
      <c r="G39" s="61"/>
    </row>
    <row r="40" spans="1:7" x14ac:dyDescent="0.2">
      <c r="B40" s="55"/>
      <c r="C40" s="55"/>
      <c r="D40" s="55"/>
      <c r="E40" s="55"/>
      <c r="F40" s="55"/>
      <c r="G40" s="55"/>
    </row>
    <row r="41" spans="1:7" x14ac:dyDescent="0.2">
      <c r="B41" s="55"/>
      <c r="C41" s="55"/>
      <c r="D41" s="55"/>
      <c r="E41" s="55"/>
      <c r="F41" s="55"/>
      <c r="G41" s="55"/>
    </row>
    <row r="42" spans="1:7" x14ac:dyDescent="0.2">
      <c r="B42" s="55"/>
      <c r="C42" s="55"/>
      <c r="D42" s="55"/>
      <c r="E42" s="55"/>
      <c r="F42" s="55"/>
      <c r="G42" s="55"/>
    </row>
    <row r="43" spans="1:7" x14ac:dyDescent="0.2">
      <c r="B43" s="55"/>
      <c r="C43" s="55"/>
      <c r="D43" s="55"/>
      <c r="E43" s="55"/>
      <c r="F43" s="55"/>
      <c r="G43" s="55"/>
    </row>
  </sheetData>
  <mergeCells count="14">
    <mergeCell ref="B43:G43"/>
    <mergeCell ref="B1:G1"/>
    <mergeCell ref="B2:G2"/>
    <mergeCell ref="B3:G3"/>
    <mergeCell ref="B4:G4"/>
    <mergeCell ref="B37:G37"/>
    <mergeCell ref="B34:G34"/>
    <mergeCell ref="B35:G35"/>
    <mergeCell ref="B36:G36"/>
    <mergeCell ref="B39:G39"/>
    <mergeCell ref="B40:G40"/>
    <mergeCell ref="B41:G41"/>
    <mergeCell ref="B42:G42"/>
    <mergeCell ref="B33:G33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43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23.7109375" style="10" customWidth="1"/>
    <col min="4" max="4" width="17" style="10" customWidth="1"/>
    <col min="5" max="7" width="19.42578125" style="10" customWidth="1"/>
    <col min="8" max="8" width="21.28515625" style="10" customWidth="1"/>
    <col min="9" max="16384" width="11.42578125" style="10"/>
  </cols>
  <sheetData>
    <row r="1" spans="2:8" ht="63" customHeight="1" x14ac:dyDescent="0.2">
      <c r="B1" s="56"/>
      <c r="C1" s="56"/>
      <c r="D1" s="56"/>
      <c r="E1" s="56"/>
      <c r="F1" s="56"/>
      <c r="G1" s="56"/>
    </row>
    <row r="2" spans="2:8" s="13" customFormat="1" ht="18.75" customHeight="1" x14ac:dyDescent="0.2">
      <c r="B2" s="57" t="s">
        <v>45</v>
      </c>
      <c r="C2" s="57"/>
      <c r="D2" s="57"/>
      <c r="E2" s="57"/>
      <c r="F2" s="57"/>
      <c r="G2" s="57"/>
    </row>
    <row r="3" spans="2:8" s="11" customFormat="1" ht="18.75" customHeight="1" x14ac:dyDescent="0.2">
      <c r="B3" s="58" t="s">
        <v>44</v>
      </c>
      <c r="C3" s="58"/>
      <c r="D3" s="58"/>
      <c r="E3" s="58"/>
      <c r="F3" s="58"/>
      <c r="G3" s="58"/>
    </row>
    <row r="4" spans="2:8" ht="18.75" customHeight="1" x14ac:dyDescent="0.2">
      <c r="B4" s="59" t="s">
        <v>24</v>
      </c>
      <c r="C4" s="59"/>
      <c r="D4" s="59"/>
      <c r="E4" s="59"/>
      <c r="F4" s="59"/>
      <c r="G4" s="59"/>
    </row>
    <row r="5" spans="2:8" ht="13.5" thickBot="1" x14ac:dyDescent="0.25"/>
    <row r="6" spans="2:8" s="11" customFormat="1" ht="53.25" customHeight="1" thickBot="1" x14ac:dyDescent="0.25">
      <c r="B6" s="39" t="s">
        <v>0</v>
      </c>
      <c r="C6" s="40" t="s">
        <v>43</v>
      </c>
      <c r="D6" s="41" t="s">
        <v>56</v>
      </c>
      <c r="E6" s="40" t="s">
        <v>42</v>
      </c>
      <c r="F6" s="42" t="s">
        <v>57</v>
      </c>
      <c r="G6" s="43" t="s">
        <v>1</v>
      </c>
    </row>
    <row r="7" spans="2:8" s="13" customFormat="1" ht="20.25" customHeight="1" x14ac:dyDescent="0.2">
      <c r="B7" s="14" t="s">
        <v>2</v>
      </c>
      <c r="C7" s="1">
        <v>3948372.1570000001</v>
      </c>
      <c r="D7" s="2">
        <v>129067</v>
      </c>
      <c r="E7" s="3">
        <f t="shared" ref="E7:E31" si="0">C7/D7/13*1000</f>
        <v>2353.2036473602561</v>
      </c>
      <c r="F7" s="6">
        <v>3025772</v>
      </c>
      <c r="G7" s="51">
        <f t="shared" ref="G7:G31" si="1">D7/F7*1000</f>
        <v>42.655890794151048</v>
      </c>
      <c r="H7" s="37"/>
    </row>
    <row r="8" spans="2:8" s="13" customFormat="1" ht="20.25" customHeight="1" x14ac:dyDescent="0.2">
      <c r="B8" s="14" t="s">
        <v>3</v>
      </c>
      <c r="C8" s="1">
        <v>12331704</v>
      </c>
      <c r="D8" s="2">
        <v>492777</v>
      </c>
      <c r="E8" s="3">
        <f t="shared" si="0"/>
        <v>1924.993689609327</v>
      </c>
      <c r="F8" s="6">
        <v>14784007</v>
      </c>
      <c r="G8" s="51">
        <f t="shared" si="1"/>
        <v>33.331761815318401</v>
      </c>
    </row>
    <row r="9" spans="2:8" s="13" customFormat="1" ht="20.25" customHeight="1" x14ac:dyDescent="0.2">
      <c r="B9" s="14" t="s">
        <v>4</v>
      </c>
      <c r="C9" s="1">
        <v>662754.55426693999</v>
      </c>
      <c r="D9" s="2">
        <v>27218</v>
      </c>
      <c r="E9" s="3">
        <f t="shared" si="0"/>
        <v>1873.0663369459689</v>
      </c>
      <c r="F9" s="6">
        <v>372937</v>
      </c>
      <c r="G9" s="51">
        <f t="shared" si="1"/>
        <v>72.982836243118811</v>
      </c>
    </row>
    <row r="10" spans="2:8" s="13" customFormat="1" ht="20.25" customHeight="1" x14ac:dyDescent="0.2">
      <c r="B10" s="14" t="s">
        <v>5</v>
      </c>
      <c r="C10" s="1">
        <v>2646422.3330000001</v>
      </c>
      <c r="D10" s="2">
        <v>94553</v>
      </c>
      <c r="E10" s="3">
        <f t="shared" si="0"/>
        <v>2152.9824404546412</v>
      </c>
      <c r="F10" s="6">
        <v>3282680</v>
      </c>
      <c r="G10" s="51">
        <f t="shared" si="1"/>
        <v>28.80359949797117</v>
      </c>
      <c r="H10" s="8"/>
    </row>
    <row r="11" spans="2:8" s="13" customFormat="1" ht="20.25" customHeight="1" x14ac:dyDescent="0.2">
      <c r="B11" s="14" t="s">
        <v>6</v>
      </c>
      <c r="C11" s="1">
        <v>940550</v>
      </c>
      <c r="D11" s="2">
        <v>46053</v>
      </c>
      <c r="E11" s="3">
        <f t="shared" si="0"/>
        <v>1571.016003300545</v>
      </c>
      <c r="F11" s="6">
        <v>991597</v>
      </c>
      <c r="G11" s="51">
        <f t="shared" si="1"/>
        <v>46.443262736777136</v>
      </c>
    </row>
    <row r="12" spans="2:8" s="13" customFormat="1" ht="20.25" customHeight="1" x14ac:dyDescent="0.2">
      <c r="B12" s="14" t="s">
        <v>7</v>
      </c>
      <c r="C12" s="1">
        <v>1299873.0985714288</v>
      </c>
      <c r="D12" s="2">
        <v>46685</v>
      </c>
      <c r="E12" s="3">
        <f t="shared" si="0"/>
        <v>2141.8065406800547</v>
      </c>
      <c r="F12" s="6">
        <v>1033865</v>
      </c>
      <c r="G12" s="51">
        <f t="shared" si="1"/>
        <v>45.155798871225933</v>
      </c>
      <c r="H12" s="9"/>
    </row>
    <row r="13" spans="2:8" s="13" customFormat="1" ht="20.25" customHeight="1" x14ac:dyDescent="0.2">
      <c r="B13" s="14" t="s">
        <v>8</v>
      </c>
      <c r="C13" s="1">
        <v>991977.43199999991</v>
      </c>
      <c r="D13" s="2">
        <v>27808</v>
      </c>
      <c r="E13" s="3">
        <f t="shared" si="0"/>
        <v>2744.0289236080371</v>
      </c>
      <c r="F13" s="6">
        <v>450549</v>
      </c>
      <c r="G13" s="51">
        <f t="shared" si="1"/>
        <v>61.720256842208059</v>
      </c>
    </row>
    <row r="14" spans="2:8" s="13" customFormat="1" ht="20.25" customHeight="1" x14ac:dyDescent="0.2">
      <c r="B14" s="14" t="s">
        <v>9</v>
      </c>
      <c r="C14" s="1">
        <v>1536839.875</v>
      </c>
      <c r="D14" s="2">
        <v>64334</v>
      </c>
      <c r="E14" s="3">
        <f t="shared" si="0"/>
        <v>1837.5734747268461</v>
      </c>
      <c r="F14" s="6">
        <v>1229373</v>
      </c>
      <c r="G14" s="51">
        <f t="shared" si="1"/>
        <v>52.330740954942073</v>
      </c>
    </row>
    <row r="15" spans="2:8" s="13" customFormat="1" ht="20.25" customHeight="1" x14ac:dyDescent="0.2">
      <c r="B15" s="14" t="s">
        <v>10</v>
      </c>
      <c r="C15" s="1">
        <v>744505.96920999989</v>
      </c>
      <c r="D15" s="2">
        <v>37507</v>
      </c>
      <c r="E15" s="3">
        <f t="shared" si="0"/>
        <v>1526.9067091271168</v>
      </c>
      <c r="F15" s="6">
        <v>524805</v>
      </c>
      <c r="G15" s="51">
        <f t="shared" si="1"/>
        <v>71.468450186259659</v>
      </c>
    </row>
    <row r="16" spans="2:8" s="13" customFormat="1" ht="20.25" customHeight="1" x14ac:dyDescent="0.2">
      <c r="B16" s="14" t="s">
        <v>11</v>
      </c>
      <c r="C16" s="1">
        <v>849150.67692307697</v>
      </c>
      <c r="D16" s="2">
        <v>38515</v>
      </c>
      <c r="E16" s="3">
        <f t="shared" si="0"/>
        <v>1695.9439916976942</v>
      </c>
      <c r="F16" s="6">
        <v>661667</v>
      </c>
      <c r="G16" s="51">
        <f t="shared" si="1"/>
        <v>58.209038685622829</v>
      </c>
    </row>
    <row r="17" spans="1:8" s="13" customFormat="1" ht="20.25" customHeight="1" x14ac:dyDescent="0.2">
      <c r="B17" s="12" t="s">
        <v>49</v>
      </c>
      <c r="C17" s="1">
        <v>525093.46559999988</v>
      </c>
      <c r="D17" s="2">
        <v>18624</v>
      </c>
      <c r="E17" s="3">
        <f t="shared" si="0"/>
        <v>2168.8039651070576</v>
      </c>
      <c r="F17" s="6">
        <v>325626</v>
      </c>
      <c r="G17" s="51">
        <f t="shared" si="1"/>
        <v>57.194450074625486</v>
      </c>
      <c r="H17" s="9"/>
    </row>
    <row r="18" spans="1:8" s="13" customFormat="1" ht="20.25" customHeight="1" x14ac:dyDescent="0.2">
      <c r="B18" s="14" t="s">
        <v>12</v>
      </c>
      <c r="C18" s="1">
        <v>480103.32</v>
      </c>
      <c r="D18" s="2">
        <v>25427</v>
      </c>
      <c r="E18" s="3">
        <f t="shared" si="0"/>
        <v>1452.4334217715268</v>
      </c>
      <c r="F18" s="6">
        <v>327384</v>
      </c>
      <c r="G18" s="51">
        <f t="shared" si="1"/>
        <v>77.667204261662135</v>
      </c>
    </row>
    <row r="19" spans="1:8" s="13" customFormat="1" ht="20.25" customHeight="1" x14ac:dyDescent="0.2">
      <c r="B19" s="14" t="s">
        <v>13</v>
      </c>
      <c r="C19" s="2">
        <v>1706659.9999999998</v>
      </c>
      <c r="D19" s="2">
        <v>67633</v>
      </c>
      <c r="E19" s="3">
        <f t="shared" si="0"/>
        <v>1941.0870205600586</v>
      </c>
      <c r="F19" s="6">
        <v>1693261</v>
      </c>
      <c r="G19" s="51">
        <f t="shared" si="1"/>
        <v>39.942454234757669</v>
      </c>
    </row>
    <row r="20" spans="1:8" s="13" customFormat="1" ht="20.25" customHeight="1" x14ac:dyDescent="0.2">
      <c r="B20" s="14" t="s">
        <v>14</v>
      </c>
      <c r="C20" s="1">
        <v>815416.08131666668</v>
      </c>
      <c r="D20" s="2">
        <v>41989</v>
      </c>
      <c r="E20" s="3">
        <f t="shared" si="0"/>
        <v>1493.8272868474098</v>
      </c>
      <c r="F20" s="6">
        <v>1045534</v>
      </c>
      <c r="G20" s="51">
        <f t="shared" si="1"/>
        <v>40.160339118574811</v>
      </c>
    </row>
    <row r="21" spans="1:8" s="13" customFormat="1" ht="20.25" customHeight="1" x14ac:dyDescent="0.2">
      <c r="B21" s="14" t="s">
        <v>15</v>
      </c>
      <c r="C21" s="1">
        <v>1247799.5290000001</v>
      </c>
      <c r="D21" s="2">
        <v>45410</v>
      </c>
      <c r="E21" s="3">
        <f t="shared" si="0"/>
        <v>2113.7321989395759</v>
      </c>
      <c r="F21" s="6">
        <v>530219</v>
      </c>
      <c r="G21" s="51">
        <f t="shared" si="1"/>
        <v>85.643856595105035</v>
      </c>
    </row>
    <row r="22" spans="1:8" s="13" customFormat="1" ht="20.25" customHeight="1" x14ac:dyDescent="0.2">
      <c r="B22" s="14" t="s">
        <v>16</v>
      </c>
      <c r="C22" s="1">
        <v>913110.6100000001</v>
      </c>
      <c r="D22" s="2">
        <v>37970</v>
      </c>
      <c r="E22" s="3">
        <f t="shared" si="0"/>
        <v>1849.8624622677826</v>
      </c>
      <c r="F22" s="6">
        <v>590871</v>
      </c>
      <c r="G22" s="51">
        <f t="shared" si="1"/>
        <v>64.261065444064783</v>
      </c>
    </row>
    <row r="23" spans="1:8" s="13" customFormat="1" ht="20.25" customHeight="1" x14ac:dyDescent="0.2">
      <c r="B23" s="14" t="s">
        <v>17</v>
      </c>
      <c r="C23" s="1">
        <v>883744.0846099999</v>
      </c>
      <c r="D23" s="2">
        <v>46453</v>
      </c>
      <c r="E23" s="3">
        <f t="shared" si="0"/>
        <v>1463.4213979887031</v>
      </c>
      <c r="F23" s="6">
        <v>1181886</v>
      </c>
      <c r="G23" s="51">
        <f t="shared" si="1"/>
        <v>39.304129163049566</v>
      </c>
      <c r="H23" s="9"/>
    </row>
    <row r="24" spans="1:8" s="13" customFormat="1" ht="20.25" customHeight="1" x14ac:dyDescent="0.2">
      <c r="B24" s="14" t="s">
        <v>18</v>
      </c>
      <c r="C24" s="1">
        <v>774821.179</v>
      </c>
      <c r="D24" s="2">
        <v>30446</v>
      </c>
      <c r="E24" s="3">
        <f t="shared" si="0"/>
        <v>1957.6177216661024</v>
      </c>
      <c r="F24" s="6">
        <v>676189</v>
      </c>
      <c r="G24" s="51">
        <f t="shared" si="1"/>
        <v>45.02587294380713</v>
      </c>
    </row>
    <row r="25" spans="1:8" s="13" customFormat="1" ht="20.25" customHeight="1" x14ac:dyDescent="0.2">
      <c r="B25" s="12" t="s">
        <v>50</v>
      </c>
      <c r="C25" s="1">
        <v>443898.65075000009</v>
      </c>
      <c r="D25" s="2">
        <v>16948</v>
      </c>
      <c r="E25" s="3">
        <f t="shared" si="0"/>
        <v>2014.7539566729004</v>
      </c>
      <c r="F25" s="6">
        <v>418625</v>
      </c>
      <c r="G25" s="51">
        <f t="shared" si="1"/>
        <v>40.484920871902055</v>
      </c>
      <c r="H25" s="9"/>
    </row>
    <row r="26" spans="1:8" s="13" customFormat="1" ht="20.25" customHeight="1" x14ac:dyDescent="0.2">
      <c r="B26" s="14" t="s">
        <v>19</v>
      </c>
      <c r="C26" s="1">
        <v>620830.62006481481</v>
      </c>
      <c r="D26" s="2">
        <v>18466</v>
      </c>
      <c r="E26" s="3">
        <f t="shared" si="0"/>
        <v>2586.1692593657149</v>
      </c>
      <c r="F26" s="6">
        <v>217846</v>
      </c>
      <c r="G26" s="51">
        <f t="shared" si="1"/>
        <v>84.7663028010613</v>
      </c>
      <c r="H26" s="9"/>
    </row>
    <row r="27" spans="1:8" s="13" customFormat="1" ht="20.25" customHeight="1" x14ac:dyDescent="0.2">
      <c r="B27" s="14" t="s">
        <v>20</v>
      </c>
      <c r="C27" s="1">
        <v>2992254.4200000004</v>
      </c>
      <c r="D27" s="2">
        <v>102701</v>
      </c>
      <c r="E27" s="3">
        <f t="shared" si="0"/>
        <v>2241.1993741353726</v>
      </c>
      <c r="F27" s="6">
        <v>3199248</v>
      </c>
      <c r="G27" s="51">
        <f t="shared" si="1"/>
        <v>32.101606377498712</v>
      </c>
    </row>
    <row r="28" spans="1:8" s="13" customFormat="1" ht="20.25" customHeight="1" x14ac:dyDescent="0.2">
      <c r="B28" s="14" t="s">
        <v>41</v>
      </c>
      <c r="C28" s="1">
        <v>862477.28699530207</v>
      </c>
      <c r="D28" s="2">
        <v>41230</v>
      </c>
      <c r="E28" s="3">
        <f t="shared" si="0"/>
        <v>1609.129437107599</v>
      </c>
      <c r="F28" s="6">
        <v>848196</v>
      </c>
      <c r="G28" s="51">
        <f t="shared" si="1"/>
        <v>48.60904790873807</v>
      </c>
    </row>
    <row r="29" spans="1:8" s="13" customFormat="1" ht="20.25" customHeight="1" x14ac:dyDescent="0.2">
      <c r="B29" s="14" t="s">
        <v>21</v>
      </c>
      <c r="C29" s="1">
        <v>1481086</v>
      </c>
      <c r="D29" s="2">
        <v>67255</v>
      </c>
      <c r="E29" s="3">
        <f t="shared" si="0"/>
        <v>1693.995871053339</v>
      </c>
      <c r="F29" s="6">
        <v>1439575</v>
      </c>
      <c r="G29" s="51">
        <f t="shared" si="1"/>
        <v>46.718649601444874</v>
      </c>
    </row>
    <row r="30" spans="1:8" s="13" customFormat="1" ht="20.25" customHeight="1" thickBot="1" x14ac:dyDescent="0.25">
      <c r="B30" s="14" t="s">
        <v>40</v>
      </c>
      <c r="C30" s="2">
        <v>623735.65869000007</v>
      </c>
      <c r="D30" s="2">
        <v>14174</v>
      </c>
      <c r="E30" s="3">
        <f t="shared" si="0"/>
        <v>3385.047696703607</v>
      </c>
      <c r="F30" s="6">
        <v>118899</v>
      </c>
      <c r="G30" s="51">
        <f t="shared" si="1"/>
        <v>119.21042229118832</v>
      </c>
      <c r="H30" s="9"/>
    </row>
    <row r="31" spans="1:8" s="13" customFormat="1" ht="26.25" customHeight="1" thickBot="1" x14ac:dyDescent="0.25">
      <c r="B31" s="49" t="s">
        <v>22</v>
      </c>
      <c r="C31" s="50">
        <f>SUM(C7:C30)</f>
        <v>40323181.001998223</v>
      </c>
      <c r="D31" s="50">
        <f>SUM(D7:D30)</f>
        <v>1579243</v>
      </c>
      <c r="E31" s="50">
        <f t="shared" si="0"/>
        <v>1964.0949201610288</v>
      </c>
      <c r="F31" s="50">
        <f>SUM(F7:F30)</f>
        <v>38970611</v>
      </c>
      <c r="G31" s="52">
        <f t="shared" si="1"/>
        <v>40.523947648652467</v>
      </c>
    </row>
    <row r="32" spans="1:8" ht="8.25" customHeight="1" x14ac:dyDescent="0.2">
      <c r="A32" s="36"/>
      <c r="B32" s="13"/>
    </row>
    <row r="33" spans="1:7" x14ac:dyDescent="0.2">
      <c r="B33" s="60" t="s">
        <v>46</v>
      </c>
      <c r="C33" s="60"/>
      <c r="D33" s="60"/>
      <c r="E33" s="60"/>
      <c r="F33" s="60"/>
      <c r="G33" s="60"/>
    </row>
    <row r="34" spans="1:7" x14ac:dyDescent="0.2">
      <c r="B34" s="60" t="s">
        <v>60</v>
      </c>
      <c r="C34" s="60"/>
      <c r="D34" s="60"/>
      <c r="E34" s="60"/>
      <c r="F34" s="60"/>
      <c r="G34" s="60"/>
    </row>
    <row r="35" spans="1:7" x14ac:dyDescent="0.2">
      <c r="A35" s="18"/>
      <c r="B35" s="55" t="s">
        <v>53</v>
      </c>
      <c r="C35" s="55"/>
      <c r="D35" s="55"/>
      <c r="E35" s="55"/>
      <c r="F35" s="55"/>
      <c r="G35" s="55"/>
    </row>
    <row r="36" spans="1:7" x14ac:dyDescent="0.2">
      <c r="A36" s="18"/>
      <c r="B36" s="55" t="s">
        <v>48</v>
      </c>
      <c r="C36" s="55"/>
      <c r="D36" s="55"/>
      <c r="E36" s="55"/>
      <c r="F36" s="55"/>
      <c r="G36" s="55"/>
    </row>
    <row r="37" spans="1:7" x14ac:dyDescent="0.2">
      <c r="B37" s="55"/>
      <c r="C37" s="55"/>
      <c r="D37" s="55"/>
      <c r="E37" s="55"/>
      <c r="F37" s="55"/>
      <c r="G37" s="55"/>
    </row>
    <row r="38" spans="1:7" x14ac:dyDescent="0.2">
      <c r="B38" s="54" t="s">
        <v>61</v>
      </c>
      <c r="C38" s="53"/>
      <c r="D38" s="53"/>
      <c r="E38" s="53"/>
      <c r="F38" s="53"/>
      <c r="G38" s="53"/>
    </row>
    <row r="39" spans="1:7" x14ac:dyDescent="0.2">
      <c r="B39" s="61" t="s">
        <v>39</v>
      </c>
      <c r="C39" s="61"/>
      <c r="D39" s="61"/>
      <c r="E39" s="61"/>
      <c r="F39" s="61"/>
      <c r="G39" s="61"/>
    </row>
    <row r="40" spans="1:7" x14ac:dyDescent="0.2">
      <c r="B40" s="55"/>
      <c r="C40" s="55"/>
      <c r="D40" s="55"/>
      <c r="E40" s="55"/>
      <c r="F40" s="55"/>
      <c r="G40" s="55"/>
    </row>
    <row r="41" spans="1:7" x14ac:dyDescent="0.2">
      <c r="B41" s="55"/>
      <c r="C41" s="55"/>
      <c r="D41" s="55"/>
      <c r="E41" s="55"/>
      <c r="F41" s="55"/>
      <c r="G41" s="55"/>
    </row>
    <row r="42" spans="1:7" x14ac:dyDescent="0.2">
      <c r="B42" s="55"/>
      <c r="C42" s="55"/>
      <c r="D42" s="55"/>
      <c r="E42" s="55"/>
      <c r="F42" s="55"/>
      <c r="G42" s="55"/>
    </row>
    <row r="43" spans="1:7" x14ac:dyDescent="0.2">
      <c r="B43" s="55"/>
      <c r="C43" s="55"/>
      <c r="D43" s="55"/>
      <c r="E43" s="55"/>
      <c r="F43" s="55"/>
      <c r="G43" s="55"/>
    </row>
  </sheetData>
  <mergeCells count="14">
    <mergeCell ref="B43:G43"/>
    <mergeCell ref="B1:G1"/>
    <mergeCell ref="B2:G2"/>
    <mergeCell ref="B3:G3"/>
    <mergeCell ref="B4:G4"/>
    <mergeCell ref="B37:G37"/>
    <mergeCell ref="B34:G34"/>
    <mergeCell ref="B35:G35"/>
    <mergeCell ref="B36:G36"/>
    <mergeCell ref="B39:G39"/>
    <mergeCell ref="B40:G40"/>
    <mergeCell ref="B41:G41"/>
    <mergeCell ref="B42:G42"/>
    <mergeCell ref="B33:G33"/>
  </mergeCells>
  <printOptions horizontalCentered="1" verticalCentered="1"/>
  <pageMargins left="0" right="0" top="0" bottom="0" header="0" footer="0"/>
  <pageSetup paperSize="9" scale="8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I43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23.7109375" style="10" customWidth="1"/>
    <col min="4" max="4" width="17" style="10" customWidth="1"/>
    <col min="5" max="7" width="19.42578125" style="10" customWidth="1"/>
    <col min="8" max="8" width="3.7109375" style="10" customWidth="1"/>
    <col min="9" max="16384" width="11.42578125" style="10"/>
  </cols>
  <sheetData>
    <row r="1" spans="2:9" ht="63" customHeight="1" x14ac:dyDescent="0.2">
      <c r="B1" s="56"/>
      <c r="C1" s="56"/>
      <c r="D1" s="56"/>
      <c r="E1" s="56"/>
      <c r="F1" s="56"/>
      <c r="G1" s="56"/>
    </row>
    <row r="2" spans="2:9" s="13" customFormat="1" ht="18.75" customHeight="1" x14ac:dyDescent="0.2">
      <c r="B2" s="57" t="s">
        <v>45</v>
      </c>
      <c r="C2" s="57"/>
      <c r="D2" s="57"/>
      <c r="E2" s="57"/>
      <c r="F2" s="57"/>
      <c r="G2" s="57"/>
    </row>
    <row r="3" spans="2:9" s="11" customFormat="1" ht="18.75" customHeight="1" x14ac:dyDescent="0.2">
      <c r="B3" s="58" t="s">
        <v>44</v>
      </c>
      <c r="C3" s="58"/>
      <c r="D3" s="58"/>
      <c r="E3" s="58"/>
      <c r="F3" s="58"/>
      <c r="G3" s="58"/>
    </row>
    <row r="4" spans="2:9" ht="18.75" customHeight="1" x14ac:dyDescent="0.2">
      <c r="B4" s="59" t="s">
        <v>25</v>
      </c>
      <c r="C4" s="59"/>
      <c r="D4" s="59"/>
      <c r="E4" s="59"/>
      <c r="F4" s="59"/>
      <c r="G4" s="59"/>
    </row>
    <row r="5" spans="2:9" ht="13.5" thickBot="1" x14ac:dyDescent="0.25"/>
    <row r="6" spans="2:9" s="11" customFormat="1" ht="53.25" customHeight="1" thickBot="1" x14ac:dyDescent="0.25">
      <c r="B6" s="39" t="s">
        <v>0</v>
      </c>
      <c r="C6" s="40" t="s">
        <v>43</v>
      </c>
      <c r="D6" s="41" t="s">
        <v>56</v>
      </c>
      <c r="E6" s="40" t="s">
        <v>42</v>
      </c>
      <c r="F6" s="42" t="s">
        <v>57</v>
      </c>
      <c r="G6" s="43" t="s">
        <v>1</v>
      </c>
    </row>
    <row r="7" spans="2:9" s="13" customFormat="1" ht="20.25" customHeight="1" x14ac:dyDescent="0.2">
      <c r="B7" s="14" t="s">
        <v>2</v>
      </c>
      <c r="C7" s="1">
        <v>5056221</v>
      </c>
      <c r="D7" s="2">
        <v>139463</v>
      </c>
      <c r="E7" s="3">
        <f t="shared" ref="E7:E30" si="0">C7/D7/13*1000</f>
        <v>2788.8406023323528</v>
      </c>
      <c r="F7" s="6">
        <v>3034161</v>
      </c>
      <c r="G7" s="51">
        <f t="shared" ref="G7:G30" si="1">D7/F7*1000</f>
        <v>45.964271507016271</v>
      </c>
    </row>
    <row r="8" spans="2:9" s="13" customFormat="1" ht="20.25" customHeight="1" x14ac:dyDescent="0.2">
      <c r="B8" s="14" t="s">
        <v>3</v>
      </c>
      <c r="C8" s="1">
        <v>15855830.000000002</v>
      </c>
      <c r="D8" s="2">
        <v>522582</v>
      </c>
      <c r="E8" s="3">
        <f t="shared" si="0"/>
        <v>2333.9480325943696</v>
      </c>
      <c r="F8" s="6">
        <v>14917940</v>
      </c>
      <c r="G8" s="51">
        <f t="shared" si="1"/>
        <v>35.030439859658912</v>
      </c>
    </row>
    <row r="9" spans="2:9" s="13" customFormat="1" ht="20.25" customHeight="1" x14ac:dyDescent="0.2">
      <c r="B9" s="14" t="s">
        <v>4</v>
      </c>
      <c r="C9" s="1">
        <v>918696.29442277504</v>
      </c>
      <c r="D9" s="2">
        <v>31656</v>
      </c>
      <c r="E9" s="3">
        <f t="shared" si="0"/>
        <v>2232.4028849137239</v>
      </c>
      <c r="F9" s="6">
        <v>380612</v>
      </c>
      <c r="G9" s="51">
        <f t="shared" si="1"/>
        <v>83.171313568673611</v>
      </c>
    </row>
    <row r="10" spans="2:9" s="13" customFormat="1" ht="20.25" customHeight="1" x14ac:dyDescent="0.2">
      <c r="B10" s="14" t="s">
        <v>5</v>
      </c>
      <c r="C10" s="1">
        <v>3499111.9999999995</v>
      </c>
      <c r="D10" s="2">
        <v>99171</v>
      </c>
      <c r="E10" s="3">
        <f t="shared" si="0"/>
        <v>2714.1247092240824</v>
      </c>
      <c r="F10" s="6">
        <v>3311280</v>
      </c>
      <c r="G10" s="51">
        <f t="shared" si="1"/>
        <v>29.949445531637313</v>
      </c>
    </row>
    <row r="11" spans="2:9" s="13" customFormat="1" ht="20.25" customHeight="1" x14ac:dyDescent="0.2">
      <c r="B11" s="14" t="s">
        <v>6</v>
      </c>
      <c r="C11" s="1">
        <v>1267120</v>
      </c>
      <c r="D11" s="2">
        <v>45227</v>
      </c>
      <c r="E11" s="3">
        <f t="shared" si="0"/>
        <v>2155.1455818597128</v>
      </c>
      <c r="F11" s="6">
        <v>1002416</v>
      </c>
      <c r="G11" s="51">
        <f t="shared" si="1"/>
        <v>45.11799492426298</v>
      </c>
    </row>
    <row r="12" spans="2:9" s="13" customFormat="1" ht="20.25" customHeight="1" x14ac:dyDescent="0.2">
      <c r="B12" s="14" t="s">
        <v>58</v>
      </c>
      <c r="C12" s="1">
        <v>1793082.94</v>
      </c>
      <c r="D12" s="2">
        <v>51690</v>
      </c>
      <c r="E12" s="3">
        <f t="shared" si="0"/>
        <v>2668.3973094036937</v>
      </c>
      <c r="F12" s="6">
        <v>1042881</v>
      </c>
      <c r="G12" s="51">
        <f t="shared" si="1"/>
        <v>49.564619549114425</v>
      </c>
    </row>
    <row r="13" spans="2:9" s="13" customFormat="1" ht="20.25" customHeight="1" x14ac:dyDescent="0.2">
      <c r="B13" s="14" t="s">
        <v>8</v>
      </c>
      <c r="C13" s="1">
        <v>1228367.804</v>
      </c>
      <c r="D13" s="2">
        <v>28506</v>
      </c>
      <c r="E13" s="3">
        <f t="shared" si="0"/>
        <v>3314.7348304540474</v>
      </c>
      <c r="F13" s="6">
        <v>455607</v>
      </c>
      <c r="G13" s="51">
        <f t="shared" si="1"/>
        <v>62.567080839407652</v>
      </c>
    </row>
    <row r="14" spans="2:9" s="13" customFormat="1" ht="20.25" customHeight="1" x14ac:dyDescent="0.2">
      <c r="B14" s="14" t="s">
        <v>9</v>
      </c>
      <c r="C14" s="1">
        <v>2061288</v>
      </c>
      <c r="D14" s="2">
        <v>65355</v>
      </c>
      <c r="E14" s="3">
        <f t="shared" si="0"/>
        <v>2426.1436062216417</v>
      </c>
      <c r="F14" s="6">
        <v>1242547</v>
      </c>
      <c r="G14" s="51">
        <f t="shared" si="1"/>
        <v>52.597607977806874</v>
      </c>
    </row>
    <row r="15" spans="2:9" s="13" customFormat="1" ht="20.25" customHeight="1" x14ac:dyDescent="0.2">
      <c r="B15" s="14" t="s">
        <v>10</v>
      </c>
      <c r="C15" s="1">
        <v>979417.62569000013</v>
      </c>
      <c r="D15" s="2">
        <v>39441</v>
      </c>
      <c r="E15" s="3">
        <f t="shared" si="0"/>
        <v>1910.1903440777171</v>
      </c>
      <c r="F15" s="6">
        <v>532238</v>
      </c>
      <c r="G15" s="51">
        <f t="shared" si="1"/>
        <v>74.104066226011682</v>
      </c>
    </row>
    <row r="16" spans="2:9" s="13" customFormat="1" ht="20.25" customHeight="1" x14ac:dyDescent="0.2">
      <c r="B16" s="14" t="s">
        <v>11</v>
      </c>
      <c r="C16" s="1">
        <v>1185620</v>
      </c>
      <c r="D16" s="2">
        <v>41838</v>
      </c>
      <c r="E16" s="3">
        <f t="shared" si="0"/>
        <v>2179.8732841325696</v>
      </c>
      <c r="F16" s="6">
        <v>670766</v>
      </c>
      <c r="G16" s="51">
        <f t="shared" si="1"/>
        <v>62.373465560269906</v>
      </c>
      <c r="I16" s="35"/>
    </row>
    <row r="17" spans="1:7" s="13" customFormat="1" ht="20.25" customHeight="1" x14ac:dyDescent="0.2">
      <c r="B17" s="12" t="s">
        <v>49</v>
      </c>
      <c r="C17" s="1">
        <v>709323.47785999987</v>
      </c>
      <c r="D17" s="2">
        <v>19110</v>
      </c>
      <c r="E17" s="3">
        <f t="shared" si="0"/>
        <v>2855.2247226985464</v>
      </c>
      <c r="F17" s="6">
        <v>329576</v>
      </c>
      <c r="G17" s="51">
        <f t="shared" si="1"/>
        <v>57.983591038182389</v>
      </c>
    </row>
    <row r="18" spans="1:7" s="13" customFormat="1" ht="20.25" customHeight="1" x14ac:dyDescent="0.2">
      <c r="B18" s="14" t="s">
        <v>12</v>
      </c>
      <c r="C18" s="1">
        <v>656007.74265285721</v>
      </c>
      <c r="D18" s="2">
        <v>27252</v>
      </c>
      <c r="E18" s="3">
        <f t="shared" si="0"/>
        <v>1851.6855295104867</v>
      </c>
      <c r="F18" s="6">
        <v>334235</v>
      </c>
      <c r="G18" s="51">
        <f t="shared" si="1"/>
        <v>81.535446616901282</v>
      </c>
    </row>
    <row r="19" spans="1:7" s="13" customFormat="1" ht="20.25" customHeight="1" x14ac:dyDescent="0.2">
      <c r="B19" s="14" t="s">
        <v>13</v>
      </c>
      <c r="C19" s="2">
        <v>2212900</v>
      </c>
      <c r="D19" s="2">
        <v>72135</v>
      </c>
      <c r="E19" s="3">
        <f t="shared" si="0"/>
        <v>2359.7848051996525</v>
      </c>
      <c r="F19" s="6">
        <v>1711416</v>
      </c>
      <c r="G19" s="51">
        <f t="shared" si="1"/>
        <v>42.149307941494058</v>
      </c>
    </row>
    <row r="20" spans="1:7" s="13" customFormat="1" ht="20.25" customHeight="1" x14ac:dyDescent="0.2">
      <c r="B20" s="14" t="s">
        <v>14</v>
      </c>
      <c r="C20" s="1">
        <v>1081750</v>
      </c>
      <c r="D20" s="2">
        <v>44980</v>
      </c>
      <c r="E20" s="3">
        <f t="shared" si="0"/>
        <v>1849.9675069261552</v>
      </c>
      <c r="F20" s="6">
        <v>1061590</v>
      </c>
      <c r="G20" s="51">
        <f t="shared" si="1"/>
        <v>42.370406654169692</v>
      </c>
    </row>
    <row r="21" spans="1:7" s="13" customFormat="1" ht="20.25" customHeight="1" x14ac:dyDescent="0.2">
      <c r="B21" s="14" t="s">
        <v>15</v>
      </c>
      <c r="C21" s="1">
        <v>1651644</v>
      </c>
      <c r="D21" s="2">
        <v>49347</v>
      </c>
      <c r="E21" s="3">
        <f t="shared" si="0"/>
        <v>2574.6152443216092</v>
      </c>
      <c r="F21" s="6">
        <v>538952</v>
      </c>
      <c r="G21" s="51">
        <f t="shared" si="1"/>
        <v>91.561029553652276</v>
      </c>
    </row>
    <row r="22" spans="1:7" s="13" customFormat="1" ht="20.25" customHeight="1" x14ac:dyDescent="0.2">
      <c r="B22" s="14" t="s">
        <v>16</v>
      </c>
      <c r="C22" s="1">
        <v>1192493</v>
      </c>
      <c r="D22" s="2">
        <v>39627</v>
      </c>
      <c r="E22" s="3">
        <f t="shared" si="0"/>
        <v>2314.8416677828441</v>
      </c>
      <c r="F22" s="6">
        <v>594189</v>
      </c>
      <c r="G22" s="51">
        <f t="shared" si="1"/>
        <v>66.690901379863988</v>
      </c>
    </row>
    <row r="23" spans="1:7" s="13" customFormat="1" ht="20.25" customHeight="1" x14ac:dyDescent="0.2">
      <c r="B23" s="14" t="s">
        <v>17</v>
      </c>
      <c r="C23" s="1">
        <v>1196103.9999999998</v>
      </c>
      <c r="D23" s="2">
        <v>48492</v>
      </c>
      <c r="E23" s="3">
        <f t="shared" si="0"/>
        <v>1897.3851356924849</v>
      </c>
      <c r="F23" s="6">
        <v>1202753</v>
      </c>
      <c r="G23" s="51">
        <f t="shared" si="1"/>
        <v>40.317504924119916</v>
      </c>
    </row>
    <row r="24" spans="1:7" s="13" customFormat="1" ht="20.25" customHeight="1" x14ac:dyDescent="0.2">
      <c r="B24" s="14" t="s">
        <v>18</v>
      </c>
      <c r="C24" s="1">
        <v>1008186.4459999998</v>
      </c>
      <c r="D24" s="2">
        <v>29876</v>
      </c>
      <c r="E24" s="3">
        <f t="shared" si="0"/>
        <v>2595.8228524053266</v>
      </c>
      <c r="F24" s="6">
        <v>685883</v>
      </c>
      <c r="G24" s="51">
        <f t="shared" si="1"/>
        <v>43.558449473160877</v>
      </c>
    </row>
    <row r="25" spans="1:7" s="13" customFormat="1" ht="20.25" customHeight="1" x14ac:dyDescent="0.2">
      <c r="B25" s="12" t="s">
        <v>50</v>
      </c>
      <c r="C25" s="1">
        <v>565627.02798999986</v>
      </c>
      <c r="D25" s="2">
        <v>17806</v>
      </c>
      <c r="E25" s="3">
        <f t="shared" si="0"/>
        <v>2443.5455118412979</v>
      </c>
      <c r="F25" s="6">
        <v>428025</v>
      </c>
      <c r="G25" s="51">
        <f t="shared" si="1"/>
        <v>41.600373809941004</v>
      </c>
    </row>
    <row r="26" spans="1:7" s="13" customFormat="1" ht="20.25" customHeight="1" x14ac:dyDescent="0.2">
      <c r="B26" s="14" t="s">
        <v>19</v>
      </c>
      <c r="C26" s="1">
        <v>1117337.3090000001</v>
      </c>
      <c r="D26" s="2">
        <v>22905</v>
      </c>
      <c r="E26" s="3">
        <f t="shared" si="0"/>
        <v>3752.4131748190689</v>
      </c>
      <c r="F26" s="6">
        <v>221871</v>
      </c>
      <c r="G26" s="51">
        <f t="shared" si="1"/>
        <v>103.23566396689969</v>
      </c>
    </row>
    <row r="27" spans="1:7" s="13" customFormat="1" ht="20.25" customHeight="1" x14ac:dyDescent="0.2">
      <c r="B27" s="14" t="s">
        <v>20</v>
      </c>
      <c r="C27" s="1">
        <v>4039228</v>
      </c>
      <c r="D27" s="2">
        <v>106800</v>
      </c>
      <c r="E27" s="3">
        <f t="shared" si="0"/>
        <v>2909.26822241429</v>
      </c>
      <c r="F27" s="6">
        <v>3220818</v>
      </c>
      <c r="G27" s="51">
        <f t="shared" si="1"/>
        <v>33.159278170949115</v>
      </c>
    </row>
    <row r="28" spans="1:7" s="13" customFormat="1" ht="20.25" customHeight="1" x14ac:dyDescent="0.2">
      <c r="B28" s="14" t="s">
        <v>41</v>
      </c>
      <c r="C28" s="1">
        <v>1032369.9999999999</v>
      </c>
      <c r="D28" s="2">
        <v>42361</v>
      </c>
      <c r="E28" s="3">
        <f t="shared" si="0"/>
        <v>1874.674274051059</v>
      </c>
      <c r="F28" s="6">
        <v>856739</v>
      </c>
      <c r="G28" s="51">
        <f t="shared" si="1"/>
        <v>49.444463249601107</v>
      </c>
    </row>
    <row r="29" spans="1:7" s="13" customFormat="1" ht="20.25" customHeight="1" x14ac:dyDescent="0.2">
      <c r="B29" s="14" t="s">
        <v>21</v>
      </c>
      <c r="C29" s="1">
        <v>1932770</v>
      </c>
      <c r="D29" s="2">
        <v>63253</v>
      </c>
      <c r="E29" s="3">
        <f t="shared" si="0"/>
        <v>2350.4753195044564</v>
      </c>
      <c r="F29" s="6">
        <v>1457357</v>
      </c>
      <c r="G29" s="51">
        <f t="shared" si="1"/>
        <v>43.402543096852732</v>
      </c>
    </row>
    <row r="30" spans="1:7" s="13" customFormat="1" ht="20.25" customHeight="1" thickBot="1" x14ac:dyDescent="0.25">
      <c r="B30" s="14" t="s">
        <v>40</v>
      </c>
      <c r="C30" s="2">
        <v>876974.15902999986</v>
      </c>
      <c r="D30" s="2">
        <v>15263</v>
      </c>
      <c r="E30" s="3">
        <f t="shared" si="0"/>
        <v>4419.8093883650254</v>
      </c>
      <c r="F30" s="6">
        <v>122531</v>
      </c>
      <c r="G30" s="51">
        <f t="shared" si="1"/>
        <v>124.56439594878032</v>
      </c>
    </row>
    <row r="31" spans="1:7" s="13" customFormat="1" ht="26.25" customHeight="1" thickBot="1" x14ac:dyDescent="0.25">
      <c r="A31" s="15"/>
      <c r="B31" s="49" t="s">
        <v>22</v>
      </c>
      <c r="C31" s="50">
        <f>SUM(C7:C30)</f>
        <v>53117470.826645628</v>
      </c>
      <c r="D31" s="50">
        <f>SUM(D7:D30)</f>
        <v>1664136</v>
      </c>
      <c r="E31" s="50">
        <f>C31/D31/13*1000</f>
        <v>2455.3037097673241</v>
      </c>
      <c r="F31" s="50">
        <f>SUM(F7:F30)</f>
        <v>39356383</v>
      </c>
      <c r="G31" s="52">
        <f>D31/F31*1000</f>
        <v>42.283763728999183</v>
      </c>
    </row>
    <row r="32" spans="1:7" ht="8.25" customHeight="1" x14ac:dyDescent="0.2">
      <c r="A32" s="36"/>
      <c r="B32" s="18"/>
      <c r="E32" s="17"/>
      <c r="G32" s="19"/>
    </row>
    <row r="33" spans="1:7" x14ac:dyDescent="0.2">
      <c r="B33" s="60" t="s">
        <v>46</v>
      </c>
      <c r="C33" s="60"/>
      <c r="D33" s="60"/>
      <c r="E33" s="60"/>
      <c r="F33" s="60"/>
      <c r="G33" s="60"/>
    </row>
    <row r="34" spans="1:7" x14ac:dyDescent="0.2">
      <c r="B34" s="60" t="s">
        <v>60</v>
      </c>
      <c r="C34" s="60"/>
      <c r="D34" s="60"/>
      <c r="E34" s="60"/>
      <c r="F34" s="60"/>
      <c r="G34" s="60"/>
    </row>
    <row r="35" spans="1:7" x14ac:dyDescent="0.2">
      <c r="A35" s="18"/>
      <c r="B35" s="55" t="s">
        <v>53</v>
      </c>
      <c r="C35" s="55"/>
      <c r="D35" s="55"/>
      <c r="E35" s="55"/>
      <c r="F35" s="55"/>
      <c r="G35" s="55"/>
    </row>
    <row r="36" spans="1:7" x14ac:dyDescent="0.2">
      <c r="A36" s="18"/>
      <c r="B36" s="55" t="s">
        <v>48</v>
      </c>
      <c r="C36" s="55"/>
      <c r="D36" s="55"/>
      <c r="E36" s="55"/>
      <c r="F36" s="55"/>
      <c r="G36" s="55"/>
    </row>
    <row r="37" spans="1:7" x14ac:dyDescent="0.2">
      <c r="B37" s="55" t="s">
        <v>62</v>
      </c>
      <c r="C37" s="55"/>
      <c r="D37" s="55"/>
      <c r="E37" s="55"/>
      <c r="F37" s="55"/>
      <c r="G37" s="55"/>
    </row>
    <row r="38" spans="1:7" x14ac:dyDescent="0.2">
      <c r="B38" s="54" t="s">
        <v>61</v>
      </c>
      <c r="C38" s="53"/>
      <c r="D38" s="53"/>
      <c r="E38" s="53"/>
      <c r="F38" s="53"/>
      <c r="G38" s="53"/>
    </row>
    <row r="39" spans="1:7" x14ac:dyDescent="0.2">
      <c r="B39" s="61" t="s">
        <v>39</v>
      </c>
      <c r="C39" s="61"/>
      <c r="D39" s="61"/>
      <c r="E39" s="61"/>
      <c r="F39" s="61"/>
      <c r="G39" s="61"/>
    </row>
    <row r="40" spans="1:7" x14ac:dyDescent="0.2">
      <c r="B40" s="55"/>
      <c r="C40" s="55"/>
      <c r="D40" s="55"/>
      <c r="E40" s="55"/>
      <c r="F40" s="55"/>
      <c r="G40" s="55"/>
    </row>
    <row r="41" spans="1:7" x14ac:dyDescent="0.2">
      <c r="B41" s="55"/>
      <c r="C41" s="55"/>
      <c r="D41" s="55"/>
      <c r="E41" s="55"/>
      <c r="F41" s="55"/>
      <c r="G41" s="55"/>
    </row>
    <row r="42" spans="1:7" x14ac:dyDescent="0.2">
      <c r="B42" s="55"/>
      <c r="C42" s="55"/>
      <c r="D42" s="55"/>
      <c r="E42" s="55"/>
      <c r="F42" s="55"/>
      <c r="G42" s="55"/>
    </row>
    <row r="43" spans="1:7" x14ac:dyDescent="0.2">
      <c r="B43" s="55"/>
      <c r="C43" s="55"/>
      <c r="D43" s="55"/>
      <c r="E43" s="55"/>
      <c r="F43" s="55"/>
      <c r="G43" s="55"/>
    </row>
  </sheetData>
  <mergeCells count="14">
    <mergeCell ref="B40:G40"/>
    <mergeCell ref="B41:G41"/>
    <mergeCell ref="B42:G42"/>
    <mergeCell ref="B43:G43"/>
    <mergeCell ref="B1:G1"/>
    <mergeCell ref="B2:G2"/>
    <mergeCell ref="B3:G3"/>
    <mergeCell ref="B4:G4"/>
    <mergeCell ref="B39:G39"/>
    <mergeCell ref="B34:G34"/>
    <mergeCell ref="B35:G35"/>
    <mergeCell ref="B36:G36"/>
    <mergeCell ref="B37:G37"/>
    <mergeCell ref="B33:G33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I43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23.7109375" style="10" customWidth="1"/>
    <col min="4" max="4" width="17" style="10" customWidth="1"/>
    <col min="5" max="7" width="19.42578125" style="10" customWidth="1"/>
    <col min="8" max="8" width="3.7109375" style="10" customWidth="1"/>
    <col min="9" max="16384" width="11.42578125" style="10"/>
  </cols>
  <sheetData>
    <row r="1" spans="2:9" ht="63" customHeight="1" x14ac:dyDescent="0.2">
      <c r="B1" s="56"/>
      <c r="C1" s="56"/>
      <c r="D1" s="56"/>
      <c r="E1" s="56"/>
      <c r="F1" s="56"/>
      <c r="G1" s="56"/>
    </row>
    <row r="2" spans="2:9" s="13" customFormat="1" ht="18.75" customHeight="1" x14ac:dyDescent="0.2">
      <c r="B2" s="57" t="s">
        <v>45</v>
      </c>
      <c r="C2" s="57"/>
      <c r="D2" s="57"/>
      <c r="E2" s="57"/>
      <c r="F2" s="57"/>
      <c r="G2" s="57"/>
    </row>
    <row r="3" spans="2:9" s="11" customFormat="1" ht="18.75" customHeight="1" x14ac:dyDescent="0.2">
      <c r="B3" s="58" t="s">
        <v>44</v>
      </c>
      <c r="C3" s="58"/>
      <c r="D3" s="58"/>
      <c r="E3" s="58"/>
      <c r="F3" s="58"/>
      <c r="G3" s="58"/>
    </row>
    <row r="4" spans="2:9" ht="18.75" customHeight="1" x14ac:dyDescent="0.2">
      <c r="B4" s="59" t="s">
        <v>26</v>
      </c>
      <c r="C4" s="59"/>
      <c r="D4" s="59"/>
      <c r="E4" s="59"/>
      <c r="F4" s="59"/>
      <c r="G4" s="59"/>
    </row>
    <row r="5" spans="2:9" ht="13.5" thickBot="1" x14ac:dyDescent="0.25"/>
    <row r="6" spans="2:9" s="11" customFormat="1" ht="53.25" customHeight="1" thickBot="1" x14ac:dyDescent="0.25">
      <c r="B6" s="39" t="s">
        <v>0</v>
      </c>
      <c r="C6" s="40" t="s">
        <v>43</v>
      </c>
      <c r="D6" s="41" t="s">
        <v>56</v>
      </c>
      <c r="E6" s="40" t="s">
        <v>42</v>
      </c>
      <c r="F6" s="42" t="s">
        <v>57</v>
      </c>
      <c r="G6" s="43" t="s">
        <v>1</v>
      </c>
    </row>
    <row r="7" spans="2:9" s="13" customFormat="1" ht="20.25" customHeight="1" x14ac:dyDescent="0.2">
      <c r="B7" s="12" t="s">
        <v>55</v>
      </c>
      <c r="C7" s="1">
        <v>6567801</v>
      </c>
      <c r="D7" s="2">
        <v>142167</v>
      </c>
      <c r="E7" s="3">
        <f t="shared" ref="E7:E29" si="0">C7/D7/13*1000</f>
        <v>3553.6760397171042</v>
      </c>
      <c r="F7" s="3">
        <v>3042581</v>
      </c>
      <c r="G7" s="51">
        <f t="shared" ref="G7:G31" si="1">D7/F7*1000</f>
        <v>46.725789716033852</v>
      </c>
    </row>
    <row r="8" spans="2:9" s="13" customFormat="1" ht="20.25" customHeight="1" x14ac:dyDescent="0.2">
      <c r="B8" s="14" t="s">
        <v>3</v>
      </c>
      <c r="C8" s="1">
        <v>22783379.999999996</v>
      </c>
      <c r="D8" s="2">
        <v>568174</v>
      </c>
      <c r="E8" s="3">
        <f t="shared" si="0"/>
        <v>3084.5615820289067</v>
      </c>
      <c r="F8" s="3">
        <v>15052177</v>
      </c>
      <c r="G8" s="51">
        <f t="shared" si="1"/>
        <v>37.746965106774923</v>
      </c>
    </row>
    <row r="9" spans="2:9" s="13" customFormat="1" ht="20.25" customHeight="1" x14ac:dyDescent="0.2">
      <c r="B9" s="14" t="s">
        <v>4</v>
      </c>
      <c r="C9" s="1">
        <v>1273276.5935124399</v>
      </c>
      <c r="D9" s="2">
        <v>35310</v>
      </c>
      <c r="E9" s="3">
        <f t="shared" si="0"/>
        <v>2773.8417826992568</v>
      </c>
      <c r="F9" s="3">
        <v>388416</v>
      </c>
      <c r="G9" s="51">
        <f t="shared" si="1"/>
        <v>90.907686604053396</v>
      </c>
    </row>
    <row r="10" spans="2:9" s="13" customFormat="1" ht="20.25" customHeight="1" x14ac:dyDescent="0.2">
      <c r="B10" s="14" t="s">
        <v>5</v>
      </c>
      <c r="C10" s="1">
        <v>5258742</v>
      </c>
      <c r="D10" s="2">
        <v>105666</v>
      </c>
      <c r="E10" s="3">
        <f t="shared" si="0"/>
        <v>3828.2760337725981</v>
      </c>
      <c r="F10" s="3">
        <v>3340041</v>
      </c>
      <c r="G10" s="51">
        <f t="shared" si="1"/>
        <v>31.63613859829864</v>
      </c>
    </row>
    <row r="11" spans="2:9" s="13" customFormat="1" ht="20.25" customHeight="1" x14ac:dyDescent="0.2">
      <c r="B11" s="14" t="s">
        <v>6</v>
      </c>
      <c r="C11" s="1">
        <v>1736010</v>
      </c>
      <c r="D11" s="2">
        <v>46681</v>
      </c>
      <c r="E11" s="3">
        <f t="shared" si="0"/>
        <v>2860.6763087601121</v>
      </c>
      <c r="F11" s="3">
        <v>1013443</v>
      </c>
      <c r="G11" s="51">
        <f t="shared" si="1"/>
        <v>46.061791339029426</v>
      </c>
    </row>
    <row r="12" spans="2:9" s="13" customFormat="1" ht="20.25" customHeight="1" x14ac:dyDescent="0.2">
      <c r="B12" s="14" t="s">
        <v>58</v>
      </c>
      <c r="C12" s="1">
        <v>2722027.18</v>
      </c>
      <c r="D12" s="2">
        <v>51548</v>
      </c>
      <c r="E12" s="3">
        <f t="shared" si="0"/>
        <v>4061.9753657532042</v>
      </c>
      <c r="F12" s="3">
        <v>1052185</v>
      </c>
      <c r="G12" s="51">
        <f t="shared" si="1"/>
        <v>48.991384594914393</v>
      </c>
    </row>
    <row r="13" spans="2:9" s="13" customFormat="1" ht="20.25" customHeight="1" x14ac:dyDescent="0.2">
      <c r="B13" s="14" t="s">
        <v>8</v>
      </c>
      <c r="C13" s="1">
        <v>1628816.4009999998</v>
      </c>
      <c r="D13" s="2">
        <v>31333</v>
      </c>
      <c r="E13" s="3">
        <f t="shared" si="0"/>
        <v>3998.773475495238</v>
      </c>
      <c r="F13" s="3">
        <v>460684</v>
      </c>
      <c r="G13" s="51">
        <f t="shared" si="1"/>
        <v>68.014083406413079</v>
      </c>
    </row>
    <row r="14" spans="2:9" s="13" customFormat="1" ht="20.25" customHeight="1" x14ac:dyDescent="0.2">
      <c r="B14" s="14" t="s">
        <v>9</v>
      </c>
      <c r="C14" s="1">
        <v>2856460</v>
      </c>
      <c r="D14" s="2">
        <v>67745</v>
      </c>
      <c r="E14" s="3">
        <f t="shared" si="0"/>
        <v>3243.4525397843722</v>
      </c>
      <c r="F14" s="3">
        <v>1255787</v>
      </c>
      <c r="G14" s="51">
        <f t="shared" si="1"/>
        <v>53.946250438967752</v>
      </c>
    </row>
    <row r="15" spans="2:9" s="13" customFormat="1" ht="20.25" customHeight="1" x14ac:dyDescent="0.2">
      <c r="B15" s="14" t="s">
        <v>10</v>
      </c>
      <c r="C15" s="1">
        <v>1330462.87812</v>
      </c>
      <c r="D15" s="2">
        <v>35923</v>
      </c>
      <c r="E15" s="3">
        <f t="shared" si="0"/>
        <v>2848.9630130257237</v>
      </c>
      <c r="F15" s="3">
        <v>539883</v>
      </c>
      <c r="G15" s="51">
        <f t="shared" si="1"/>
        <v>66.538490747069275</v>
      </c>
    </row>
    <row r="16" spans="2:9" s="13" customFormat="1" ht="20.25" customHeight="1" x14ac:dyDescent="0.2">
      <c r="B16" s="14" t="s">
        <v>11</v>
      </c>
      <c r="C16" s="1">
        <v>1553668.9208699998</v>
      </c>
      <c r="D16" s="2">
        <v>45146</v>
      </c>
      <c r="E16" s="3">
        <f t="shared" si="0"/>
        <v>2647.2554359871724</v>
      </c>
      <c r="F16" s="3">
        <v>679975</v>
      </c>
      <c r="G16" s="51">
        <f t="shared" si="1"/>
        <v>66.393617412404865</v>
      </c>
      <c r="I16" s="35"/>
    </row>
    <row r="17" spans="1:7" s="13" customFormat="1" ht="20.25" customHeight="1" x14ac:dyDescent="0.2">
      <c r="B17" s="12" t="s">
        <v>49</v>
      </c>
      <c r="C17" s="1">
        <v>1036747.6552400001</v>
      </c>
      <c r="D17" s="2">
        <v>19605</v>
      </c>
      <c r="E17" s="3">
        <f t="shared" si="0"/>
        <v>4067.8306367684859</v>
      </c>
      <c r="F17" s="3">
        <v>333550</v>
      </c>
      <c r="G17" s="51">
        <f t="shared" si="1"/>
        <v>58.776795083195921</v>
      </c>
    </row>
    <row r="18" spans="1:7" s="13" customFormat="1" ht="20.25" customHeight="1" x14ac:dyDescent="0.2">
      <c r="B18" s="14" t="s">
        <v>12</v>
      </c>
      <c r="C18" s="1">
        <v>876275.79640999972</v>
      </c>
      <c r="D18" s="2">
        <v>28152</v>
      </c>
      <c r="E18" s="3">
        <f t="shared" si="0"/>
        <v>2394.3531718200097</v>
      </c>
      <c r="F18" s="3">
        <v>341207</v>
      </c>
      <c r="G18" s="51">
        <f t="shared" si="1"/>
        <v>82.507099795725182</v>
      </c>
    </row>
    <row r="19" spans="1:7" s="13" customFormat="1" ht="20.25" customHeight="1" x14ac:dyDescent="0.2">
      <c r="B19" s="14" t="s">
        <v>13</v>
      </c>
      <c r="C19" s="2">
        <v>2991100</v>
      </c>
      <c r="D19" s="2">
        <v>74523</v>
      </c>
      <c r="E19" s="3">
        <f t="shared" si="0"/>
        <v>3087.430932525735</v>
      </c>
      <c r="F19" s="3">
        <v>1729660</v>
      </c>
      <c r="G19" s="51">
        <f t="shared" si="1"/>
        <v>43.085346253020823</v>
      </c>
    </row>
    <row r="20" spans="1:7" s="13" customFormat="1" ht="20.25" customHeight="1" x14ac:dyDescent="0.2">
      <c r="B20" s="14" t="s">
        <v>14</v>
      </c>
      <c r="C20" s="1">
        <v>1449390</v>
      </c>
      <c r="D20" s="2">
        <v>50853</v>
      </c>
      <c r="E20" s="3">
        <f t="shared" si="0"/>
        <v>2192.4279484305443</v>
      </c>
      <c r="F20" s="3">
        <v>1077987</v>
      </c>
      <c r="G20" s="51">
        <f t="shared" si="1"/>
        <v>47.174038276899445</v>
      </c>
    </row>
    <row r="21" spans="1:7" s="13" customFormat="1" ht="20.25" customHeight="1" x14ac:dyDescent="0.2">
      <c r="B21" s="14" t="s">
        <v>15</v>
      </c>
      <c r="C21" s="1">
        <v>2680742.0690000001</v>
      </c>
      <c r="D21" s="2">
        <v>53092</v>
      </c>
      <c r="E21" s="3">
        <f t="shared" si="0"/>
        <v>3884.03014361138</v>
      </c>
      <c r="F21" s="3">
        <v>547742</v>
      </c>
      <c r="G21" s="51">
        <f t="shared" si="1"/>
        <v>96.9288460625623</v>
      </c>
    </row>
    <row r="22" spans="1:7" s="13" customFormat="1" ht="20.25" customHeight="1" x14ac:dyDescent="0.2">
      <c r="B22" s="14" t="s">
        <v>16</v>
      </c>
      <c r="C22" s="1">
        <v>1581643.2660399997</v>
      </c>
      <c r="D22" s="2">
        <v>40948</v>
      </c>
      <c r="E22" s="3">
        <f t="shared" si="0"/>
        <v>2971.2041276365517</v>
      </c>
      <c r="F22" s="3">
        <v>597476</v>
      </c>
      <c r="G22" s="51">
        <f t="shared" si="1"/>
        <v>68.534970442327378</v>
      </c>
    </row>
    <row r="23" spans="1:7" s="13" customFormat="1" ht="20.25" customHeight="1" x14ac:dyDescent="0.2">
      <c r="B23" s="14" t="s">
        <v>17</v>
      </c>
      <c r="C23" s="1">
        <v>1683304.16</v>
      </c>
      <c r="D23" s="2">
        <v>51757</v>
      </c>
      <c r="E23" s="3">
        <f t="shared" si="0"/>
        <v>2501.7859494293598</v>
      </c>
      <c r="F23" s="3">
        <v>1224022</v>
      </c>
      <c r="G23" s="51">
        <f t="shared" si="1"/>
        <v>42.284370705755286</v>
      </c>
    </row>
    <row r="24" spans="1:7" s="13" customFormat="1" ht="20.25" customHeight="1" x14ac:dyDescent="0.2">
      <c r="B24" s="14" t="s">
        <v>18</v>
      </c>
      <c r="C24" s="1">
        <v>1327103.5040000004</v>
      </c>
      <c r="D24" s="2">
        <v>29252</v>
      </c>
      <c r="E24" s="3">
        <f t="shared" si="0"/>
        <v>3489.8429140939752</v>
      </c>
      <c r="F24" s="3">
        <v>695640</v>
      </c>
      <c r="G24" s="51">
        <f t="shared" si="1"/>
        <v>42.050485883502965</v>
      </c>
    </row>
    <row r="25" spans="1:7" s="13" customFormat="1" ht="20.25" customHeight="1" x14ac:dyDescent="0.2">
      <c r="B25" s="12" t="s">
        <v>50</v>
      </c>
      <c r="C25" s="1">
        <v>727252.28960000013</v>
      </c>
      <c r="D25" s="2">
        <v>18824</v>
      </c>
      <c r="E25" s="3">
        <f t="shared" si="0"/>
        <v>2971.8701559384099</v>
      </c>
      <c r="F25" s="3">
        <v>437544</v>
      </c>
      <c r="G25" s="51">
        <f t="shared" si="1"/>
        <v>43.021958934415736</v>
      </c>
    </row>
    <row r="26" spans="1:7" s="13" customFormat="1" ht="20.25" customHeight="1" x14ac:dyDescent="0.2">
      <c r="B26" s="14" t="s">
        <v>19</v>
      </c>
      <c r="C26" s="1">
        <v>1762737.2860000001</v>
      </c>
      <c r="D26" s="2">
        <v>23996</v>
      </c>
      <c r="E26" s="3">
        <f t="shared" si="0"/>
        <v>5650.7407837203637</v>
      </c>
      <c r="F26" s="3">
        <v>225920</v>
      </c>
      <c r="G26" s="51">
        <f t="shared" si="1"/>
        <v>106.21458923512749</v>
      </c>
    </row>
    <row r="27" spans="1:7" s="13" customFormat="1" ht="20.25" customHeight="1" x14ac:dyDescent="0.2">
      <c r="B27" s="14" t="s">
        <v>20</v>
      </c>
      <c r="C27" s="1">
        <v>5582908.1300000008</v>
      </c>
      <c r="D27" s="2">
        <v>108564</v>
      </c>
      <c r="E27" s="3">
        <f t="shared" si="0"/>
        <v>3955.7723696479643</v>
      </c>
      <c r="F27" s="3">
        <v>3242551</v>
      </c>
      <c r="G27" s="51">
        <f t="shared" si="1"/>
        <v>33.481046250313412</v>
      </c>
    </row>
    <row r="28" spans="1:7" s="13" customFormat="1" ht="20.25" customHeight="1" x14ac:dyDescent="0.2">
      <c r="B28" s="14" t="s">
        <v>41</v>
      </c>
      <c r="C28" s="1">
        <v>1262898</v>
      </c>
      <c r="D28" s="2">
        <v>43948</v>
      </c>
      <c r="E28" s="3">
        <f t="shared" si="0"/>
        <v>2210.4760171111311</v>
      </c>
      <c r="F28" s="3">
        <v>865546</v>
      </c>
      <c r="G28" s="51">
        <f t="shared" si="1"/>
        <v>50.774886603369438</v>
      </c>
    </row>
    <row r="29" spans="1:7" s="13" customFormat="1" ht="20.25" customHeight="1" x14ac:dyDescent="0.2">
      <c r="B29" s="14" t="s">
        <v>21</v>
      </c>
      <c r="C29" s="1">
        <v>2434211.4360199999</v>
      </c>
      <c r="D29" s="2">
        <v>66608</v>
      </c>
      <c r="E29" s="3">
        <f t="shared" si="0"/>
        <v>2811.1793409200091</v>
      </c>
      <c r="F29" s="3">
        <v>1475384</v>
      </c>
      <c r="G29" s="51">
        <f t="shared" si="1"/>
        <v>45.146212782570508</v>
      </c>
    </row>
    <row r="30" spans="1:7" s="13" customFormat="1" ht="20.25" customHeight="1" thickBot="1" x14ac:dyDescent="0.25">
      <c r="B30" s="14" t="s">
        <v>40</v>
      </c>
      <c r="C30" s="2">
        <v>1148859.1602</v>
      </c>
      <c r="D30" s="2">
        <v>15588</v>
      </c>
      <c r="E30" s="3">
        <f>C30/D30/13*1000</f>
        <v>5669.3470332208208</v>
      </c>
      <c r="F30" s="3">
        <v>126212</v>
      </c>
      <c r="G30" s="51">
        <f t="shared" si="1"/>
        <v>123.50648115868539</v>
      </c>
    </row>
    <row r="31" spans="1:7" s="13" customFormat="1" ht="26.25" customHeight="1" thickBot="1" x14ac:dyDescent="0.25">
      <c r="A31" s="15"/>
      <c r="B31" s="49" t="s">
        <v>22</v>
      </c>
      <c r="C31" s="50">
        <f>SUM(C7:C30)</f>
        <v>74255817.726012424</v>
      </c>
      <c r="D31" s="50">
        <f>SUM(D7:D30)</f>
        <v>1755403</v>
      </c>
      <c r="E31" s="50">
        <f>C31/D31/13*1000</f>
        <v>3253.9456631463158</v>
      </c>
      <c r="F31" s="50">
        <f>SUM(F7:F30)</f>
        <v>39745613</v>
      </c>
      <c r="G31" s="52">
        <f t="shared" si="1"/>
        <v>44.165956127032182</v>
      </c>
    </row>
    <row r="32" spans="1:7" ht="8.25" customHeight="1" x14ac:dyDescent="0.2"/>
    <row r="33" spans="1:7" x14ac:dyDescent="0.2">
      <c r="B33" s="60" t="s">
        <v>46</v>
      </c>
      <c r="C33" s="60"/>
      <c r="D33" s="60"/>
      <c r="E33" s="60"/>
      <c r="F33" s="60"/>
      <c r="G33" s="60"/>
    </row>
    <row r="34" spans="1:7" x14ac:dyDescent="0.2">
      <c r="B34" s="60" t="s">
        <v>60</v>
      </c>
      <c r="C34" s="60"/>
      <c r="D34" s="60"/>
      <c r="E34" s="60"/>
      <c r="F34" s="60"/>
      <c r="G34" s="60"/>
    </row>
    <row r="35" spans="1:7" x14ac:dyDescent="0.2">
      <c r="A35" s="18"/>
      <c r="B35" s="55" t="s">
        <v>59</v>
      </c>
      <c r="C35" s="55"/>
      <c r="D35" s="55"/>
      <c r="E35" s="55"/>
      <c r="F35" s="55"/>
      <c r="G35" s="55"/>
    </row>
    <row r="36" spans="1:7" x14ac:dyDescent="0.2">
      <c r="A36" s="18"/>
      <c r="B36" s="55" t="s">
        <v>48</v>
      </c>
      <c r="C36" s="55"/>
      <c r="D36" s="55"/>
      <c r="E36" s="55"/>
      <c r="F36" s="55"/>
      <c r="G36" s="55"/>
    </row>
    <row r="37" spans="1:7" x14ac:dyDescent="0.2">
      <c r="B37" s="55" t="s">
        <v>62</v>
      </c>
      <c r="C37" s="55"/>
      <c r="D37" s="55"/>
      <c r="E37" s="55"/>
      <c r="F37" s="55"/>
      <c r="G37" s="55"/>
    </row>
    <row r="38" spans="1:7" x14ac:dyDescent="0.2">
      <c r="B38" s="54" t="s">
        <v>61</v>
      </c>
      <c r="C38" s="53"/>
      <c r="D38" s="53"/>
      <c r="E38" s="53"/>
      <c r="F38" s="53"/>
      <c r="G38" s="53"/>
    </row>
    <row r="39" spans="1:7" x14ac:dyDescent="0.2">
      <c r="B39" s="61" t="s">
        <v>39</v>
      </c>
      <c r="C39" s="61"/>
      <c r="D39" s="61"/>
      <c r="E39" s="61"/>
      <c r="F39" s="61"/>
      <c r="G39" s="61"/>
    </row>
    <row r="40" spans="1:7" x14ac:dyDescent="0.2">
      <c r="B40" s="55"/>
      <c r="C40" s="55"/>
      <c r="D40" s="55"/>
      <c r="E40" s="55"/>
      <c r="F40" s="55"/>
      <c r="G40" s="55"/>
    </row>
    <row r="41" spans="1:7" x14ac:dyDescent="0.2">
      <c r="B41" s="55"/>
      <c r="C41" s="55"/>
      <c r="D41" s="55"/>
      <c r="E41" s="55"/>
      <c r="F41" s="55"/>
      <c r="G41" s="55"/>
    </row>
    <row r="42" spans="1:7" x14ac:dyDescent="0.2">
      <c r="B42" s="55"/>
      <c r="C42" s="55"/>
      <c r="D42" s="55"/>
      <c r="E42" s="55"/>
      <c r="F42" s="55"/>
      <c r="G42" s="55"/>
    </row>
    <row r="43" spans="1:7" x14ac:dyDescent="0.2">
      <c r="B43" s="55"/>
      <c r="C43" s="55"/>
      <c r="D43" s="55"/>
      <c r="E43" s="55"/>
      <c r="F43" s="55"/>
      <c r="G43" s="55"/>
    </row>
  </sheetData>
  <mergeCells count="14">
    <mergeCell ref="B40:G40"/>
    <mergeCell ref="B41:G41"/>
    <mergeCell ref="B42:G42"/>
    <mergeCell ref="B43:G43"/>
    <mergeCell ref="B1:G1"/>
    <mergeCell ref="B2:G2"/>
    <mergeCell ref="B3:G3"/>
    <mergeCell ref="B4:G4"/>
    <mergeCell ref="B39:G39"/>
    <mergeCell ref="B34:G34"/>
    <mergeCell ref="B35:G35"/>
    <mergeCell ref="B36:G36"/>
    <mergeCell ref="B37:G37"/>
    <mergeCell ref="B33:G33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I43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23.7109375" style="10" customWidth="1"/>
    <col min="4" max="4" width="17" style="10" customWidth="1"/>
    <col min="5" max="7" width="19.42578125" style="10" customWidth="1"/>
    <col min="8" max="8" width="3.7109375" style="10" customWidth="1"/>
    <col min="9" max="16384" width="11.42578125" style="10"/>
  </cols>
  <sheetData>
    <row r="1" spans="2:9" ht="63" customHeight="1" x14ac:dyDescent="0.2">
      <c r="B1" s="56"/>
      <c r="C1" s="56"/>
      <c r="D1" s="56"/>
      <c r="E1" s="56"/>
      <c r="F1" s="56"/>
      <c r="G1" s="56"/>
    </row>
    <row r="2" spans="2:9" s="13" customFormat="1" ht="18.75" customHeight="1" x14ac:dyDescent="0.2">
      <c r="B2" s="57" t="s">
        <v>45</v>
      </c>
      <c r="C2" s="57"/>
      <c r="D2" s="57"/>
      <c r="E2" s="57"/>
      <c r="F2" s="57"/>
      <c r="G2" s="57"/>
    </row>
    <row r="3" spans="2:9" s="11" customFormat="1" ht="18.75" customHeight="1" x14ac:dyDescent="0.2">
      <c r="B3" s="58" t="s">
        <v>44</v>
      </c>
      <c r="C3" s="58"/>
      <c r="D3" s="58"/>
      <c r="E3" s="58"/>
      <c r="F3" s="58"/>
      <c r="G3" s="58"/>
    </row>
    <row r="4" spans="2:9" ht="18.75" customHeight="1" x14ac:dyDescent="0.2">
      <c r="B4" s="59" t="s">
        <v>27</v>
      </c>
      <c r="C4" s="59"/>
      <c r="D4" s="59"/>
      <c r="E4" s="59"/>
      <c r="F4" s="59"/>
      <c r="G4" s="59"/>
    </row>
    <row r="5" spans="2:9" ht="13.5" thickBot="1" x14ac:dyDescent="0.25"/>
    <row r="6" spans="2:9" s="11" customFormat="1" ht="53.25" customHeight="1" thickBot="1" x14ac:dyDescent="0.25">
      <c r="B6" s="39" t="s">
        <v>0</v>
      </c>
      <c r="C6" s="40" t="s">
        <v>43</v>
      </c>
      <c r="D6" s="41" t="s">
        <v>56</v>
      </c>
      <c r="E6" s="40" t="s">
        <v>42</v>
      </c>
      <c r="F6" s="42" t="s">
        <v>57</v>
      </c>
      <c r="G6" s="43" t="s">
        <v>1</v>
      </c>
    </row>
    <row r="7" spans="2:9" s="13" customFormat="1" ht="20.25" customHeight="1" x14ac:dyDescent="0.2">
      <c r="B7" s="12" t="s">
        <v>55</v>
      </c>
      <c r="C7" s="1">
        <v>8112013.9435899993</v>
      </c>
      <c r="D7" s="2">
        <v>139832</v>
      </c>
      <c r="E7" s="3">
        <f t="shared" ref="E7:E25" si="0">C7/D7/13*1000</f>
        <v>4462.5055250861469</v>
      </c>
      <c r="F7" s="3">
        <v>3050728</v>
      </c>
      <c r="G7" s="51">
        <f t="shared" ref="G7:G25" si="1">D7/F7*1000</f>
        <v>45.835616941267787</v>
      </c>
      <c r="I7" s="34"/>
    </row>
    <row r="8" spans="2:9" s="13" customFormat="1" ht="20.25" customHeight="1" x14ac:dyDescent="0.2">
      <c r="B8" s="14" t="s">
        <v>3</v>
      </c>
      <c r="C8" s="1">
        <v>28404880.000000004</v>
      </c>
      <c r="D8" s="2">
        <v>583866</v>
      </c>
      <c r="E8" s="3">
        <f t="shared" si="0"/>
        <v>3742.2812241691922</v>
      </c>
      <c r="F8" s="3">
        <v>15185336</v>
      </c>
      <c r="G8" s="51">
        <f t="shared" si="1"/>
        <v>38.449330327626598</v>
      </c>
    </row>
    <row r="9" spans="2:9" s="13" customFormat="1" ht="20.25" customHeight="1" x14ac:dyDescent="0.2">
      <c r="B9" s="14" t="s">
        <v>4</v>
      </c>
      <c r="C9" s="1">
        <v>1492016.7709999999</v>
      </c>
      <c r="D9" s="2">
        <v>35248</v>
      </c>
      <c r="E9" s="3">
        <f t="shared" si="0"/>
        <v>3256.086043070638</v>
      </c>
      <c r="F9" s="3">
        <v>396303</v>
      </c>
      <c r="G9" s="51">
        <f t="shared" si="1"/>
        <v>88.942046868179148</v>
      </c>
    </row>
    <row r="10" spans="2:9" s="13" customFormat="1" ht="20.25" customHeight="1" x14ac:dyDescent="0.2">
      <c r="B10" s="14" t="s">
        <v>5</v>
      </c>
      <c r="C10" s="1">
        <v>6536035.6010000007</v>
      </c>
      <c r="D10" s="2">
        <v>108838</v>
      </c>
      <c r="E10" s="3">
        <f t="shared" si="0"/>
        <v>4619.4524826594798</v>
      </c>
      <c r="F10" s="3">
        <v>3368609</v>
      </c>
      <c r="G10" s="51">
        <f t="shared" si="1"/>
        <v>32.309478482067817</v>
      </c>
    </row>
    <row r="11" spans="2:9" s="13" customFormat="1" ht="20.25" customHeight="1" x14ac:dyDescent="0.2">
      <c r="B11" s="14" t="s">
        <v>6</v>
      </c>
      <c r="C11" s="1">
        <v>2023109.9999999998</v>
      </c>
      <c r="D11" s="2">
        <v>53811</v>
      </c>
      <c r="E11" s="3">
        <f t="shared" si="0"/>
        <v>2892.045235246439</v>
      </c>
      <c r="F11" s="3">
        <v>1024575</v>
      </c>
      <c r="G11" s="51">
        <f t="shared" si="1"/>
        <v>52.52031330063685</v>
      </c>
    </row>
    <row r="12" spans="2:9" s="13" customFormat="1" ht="20.25" customHeight="1" x14ac:dyDescent="0.2">
      <c r="B12" s="12" t="s">
        <v>7</v>
      </c>
      <c r="C12" s="1">
        <v>3219078.7999999993</v>
      </c>
      <c r="D12" s="2">
        <v>55424</v>
      </c>
      <c r="E12" s="2">
        <f t="shared" si="0"/>
        <v>4467.7656999467044</v>
      </c>
      <c r="F12" s="3">
        <v>1061638</v>
      </c>
      <c r="G12" s="51">
        <f t="shared" si="1"/>
        <v>52.206119223313408</v>
      </c>
      <c r="H12" s="15"/>
    </row>
    <row r="13" spans="2:9" s="13" customFormat="1" ht="20.25" customHeight="1" x14ac:dyDescent="0.2">
      <c r="B13" s="14" t="s">
        <v>8</v>
      </c>
      <c r="C13" s="1">
        <v>1985986.3530000001</v>
      </c>
      <c r="D13" s="2">
        <v>34869</v>
      </c>
      <c r="E13" s="3">
        <f t="shared" si="0"/>
        <v>4381.2033898305081</v>
      </c>
      <c r="F13" s="3">
        <v>465750</v>
      </c>
      <c r="G13" s="51">
        <f t="shared" si="1"/>
        <v>74.866344605475049</v>
      </c>
    </row>
    <row r="14" spans="2:9" s="13" customFormat="1" ht="20.25" customHeight="1" x14ac:dyDescent="0.2">
      <c r="B14" s="14" t="s">
        <v>9</v>
      </c>
      <c r="C14" s="1">
        <v>3267916</v>
      </c>
      <c r="D14" s="2">
        <v>68789</v>
      </c>
      <c r="E14" s="3">
        <f t="shared" si="0"/>
        <v>3654.3365050539164</v>
      </c>
      <c r="F14" s="3">
        <v>1268979</v>
      </c>
      <c r="G14" s="51">
        <f t="shared" si="1"/>
        <v>54.208146864526519</v>
      </c>
    </row>
    <row r="15" spans="2:9" s="13" customFormat="1" ht="20.25" customHeight="1" x14ac:dyDescent="0.2">
      <c r="B15" s="14" t="s">
        <v>10</v>
      </c>
      <c r="C15" s="1">
        <v>1585880.6523200001</v>
      </c>
      <c r="D15" s="2">
        <v>36137</v>
      </c>
      <c r="E15" s="3">
        <f t="shared" si="0"/>
        <v>3375.7871270230171</v>
      </c>
      <c r="F15" s="3">
        <v>547726</v>
      </c>
      <c r="G15" s="51">
        <f t="shared" si="1"/>
        <v>65.976418866367482</v>
      </c>
    </row>
    <row r="16" spans="2:9" s="13" customFormat="1" ht="20.25" customHeight="1" x14ac:dyDescent="0.2">
      <c r="B16" s="14" t="s">
        <v>11</v>
      </c>
      <c r="C16" s="1">
        <v>1858810.0000000002</v>
      </c>
      <c r="D16" s="2">
        <v>47585</v>
      </c>
      <c r="E16" s="3">
        <f t="shared" si="0"/>
        <v>3004.8415386231927</v>
      </c>
      <c r="F16" s="3">
        <v>689231</v>
      </c>
      <c r="G16" s="51">
        <f t="shared" si="1"/>
        <v>69.04071349083253</v>
      </c>
      <c r="I16" s="35"/>
    </row>
    <row r="17" spans="1:9" s="13" customFormat="1" ht="20.25" customHeight="1" x14ac:dyDescent="0.2">
      <c r="B17" s="12" t="s">
        <v>49</v>
      </c>
      <c r="C17" s="1">
        <v>1264880.3589900001</v>
      </c>
      <c r="D17" s="2">
        <v>22297</v>
      </c>
      <c r="E17" s="3">
        <f t="shared" si="0"/>
        <v>4363.7479998689032</v>
      </c>
      <c r="F17" s="3">
        <v>337521</v>
      </c>
      <c r="G17" s="51">
        <f t="shared" si="1"/>
        <v>66.061074718313819</v>
      </c>
      <c r="I17" s="35"/>
    </row>
    <row r="18" spans="1:9" s="13" customFormat="1" ht="20.25" customHeight="1" x14ac:dyDescent="0.2">
      <c r="B18" s="14" t="s">
        <v>12</v>
      </c>
      <c r="C18" s="1">
        <v>1085331.0420500003</v>
      </c>
      <c r="D18" s="2">
        <v>29221</v>
      </c>
      <c r="E18" s="3">
        <f t="shared" si="0"/>
        <v>2857.0891904662881</v>
      </c>
      <c r="F18" s="3">
        <v>348251</v>
      </c>
      <c r="G18" s="51">
        <f t="shared" si="1"/>
        <v>83.90787104703216</v>
      </c>
    </row>
    <row r="19" spans="1:9" s="13" customFormat="1" ht="20.25" customHeight="1" x14ac:dyDescent="0.2">
      <c r="B19" s="14" t="s">
        <v>28</v>
      </c>
      <c r="C19" s="2">
        <v>3702169.9999999995</v>
      </c>
      <c r="D19" s="2">
        <v>76698</v>
      </c>
      <c r="E19" s="3">
        <f t="shared" si="0"/>
        <v>3713.0343384743755</v>
      </c>
      <c r="F19" s="3">
        <v>1747801</v>
      </c>
      <c r="G19" s="51">
        <f t="shared" si="1"/>
        <v>43.882570155297998</v>
      </c>
    </row>
    <row r="20" spans="1:9" s="13" customFormat="1" ht="20.25" customHeight="1" x14ac:dyDescent="0.2">
      <c r="B20" s="14" t="s">
        <v>14</v>
      </c>
      <c r="C20" s="1">
        <v>1767909.9999999995</v>
      </c>
      <c r="D20" s="2">
        <v>48709</v>
      </c>
      <c r="E20" s="3">
        <f t="shared" si="0"/>
        <v>2791.9496791779115</v>
      </c>
      <c r="F20" s="3">
        <v>1094636</v>
      </c>
      <c r="G20" s="51">
        <f t="shared" si="1"/>
        <v>44.497897017821444</v>
      </c>
    </row>
    <row r="21" spans="1:9" s="13" customFormat="1" ht="20.25" customHeight="1" x14ac:dyDescent="0.2">
      <c r="B21" s="14" t="s">
        <v>15</v>
      </c>
      <c r="C21" s="1">
        <v>3310729.9070000001</v>
      </c>
      <c r="D21" s="2">
        <v>54118</v>
      </c>
      <c r="E21" s="3">
        <f t="shared" si="0"/>
        <v>4705.8563011880024</v>
      </c>
      <c r="F21" s="3">
        <v>556528</v>
      </c>
      <c r="G21" s="51">
        <f t="shared" si="1"/>
        <v>97.24218727539315</v>
      </c>
    </row>
    <row r="22" spans="1:9" s="13" customFormat="1" ht="20.25" customHeight="1" x14ac:dyDescent="0.2">
      <c r="B22" s="14" t="s">
        <v>16</v>
      </c>
      <c r="C22" s="1">
        <v>1918351.03691</v>
      </c>
      <c r="D22" s="2">
        <v>41423</v>
      </c>
      <c r="E22" s="3">
        <f t="shared" si="0"/>
        <v>3562.4040841487172</v>
      </c>
      <c r="F22" s="3">
        <v>600688</v>
      </c>
      <c r="G22" s="51">
        <f t="shared" si="1"/>
        <v>68.959260048477745</v>
      </c>
    </row>
    <row r="23" spans="1:9" s="13" customFormat="1" ht="20.25" customHeight="1" x14ac:dyDescent="0.2">
      <c r="B23" s="14" t="s">
        <v>17</v>
      </c>
      <c r="C23" s="1">
        <v>2213305.3400000003</v>
      </c>
      <c r="D23" s="2">
        <v>56367</v>
      </c>
      <c r="E23" s="3">
        <f t="shared" si="0"/>
        <v>3020.4597889381548</v>
      </c>
      <c r="F23" s="3">
        <v>1245573</v>
      </c>
      <c r="G23" s="51">
        <f t="shared" si="1"/>
        <v>45.253871109922905</v>
      </c>
    </row>
    <row r="24" spans="1:9" s="13" customFormat="1" ht="20.25" customHeight="1" x14ac:dyDescent="0.2">
      <c r="B24" s="14" t="s">
        <v>18</v>
      </c>
      <c r="C24" s="1">
        <v>1573300</v>
      </c>
      <c r="D24" s="2">
        <v>30376</v>
      </c>
      <c r="E24" s="3">
        <f t="shared" si="0"/>
        <v>3984.1676627296852</v>
      </c>
      <c r="F24" s="3">
        <v>705378</v>
      </c>
      <c r="G24" s="51">
        <f t="shared" si="1"/>
        <v>43.063435491325222</v>
      </c>
    </row>
    <row r="25" spans="1:9" s="13" customFormat="1" ht="20.25" customHeight="1" x14ac:dyDescent="0.2">
      <c r="B25" s="12" t="s">
        <v>50</v>
      </c>
      <c r="C25" s="1">
        <v>844246.56862000038</v>
      </c>
      <c r="D25" s="2">
        <v>19737</v>
      </c>
      <c r="E25" s="3">
        <f t="shared" si="0"/>
        <v>3290.3705598621891</v>
      </c>
      <c r="F25" s="3">
        <v>447138</v>
      </c>
      <c r="G25" s="51">
        <f t="shared" si="1"/>
        <v>44.140735075077494</v>
      </c>
    </row>
    <row r="26" spans="1:9" s="13" customFormat="1" ht="20.25" customHeight="1" x14ac:dyDescent="0.2">
      <c r="B26" s="14" t="s">
        <v>19</v>
      </c>
      <c r="C26" s="1">
        <v>1991300.325</v>
      </c>
      <c r="D26" s="2">
        <v>24963</v>
      </c>
      <c r="E26" s="3">
        <f t="shared" ref="E26:E31" si="2">C26/D26/13*1000</f>
        <v>6136.1594390467117</v>
      </c>
      <c r="F26" s="3">
        <v>230005</v>
      </c>
      <c r="G26" s="51">
        <f t="shared" ref="G26:G31" si="3">D26/F26*1000</f>
        <v>108.53242320819112</v>
      </c>
    </row>
    <row r="27" spans="1:9" s="13" customFormat="1" ht="20.25" customHeight="1" x14ac:dyDescent="0.2">
      <c r="B27" s="14" t="s">
        <v>38</v>
      </c>
      <c r="C27" s="1">
        <v>6905700.7599999988</v>
      </c>
      <c r="D27" s="2">
        <v>108887</v>
      </c>
      <c r="E27" s="3">
        <f t="shared" si="2"/>
        <v>4878.5231549150103</v>
      </c>
      <c r="F27" s="3">
        <v>3264095</v>
      </c>
      <c r="G27" s="51">
        <f t="shared" si="3"/>
        <v>33.359016817831588</v>
      </c>
    </row>
    <row r="28" spans="1:9" s="13" customFormat="1" ht="20.25" customHeight="1" x14ac:dyDescent="0.2">
      <c r="B28" s="14" t="s">
        <v>41</v>
      </c>
      <c r="C28" s="1">
        <v>1476513</v>
      </c>
      <c r="D28" s="2">
        <v>43977</v>
      </c>
      <c r="E28" s="3">
        <f t="shared" si="2"/>
        <v>2582.6664637634008</v>
      </c>
      <c r="F28" s="3">
        <v>874519</v>
      </c>
      <c r="G28" s="51">
        <f t="shared" si="3"/>
        <v>50.287072093345031</v>
      </c>
    </row>
    <row r="29" spans="1:9" s="13" customFormat="1" ht="20.25" customHeight="1" x14ac:dyDescent="0.2">
      <c r="B29" s="14" t="s">
        <v>21</v>
      </c>
      <c r="C29" s="1">
        <v>2940618</v>
      </c>
      <c r="D29" s="2">
        <v>69766</v>
      </c>
      <c r="E29" s="3">
        <f t="shared" si="2"/>
        <v>3242.2868534154836</v>
      </c>
      <c r="F29" s="3">
        <v>1493488</v>
      </c>
      <c r="G29" s="51">
        <f t="shared" si="3"/>
        <v>46.71346539108449</v>
      </c>
    </row>
    <row r="30" spans="1:9" s="13" customFormat="1" ht="20.25" customHeight="1" thickBot="1" x14ac:dyDescent="0.25">
      <c r="B30" s="14" t="s">
        <v>40</v>
      </c>
      <c r="C30" s="2">
        <v>1313984</v>
      </c>
      <c r="D30" s="2">
        <v>15757</v>
      </c>
      <c r="E30" s="3">
        <f t="shared" si="2"/>
        <v>6414.6533164747289</v>
      </c>
      <c r="F30" s="3">
        <v>129929</v>
      </c>
      <c r="G30" s="51">
        <f t="shared" si="3"/>
        <v>121.27392652910436</v>
      </c>
    </row>
    <row r="31" spans="1:9" s="13" customFormat="1" ht="26.25" customHeight="1" thickBot="1" x14ac:dyDescent="0.25">
      <c r="A31" s="15"/>
      <c r="B31" s="49" t="s">
        <v>22</v>
      </c>
      <c r="C31" s="50">
        <f>SUM(C7:C30)</f>
        <v>90794068.459480003</v>
      </c>
      <c r="D31" s="50">
        <f>SUM(D7:D30)</f>
        <v>1806695</v>
      </c>
      <c r="E31" s="50">
        <f t="shared" si="2"/>
        <v>3865.7101017425148</v>
      </c>
      <c r="F31" s="50">
        <f>SUM(F7:F30)</f>
        <v>40134425</v>
      </c>
      <c r="G31" s="52">
        <f t="shared" si="3"/>
        <v>45.016092793157</v>
      </c>
    </row>
    <row r="32" spans="1:9" s="13" customFormat="1" ht="8.25" customHeight="1" x14ac:dyDescent="0.2">
      <c r="A32" s="15"/>
      <c r="B32" s="25"/>
      <c r="C32" s="32"/>
      <c r="D32" s="32"/>
      <c r="E32" s="32"/>
      <c r="F32" s="38"/>
      <c r="G32" s="32"/>
    </row>
    <row r="33" spans="1:7" x14ac:dyDescent="0.2">
      <c r="B33" s="60" t="s">
        <v>46</v>
      </c>
      <c r="C33" s="60"/>
      <c r="D33" s="60"/>
      <c r="E33" s="60"/>
      <c r="F33" s="60"/>
      <c r="G33" s="60"/>
    </row>
    <row r="34" spans="1:7" x14ac:dyDescent="0.2">
      <c r="B34" s="60" t="s">
        <v>60</v>
      </c>
      <c r="C34" s="60"/>
      <c r="D34" s="60"/>
      <c r="E34" s="60"/>
      <c r="F34" s="60"/>
      <c r="G34" s="60"/>
    </row>
    <row r="35" spans="1:7" x14ac:dyDescent="0.2">
      <c r="A35" s="18"/>
      <c r="B35" s="55" t="s">
        <v>59</v>
      </c>
      <c r="C35" s="55"/>
      <c r="D35" s="55"/>
      <c r="E35" s="55"/>
      <c r="F35" s="55"/>
      <c r="G35" s="55"/>
    </row>
    <row r="36" spans="1:7" x14ac:dyDescent="0.2">
      <c r="A36" s="18"/>
      <c r="B36" s="55" t="s">
        <v>48</v>
      </c>
      <c r="C36" s="55"/>
      <c r="D36" s="55"/>
      <c r="E36" s="55"/>
      <c r="F36" s="55"/>
      <c r="G36" s="55"/>
    </row>
    <row r="37" spans="1:7" x14ac:dyDescent="0.2">
      <c r="B37" s="55"/>
      <c r="C37" s="55"/>
      <c r="D37" s="55"/>
      <c r="E37" s="55"/>
      <c r="F37" s="55"/>
      <c r="G37" s="55"/>
    </row>
    <row r="38" spans="1:7" x14ac:dyDescent="0.2">
      <c r="B38" s="54" t="s">
        <v>61</v>
      </c>
      <c r="C38" s="53"/>
      <c r="D38" s="53"/>
      <c r="E38" s="53"/>
      <c r="F38" s="53"/>
      <c r="G38" s="53"/>
    </row>
    <row r="39" spans="1:7" x14ac:dyDescent="0.2">
      <c r="B39" s="61" t="s">
        <v>39</v>
      </c>
      <c r="C39" s="61"/>
      <c r="D39" s="61"/>
      <c r="E39" s="61"/>
      <c r="F39" s="61"/>
      <c r="G39" s="61"/>
    </row>
    <row r="40" spans="1:7" x14ac:dyDescent="0.2">
      <c r="B40" s="55"/>
      <c r="C40" s="55"/>
      <c r="D40" s="55"/>
      <c r="E40" s="55"/>
      <c r="F40" s="55"/>
      <c r="G40" s="55"/>
    </row>
    <row r="41" spans="1:7" x14ac:dyDescent="0.2">
      <c r="B41" s="55"/>
      <c r="C41" s="55"/>
      <c r="D41" s="55"/>
      <c r="E41" s="55"/>
      <c r="F41" s="55"/>
      <c r="G41" s="55"/>
    </row>
    <row r="42" spans="1:7" x14ac:dyDescent="0.2">
      <c r="B42" s="55"/>
      <c r="C42" s="55"/>
      <c r="D42" s="55"/>
      <c r="E42" s="55"/>
      <c r="F42" s="55"/>
      <c r="G42" s="55"/>
    </row>
    <row r="43" spans="1:7" x14ac:dyDescent="0.2">
      <c r="B43" s="55"/>
      <c r="C43" s="55"/>
      <c r="D43" s="55"/>
      <c r="E43" s="55"/>
      <c r="F43" s="55"/>
      <c r="G43" s="55"/>
    </row>
  </sheetData>
  <mergeCells count="14">
    <mergeCell ref="B43:G43"/>
    <mergeCell ref="B1:G1"/>
    <mergeCell ref="B2:G2"/>
    <mergeCell ref="B3:G3"/>
    <mergeCell ref="B4:G4"/>
    <mergeCell ref="B36:G36"/>
    <mergeCell ref="B37:G37"/>
    <mergeCell ref="B34:G34"/>
    <mergeCell ref="B35:G35"/>
    <mergeCell ref="B39:G39"/>
    <mergeCell ref="B40:G40"/>
    <mergeCell ref="B41:G41"/>
    <mergeCell ref="B42:G42"/>
    <mergeCell ref="B33:G33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I43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20" customWidth="1"/>
    <col min="2" max="2" width="27.140625" style="20" customWidth="1"/>
    <col min="3" max="3" width="23.7109375" style="20" customWidth="1"/>
    <col min="4" max="4" width="17" style="20" customWidth="1"/>
    <col min="5" max="7" width="19.42578125" style="20" customWidth="1"/>
    <col min="8" max="8" width="3.7109375" style="20" customWidth="1"/>
    <col min="9" max="16384" width="11.42578125" style="20"/>
  </cols>
  <sheetData>
    <row r="1" spans="2:9" ht="63" customHeight="1" x14ac:dyDescent="0.2">
      <c r="B1" s="62"/>
      <c r="C1" s="62"/>
      <c r="D1" s="62"/>
      <c r="E1" s="62"/>
      <c r="F1" s="62"/>
      <c r="G1" s="62"/>
    </row>
    <row r="2" spans="2:9" s="22" customFormat="1" ht="18.75" customHeight="1" x14ac:dyDescent="0.2">
      <c r="B2" s="57" t="s">
        <v>45</v>
      </c>
      <c r="C2" s="57"/>
      <c r="D2" s="57"/>
      <c r="E2" s="57"/>
      <c r="F2" s="57"/>
      <c r="G2" s="57"/>
    </row>
    <row r="3" spans="2:9" s="21" customFormat="1" ht="18.75" customHeight="1" x14ac:dyDescent="0.2">
      <c r="B3" s="58" t="s">
        <v>44</v>
      </c>
      <c r="C3" s="58"/>
      <c r="D3" s="58"/>
      <c r="E3" s="58"/>
      <c r="F3" s="58"/>
      <c r="G3" s="58"/>
    </row>
    <row r="4" spans="2:9" ht="18.75" customHeight="1" x14ac:dyDescent="0.2">
      <c r="B4" s="63" t="s">
        <v>29</v>
      </c>
      <c r="C4" s="63"/>
      <c r="D4" s="63"/>
      <c r="E4" s="63"/>
      <c r="F4" s="63"/>
      <c r="G4" s="63"/>
    </row>
    <row r="5" spans="2:9" ht="13.5" thickBot="1" x14ac:dyDescent="0.25">
      <c r="B5" s="33"/>
    </row>
    <row r="6" spans="2:9" s="21" customFormat="1" ht="53.25" customHeight="1" thickBot="1" x14ac:dyDescent="0.25">
      <c r="B6" s="44" t="s">
        <v>30</v>
      </c>
      <c r="C6" s="45" t="s">
        <v>43</v>
      </c>
      <c r="D6" s="41" t="s">
        <v>56</v>
      </c>
      <c r="E6" s="40" t="s">
        <v>42</v>
      </c>
      <c r="F6" s="42" t="s">
        <v>57</v>
      </c>
      <c r="G6" s="46" t="s">
        <v>1</v>
      </c>
    </row>
    <row r="7" spans="2:9" s="22" customFormat="1" ht="20.25" customHeight="1" x14ac:dyDescent="0.2">
      <c r="B7" s="12" t="s">
        <v>55</v>
      </c>
      <c r="C7" s="1">
        <v>9805661.3620000035</v>
      </c>
      <c r="D7" s="2">
        <v>145548</v>
      </c>
      <c r="E7" s="4">
        <f t="shared" ref="E7:E31" si="0">C7/D7/13*1000</f>
        <v>5182.356633074789</v>
      </c>
      <c r="F7" s="5">
        <v>3028481</v>
      </c>
      <c r="G7" s="51">
        <f>D7/F7*1000</f>
        <v>48.059736877992627</v>
      </c>
      <c r="I7" s="29"/>
    </row>
    <row r="8" spans="2:9" s="22" customFormat="1" ht="20.25" customHeight="1" x14ac:dyDescent="0.2">
      <c r="B8" s="24" t="s">
        <v>3</v>
      </c>
      <c r="C8" s="1">
        <v>33569562.999999993</v>
      </c>
      <c r="D8" s="2">
        <v>619673</v>
      </c>
      <c r="E8" s="5">
        <f t="shared" si="0"/>
        <v>4167.1560273290534</v>
      </c>
      <c r="F8" s="5">
        <v>15716942</v>
      </c>
      <c r="G8" s="51">
        <f>D8/F8*1000</f>
        <v>39.427071754798099</v>
      </c>
      <c r="H8" s="25"/>
      <c r="I8" s="29"/>
    </row>
    <row r="9" spans="2:9" s="22" customFormat="1" ht="20.25" customHeight="1" x14ac:dyDescent="0.2">
      <c r="B9" s="24" t="s">
        <v>4</v>
      </c>
      <c r="C9" s="1">
        <v>1808241.7969883652</v>
      </c>
      <c r="D9" s="2">
        <v>36412</v>
      </c>
      <c r="E9" s="5">
        <f t="shared" si="0"/>
        <v>3820.0462167763058</v>
      </c>
      <c r="F9" s="5">
        <v>377676</v>
      </c>
      <c r="G9" s="51">
        <f t="shared" ref="G9:G31" si="1">D9/F9*1000</f>
        <v>96.410680053802722</v>
      </c>
      <c r="I9" s="29"/>
    </row>
    <row r="10" spans="2:9" s="22" customFormat="1" ht="20.25" customHeight="1" x14ac:dyDescent="0.2">
      <c r="B10" s="24" t="s">
        <v>5</v>
      </c>
      <c r="C10" s="1">
        <v>8120066</v>
      </c>
      <c r="D10" s="2">
        <v>113293</v>
      </c>
      <c r="E10" s="5">
        <f t="shared" si="0"/>
        <v>5513.3191065508154</v>
      </c>
      <c r="F10" s="5">
        <v>3373025</v>
      </c>
      <c r="G10" s="51">
        <f t="shared" si="1"/>
        <v>33.587951467896026</v>
      </c>
      <c r="H10" s="25"/>
      <c r="I10" s="32"/>
    </row>
    <row r="11" spans="2:9" s="22" customFormat="1" ht="20.25" customHeight="1" x14ac:dyDescent="0.2">
      <c r="B11" s="24" t="s">
        <v>6</v>
      </c>
      <c r="C11" s="1">
        <v>2576210</v>
      </c>
      <c r="D11" s="2">
        <v>51155</v>
      </c>
      <c r="E11" s="5">
        <f t="shared" si="0"/>
        <v>3873.9126185123641</v>
      </c>
      <c r="F11" s="5">
        <v>1017731</v>
      </c>
      <c r="G11" s="51">
        <f t="shared" si="1"/>
        <v>50.263773040223796</v>
      </c>
      <c r="I11" s="29"/>
    </row>
    <row r="12" spans="2:9" s="22" customFormat="1" ht="20.25" customHeight="1" x14ac:dyDescent="0.2">
      <c r="B12" s="24" t="s">
        <v>7</v>
      </c>
      <c r="C12" s="1">
        <v>3704546.0399999991</v>
      </c>
      <c r="D12" s="2">
        <v>58199</v>
      </c>
      <c r="E12" s="5">
        <f t="shared" si="0"/>
        <v>4896.3913469303588</v>
      </c>
      <c r="F12" s="5">
        <v>1080017</v>
      </c>
      <c r="G12" s="51">
        <f t="shared" si="1"/>
        <v>53.887114739860579</v>
      </c>
      <c r="H12" s="25"/>
      <c r="I12" s="29"/>
    </row>
    <row r="13" spans="2:9" s="22" customFormat="1" ht="20.25" customHeight="1" x14ac:dyDescent="0.2">
      <c r="B13" s="24" t="s">
        <v>8</v>
      </c>
      <c r="C13" s="1">
        <v>2618480.2899999996</v>
      </c>
      <c r="D13" s="2">
        <v>36660</v>
      </c>
      <c r="E13" s="5">
        <f t="shared" si="0"/>
        <v>5494.3142599353714</v>
      </c>
      <c r="F13" s="5">
        <v>513433</v>
      </c>
      <c r="G13" s="51">
        <f t="shared" si="1"/>
        <v>71.401721354100729</v>
      </c>
      <c r="H13" s="25"/>
      <c r="I13" s="29"/>
    </row>
    <row r="14" spans="2:9" s="22" customFormat="1" ht="20.25" customHeight="1" x14ac:dyDescent="0.2">
      <c r="B14" s="24" t="s">
        <v>9</v>
      </c>
      <c r="C14" s="1">
        <v>4098620</v>
      </c>
      <c r="D14" s="2">
        <v>69126</v>
      </c>
      <c r="E14" s="5">
        <f t="shared" si="0"/>
        <v>4560.9244211796076</v>
      </c>
      <c r="F14" s="5">
        <v>1255574</v>
      </c>
      <c r="G14" s="51">
        <f t="shared" si="1"/>
        <v>55.055297417754751</v>
      </c>
      <c r="H14" s="25"/>
      <c r="I14" s="29"/>
    </row>
    <row r="15" spans="2:9" s="22" customFormat="1" ht="20.25" customHeight="1" x14ac:dyDescent="0.2">
      <c r="B15" s="24" t="s">
        <v>10</v>
      </c>
      <c r="C15" s="1">
        <v>2039055.4425000001</v>
      </c>
      <c r="D15" s="2">
        <v>36441</v>
      </c>
      <c r="E15" s="5">
        <f t="shared" si="0"/>
        <v>4304.2292652190163</v>
      </c>
      <c r="F15" s="5">
        <v>551626</v>
      </c>
      <c r="G15" s="51">
        <f t="shared" si="1"/>
        <v>66.061063111600987</v>
      </c>
      <c r="H15" s="25"/>
      <c r="I15" s="29"/>
    </row>
    <row r="16" spans="2:9" s="22" customFormat="1" ht="20.25" customHeight="1" x14ac:dyDescent="0.2">
      <c r="B16" s="24" t="s">
        <v>11</v>
      </c>
      <c r="C16" s="1">
        <v>2347318</v>
      </c>
      <c r="D16" s="2">
        <v>50536</v>
      </c>
      <c r="E16" s="5">
        <f t="shared" si="0"/>
        <v>3572.9563692599941</v>
      </c>
      <c r="F16" s="5">
        <v>683513</v>
      </c>
      <c r="G16" s="51">
        <f t="shared" si="1"/>
        <v>73.935682276708718</v>
      </c>
      <c r="I16" s="29"/>
    </row>
    <row r="17" spans="1:9" s="22" customFormat="1" ht="20.25" customHeight="1" x14ac:dyDescent="0.2">
      <c r="B17" s="12" t="s">
        <v>49</v>
      </c>
      <c r="C17" s="1">
        <v>1785822.6870634528</v>
      </c>
      <c r="D17" s="2">
        <v>21679</v>
      </c>
      <c r="E17" s="4">
        <f t="shared" si="0"/>
        <v>6336.591905897777</v>
      </c>
      <c r="F17" s="5">
        <v>327028</v>
      </c>
      <c r="G17" s="51">
        <f t="shared" si="1"/>
        <v>66.290959795491517</v>
      </c>
      <c r="I17" s="29"/>
    </row>
    <row r="18" spans="1:9" s="22" customFormat="1" ht="20.25" customHeight="1" x14ac:dyDescent="0.2">
      <c r="B18" s="24" t="s">
        <v>12</v>
      </c>
      <c r="C18" s="1">
        <v>1359285.56</v>
      </c>
      <c r="D18" s="2">
        <v>29081</v>
      </c>
      <c r="E18" s="5">
        <f t="shared" si="0"/>
        <v>3595.4894155052334</v>
      </c>
      <c r="F18" s="5">
        <v>342582</v>
      </c>
      <c r="G18" s="51">
        <f t="shared" si="1"/>
        <v>84.887705717171357</v>
      </c>
      <c r="H18" s="25"/>
      <c r="I18" s="29"/>
    </row>
    <row r="19" spans="1:9" s="22" customFormat="1" ht="20.25" customHeight="1" x14ac:dyDescent="0.2">
      <c r="B19" s="24" t="s">
        <v>28</v>
      </c>
      <c r="C19" s="2">
        <v>4452200.0000000009</v>
      </c>
      <c r="D19" s="2">
        <v>79644</v>
      </c>
      <c r="E19" s="5">
        <f t="shared" si="0"/>
        <v>4300.0969699779416</v>
      </c>
      <c r="F19" s="5">
        <v>1774737</v>
      </c>
      <c r="G19" s="51">
        <f t="shared" si="1"/>
        <v>44.876508462944088</v>
      </c>
      <c r="I19" s="29"/>
    </row>
    <row r="20" spans="1:9" s="22" customFormat="1" ht="20.25" customHeight="1" x14ac:dyDescent="0.2">
      <c r="B20" s="24" t="s">
        <v>14</v>
      </c>
      <c r="C20" s="1">
        <v>2235590</v>
      </c>
      <c r="D20" s="2">
        <v>50494</v>
      </c>
      <c r="E20" s="5">
        <f t="shared" si="0"/>
        <v>3405.7207101529202</v>
      </c>
      <c r="F20" s="5">
        <v>1113279</v>
      </c>
      <c r="G20" s="51">
        <f t="shared" si="1"/>
        <v>45.356105702164506</v>
      </c>
      <c r="H20" s="25"/>
      <c r="I20" s="29"/>
    </row>
    <row r="21" spans="1:9" s="22" customFormat="1" ht="20.25" customHeight="1" x14ac:dyDescent="0.2">
      <c r="B21" s="24" t="s">
        <v>15</v>
      </c>
      <c r="C21" s="1">
        <v>3758831.5110000009</v>
      </c>
      <c r="D21" s="2">
        <v>53806</v>
      </c>
      <c r="E21" s="5">
        <f t="shared" si="0"/>
        <v>5373.7665959472642</v>
      </c>
      <c r="F21" s="5">
        <v>571910</v>
      </c>
      <c r="G21" s="51">
        <f t="shared" si="1"/>
        <v>94.08123655819972</v>
      </c>
      <c r="H21" s="25"/>
      <c r="I21" s="29"/>
    </row>
    <row r="22" spans="1:9" s="22" customFormat="1" ht="20.25" customHeight="1" x14ac:dyDescent="0.2">
      <c r="B22" s="24" t="s">
        <v>16</v>
      </c>
      <c r="C22" s="1">
        <v>2467706.1265600007</v>
      </c>
      <c r="D22" s="2">
        <v>43687</v>
      </c>
      <c r="E22" s="5">
        <f t="shared" si="0"/>
        <v>4345.0808752471703</v>
      </c>
      <c r="F22" s="5">
        <v>648277</v>
      </c>
      <c r="G22" s="51">
        <f t="shared" si="1"/>
        <v>67.38940298668625</v>
      </c>
      <c r="H22" s="25"/>
      <c r="I22" s="29"/>
    </row>
    <row r="23" spans="1:9" s="22" customFormat="1" ht="20.25" customHeight="1" x14ac:dyDescent="0.2">
      <c r="B23" s="24" t="s">
        <v>17</v>
      </c>
      <c r="C23" s="1">
        <v>2680281.7499999995</v>
      </c>
      <c r="D23" s="2">
        <v>57171</v>
      </c>
      <c r="E23" s="5">
        <f t="shared" si="0"/>
        <v>3606.2954860116006</v>
      </c>
      <c r="F23" s="5">
        <v>1239111</v>
      </c>
      <c r="G23" s="51">
        <f t="shared" si="1"/>
        <v>46.138723649455137</v>
      </c>
      <c r="H23" s="25"/>
      <c r="I23" s="29"/>
    </row>
    <row r="24" spans="1:9" s="22" customFormat="1" ht="20.25" customHeight="1" x14ac:dyDescent="0.2">
      <c r="B24" s="24" t="s">
        <v>18</v>
      </c>
      <c r="C24" s="1">
        <v>1893687.9000000001</v>
      </c>
      <c r="D24" s="2">
        <v>31243</v>
      </c>
      <c r="E24" s="5">
        <f t="shared" si="0"/>
        <v>4662.4299843164872</v>
      </c>
      <c r="F24" s="5">
        <v>696076</v>
      </c>
      <c r="G24" s="51">
        <f t="shared" si="1"/>
        <v>44.884466638700374</v>
      </c>
      <c r="H24" s="25"/>
      <c r="I24" s="29"/>
    </row>
    <row r="25" spans="1:9" s="22" customFormat="1" ht="20.25" customHeight="1" x14ac:dyDescent="0.2">
      <c r="B25" s="12" t="s">
        <v>50</v>
      </c>
      <c r="C25" s="1">
        <v>1032800.39364</v>
      </c>
      <c r="D25" s="2">
        <v>20304</v>
      </c>
      <c r="E25" s="4">
        <f t="shared" si="0"/>
        <v>3912.8341275686485</v>
      </c>
      <c r="F25" s="5">
        <v>443944</v>
      </c>
      <c r="G25" s="51">
        <f t="shared" si="1"/>
        <v>45.735498170940474</v>
      </c>
      <c r="I25" s="29"/>
    </row>
    <row r="26" spans="1:9" s="22" customFormat="1" ht="20.25" customHeight="1" x14ac:dyDescent="0.2">
      <c r="B26" s="24" t="s">
        <v>19</v>
      </c>
      <c r="C26" s="1">
        <v>2459875.3499999996</v>
      </c>
      <c r="D26" s="2">
        <v>25500</v>
      </c>
      <c r="E26" s="5">
        <f t="shared" si="0"/>
        <v>7420.4384615384606</v>
      </c>
      <c r="F26" s="5">
        <v>275452</v>
      </c>
      <c r="G26" s="51">
        <f t="shared" si="1"/>
        <v>92.575112905333782</v>
      </c>
      <c r="H26" s="25"/>
      <c r="I26" s="29"/>
    </row>
    <row r="27" spans="1:9" s="22" customFormat="1" ht="20.25" customHeight="1" x14ac:dyDescent="0.2">
      <c r="B27" s="24" t="s">
        <v>38</v>
      </c>
      <c r="C27" s="1">
        <v>8464985.5399999972</v>
      </c>
      <c r="D27" s="2">
        <v>111628</v>
      </c>
      <c r="E27" s="5">
        <f t="shared" si="0"/>
        <v>5833.2383796731428</v>
      </c>
      <c r="F27" s="5">
        <v>3257907</v>
      </c>
      <c r="G27" s="51">
        <f t="shared" si="1"/>
        <v>34.263715937870536</v>
      </c>
      <c r="I27" s="29"/>
    </row>
    <row r="28" spans="1:9" s="22" customFormat="1" ht="20.25" customHeight="1" x14ac:dyDescent="0.2">
      <c r="B28" s="24" t="s">
        <v>41</v>
      </c>
      <c r="C28" s="1">
        <v>1870596.0000000002</v>
      </c>
      <c r="D28" s="2">
        <v>46110</v>
      </c>
      <c r="E28" s="5">
        <f t="shared" si="0"/>
        <v>3120.624593363696</v>
      </c>
      <c r="F28" s="5">
        <v>879246</v>
      </c>
      <c r="G28" s="51">
        <f t="shared" si="1"/>
        <v>52.442661098259187</v>
      </c>
      <c r="H28" s="25"/>
      <c r="I28" s="32"/>
    </row>
    <row r="29" spans="1:9" s="22" customFormat="1" ht="20.25" customHeight="1" x14ac:dyDescent="0.2">
      <c r="B29" s="24" t="s">
        <v>21</v>
      </c>
      <c r="C29" s="1">
        <v>3783593</v>
      </c>
      <c r="D29" s="2">
        <v>71899</v>
      </c>
      <c r="E29" s="5">
        <f t="shared" si="0"/>
        <v>4047.9786281396873</v>
      </c>
      <c r="F29" s="5">
        <v>1489225</v>
      </c>
      <c r="G29" s="51">
        <f t="shared" si="1"/>
        <v>48.279474223169771</v>
      </c>
      <c r="H29" s="25"/>
      <c r="I29" s="29"/>
    </row>
    <row r="30" spans="1:9" s="22" customFormat="1" ht="20.25" customHeight="1" thickBot="1" x14ac:dyDescent="0.25">
      <c r="B30" s="24" t="s">
        <v>40</v>
      </c>
      <c r="C30" s="2">
        <v>1567555.9999999995</v>
      </c>
      <c r="D30" s="2">
        <v>16247</v>
      </c>
      <c r="E30" s="5">
        <f t="shared" si="0"/>
        <v>7421.7536018483861</v>
      </c>
      <c r="F30" s="5">
        <v>131661</v>
      </c>
      <c r="G30" s="51">
        <f t="shared" si="1"/>
        <v>123.40024760559315</v>
      </c>
      <c r="I30" s="29"/>
    </row>
    <row r="31" spans="1:9" s="22" customFormat="1" ht="26.25" customHeight="1" thickBot="1" x14ac:dyDescent="0.25">
      <c r="A31" s="25"/>
      <c r="B31" s="49" t="s">
        <v>22</v>
      </c>
      <c r="C31" s="50">
        <f>SUM(C7:C30)</f>
        <v>110500573.74975182</v>
      </c>
      <c r="D31" s="50">
        <f>SUM(D7:D30)</f>
        <v>1875536</v>
      </c>
      <c r="E31" s="50">
        <f t="shared" si="0"/>
        <v>4532.0613065258649</v>
      </c>
      <c r="F31" s="50">
        <f>+SUM(F7:F30)</f>
        <v>40788453</v>
      </c>
      <c r="G31" s="52">
        <f t="shared" si="1"/>
        <v>45.982033199444949</v>
      </c>
    </row>
    <row r="32" spans="1:9" s="22" customFormat="1" ht="8.25" customHeight="1" x14ac:dyDescent="0.2">
      <c r="A32" s="25"/>
      <c r="B32" s="25"/>
      <c r="C32" s="32"/>
      <c r="D32" s="32"/>
      <c r="E32" s="32"/>
      <c r="F32" s="32"/>
      <c r="G32" s="32"/>
    </row>
    <row r="33" spans="1:7" s="10" customFormat="1" x14ac:dyDescent="0.2">
      <c r="B33" s="60" t="s">
        <v>46</v>
      </c>
      <c r="C33" s="60"/>
      <c r="D33" s="60"/>
      <c r="E33" s="60"/>
      <c r="F33" s="60"/>
      <c r="G33" s="60"/>
    </row>
    <row r="34" spans="1:7" s="10" customFormat="1" x14ac:dyDescent="0.2">
      <c r="B34" s="60" t="s">
        <v>47</v>
      </c>
      <c r="C34" s="60"/>
      <c r="D34" s="60"/>
      <c r="E34" s="60"/>
      <c r="F34" s="60"/>
      <c r="G34" s="60"/>
    </row>
    <row r="35" spans="1:7" s="10" customFormat="1" x14ac:dyDescent="0.2">
      <c r="A35" s="18"/>
      <c r="B35" s="55" t="s">
        <v>59</v>
      </c>
      <c r="C35" s="55"/>
      <c r="D35" s="55"/>
      <c r="E35" s="55"/>
      <c r="F35" s="55"/>
      <c r="G35" s="55"/>
    </row>
    <row r="36" spans="1:7" s="10" customFormat="1" x14ac:dyDescent="0.2">
      <c r="A36" s="18"/>
      <c r="B36" s="55" t="s">
        <v>48</v>
      </c>
      <c r="C36" s="55"/>
      <c r="D36" s="55"/>
      <c r="E36" s="55"/>
      <c r="F36" s="55"/>
      <c r="G36" s="55"/>
    </row>
    <row r="37" spans="1:7" x14ac:dyDescent="0.2">
      <c r="B37" s="55"/>
      <c r="C37" s="55"/>
      <c r="D37" s="55"/>
      <c r="E37" s="55"/>
      <c r="F37" s="55"/>
      <c r="G37" s="55"/>
    </row>
    <row r="38" spans="1:7" x14ac:dyDescent="0.2">
      <c r="B38" s="54" t="s">
        <v>61</v>
      </c>
      <c r="C38" s="53"/>
      <c r="D38" s="53"/>
      <c r="E38" s="53"/>
      <c r="F38" s="53"/>
      <c r="G38" s="53"/>
    </row>
    <row r="39" spans="1:7" x14ac:dyDescent="0.2">
      <c r="B39" s="61" t="s">
        <v>39</v>
      </c>
      <c r="C39" s="61"/>
      <c r="D39" s="61"/>
      <c r="E39" s="61"/>
      <c r="F39" s="61"/>
      <c r="G39" s="61"/>
    </row>
    <row r="40" spans="1:7" x14ac:dyDescent="0.2">
      <c r="B40" s="64"/>
      <c r="C40" s="64"/>
      <c r="D40" s="64"/>
      <c r="E40" s="64"/>
      <c r="F40" s="64"/>
      <c r="G40" s="64"/>
    </row>
    <row r="41" spans="1:7" x14ac:dyDescent="0.2">
      <c r="B41" s="64"/>
      <c r="C41" s="64"/>
      <c r="D41" s="64"/>
      <c r="E41" s="64"/>
      <c r="F41" s="64"/>
      <c r="G41" s="64"/>
    </row>
    <row r="42" spans="1:7" x14ac:dyDescent="0.2">
      <c r="B42" s="64"/>
      <c r="C42" s="64"/>
      <c r="D42" s="64"/>
      <c r="E42" s="64"/>
      <c r="F42" s="64"/>
      <c r="G42" s="64"/>
    </row>
    <row r="43" spans="1:7" x14ac:dyDescent="0.2">
      <c r="B43" s="64"/>
      <c r="C43" s="64"/>
      <c r="D43" s="64"/>
      <c r="E43" s="64"/>
      <c r="F43" s="64"/>
      <c r="G43" s="64"/>
    </row>
  </sheetData>
  <mergeCells count="14">
    <mergeCell ref="B42:G42"/>
    <mergeCell ref="B43:G43"/>
    <mergeCell ref="B37:G37"/>
    <mergeCell ref="B33:G33"/>
    <mergeCell ref="B39:G39"/>
    <mergeCell ref="B40:G40"/>
    <mergeCell ref="B41:G41"/>
    <mergeCell ref="B34:G34"/>
    <mergeCell ref="B35:G35"/>
    <mergeCell ref="B36:G36"/>
    <mergeCell ref="B1:G1"/>
    <mergeCell ref="B2:G2"/>
    <mergeCell ref="B3:G3"/>
    <mergeCell ref="B4:G4"/>
  </mergeCells>
  <printOptions horizontalCentered="1" verticalCentered="1"/>
  <pageMargins left="0" right="0" top="0" bottom="0" header="0" footer="0"/>
  <pageSetup paperSize="9" scale="9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180975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I43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20" customWidth="1"/>
    <col min="2" max="2" width="27.140625" style="20" customWidth="1"/>
    <col min="3" max="3" width="23.7109375" style="20" customWidth="1"/>
    <col min="4" max="4" width="17" style="20" customWidth="1"/>
    <col min="5" max="7" width="19.42578125" style="20" customWidth="1"/>
    <col min="8" max="8" width="3.7109375" style="20" customWidth="1"/>
    <col min="9" max="16384" width="11.42578125" style="20"/>
  </cols>
  <sheetData>
    <row r="1" spans="2:9" ht="63" customHeight="1" x14ac:dyDescent="0.2">
      <c r="B1" s="62"/>
      <c r="C1" s="62"/>
      <c r="D1" s="62"/>
      <c r="E1" s="62"/>
      <c r="F1" s="62"/>
      <c r="G1" s="62"/>
    </row>
    <row r="2" spans="2:9" s="22" customFormat="1" ht="18.75" customHeight="1" x14ac:dyDescent="0.2">
      <c r="B2" s="57" t="s">
        <v>45</v>
      </c>
      <c r="C2" s="57"/>
      <c r="D2" s="57"/>
      <c r="E2" s="57"/>
      <c r="F2" s="57"/>
      <c r="G2" s="57"/>
    </row>
    <row r="3" spans="2:9" s="21" customFormat="1" ht="18.75" customHeight="1" x14ac:dyDescent="0.2">
      <c r="B3" s="58" t="s">
        <v>44</v>
      </c>
      <c r="C3" s="58"/>
      <c r="D3" s="58"/>
      <c r="E3" s="58"/>
      <c r="F3" s="58"/>
      <c r="G3" s="58"/>
    </row>
    <row r="4" spans="2:9" ht="18.75" customHeight="1" x14ac:dyDescent="0.2">
      <c r="B4" s="63" t="s">
        <v>31</v>
      </c>
      <c r="C4" s="63"/>
      <c r="D4" s="63"/>
      <c r="E4" s="63"/>
      <c r="F4" s="63"/>
      <c r="G4" s="63"/>
    </row>
    <row r="5" spans="2:9" ht="13.5" thickBot="1" x14ac:dyDescent="0.25"/>
    <row r="6" spans="2:9" s="21" customFormat="1" ht="53.25" customHeight="1" thickBot="1" x14ac:dyDescent="0.25">
      <c r="B6" s="44" t="s">
        <v>30</v>
      </c>
      <c r="C6" s="45" t="s">
        <v>43</v>
      </c>
      <c r="D6" s="41" t="s">
        <v>56</v>
      </c>
      <c r="E6" s="40" t="s">
        <v>42</v>
      </c>
      <c r="F6" s="42" t="s">
        <v>57</v>
      </c>
      <c r="G6" s="46" t="s">
        <v>1</v>
      </c>
    </row>
    <row r="7" spans="2:9" s="22" customFormat="1" ht="20.25" customHeight="1" x14ac:dyDescent="0.2">
      <c r="B7" s="12" t="s">
        <v>55</v>
      </c>
      <c r="C7" s="1">
        <v>13264603</v>
      </c>
      <c r="D7" s="2">
        <v>153532</v>
      </c>
      <c r="E7" s="4">
        <f t="shared" ref="E7:E31" si="0">C7/D7/13*1000</f>
        <v>6645.8723713823629</v>
      </c>
      <c r="F7" s="5">
        <v>3033639</v>
      </c>
      <c r="G7" s="51">
        <f>D7/F7*1000</f>
        <v>50.609845139780973</v>
      </c>
    </row>
    <row r="8" spans="2:9" s="22" customFormat="1" ht="20.25" customHeight="1" x14ac:dyDescent="0.2">
      <c r="B8" s="24" t="s">
        <v>3</v>
      </c>
      <c r="C8" s="1">
        <v>46726640.000000007</v>
      </c>
      <c r="D8" s="2">
        <v>639358</v>
      </c>
      <c r="E8" s="4">
        <f t="shared" si="0"/>
        <v>5621.8220825842864</v>
      </c>
      <c r="F8" s="5">
        <v>15909607</v>
      </c>
      <c r="G8" s="51">
        <f>D8/F8*1000</f>
        <v>40.186913479383868</v>
      </c>
      <c r="H8" s="25"/>
    </row>
    <row r="9" spans="2:9" s="22" customFormat="1" ht="20.25" customHeight="1" x14ac:dyDescent="0.2">
      <c r="B9" s="24" t="s">
        <v>4</v>
      </c>
      <c r="C9" s="1">
        <v>2552158.2943305001</v>
      </c>
      <c r="D9" s="2">
        <v>35733</v>
      </c>
      <c r="E9" s="4">
        <f t="shared" si="0"/>
        <v>5494.0774296771569</v>
      </c>
      <c r="F9" s="5">
        <v>381548</v>
      </c>
      <c r="G9" s="51">
        <f t="shared" ref="G9:G31" si="1">D9/F9*1000</f>
        <v>93.652699005105518</v>
      </c>
    </row>
    <row r="10" spans="2:9" s="22" customFormat="1" ht="20.25" customHeight="1" x14ac:dyDescent="0.2">
      <c r="B10" s="24" t="s">
        <v>5</v>
      </c>
      <c r="C10" s="1">
        <v>11219588</v>
      </c>
      <c r="D10" s="2">
        <v>116441</v>
      </c>
      <c r="E10" s="4">
        <f t="shared" si="0"/>
        <v>7411.8672183271419</v>
      </c>
      <c r="F10" s="5">
        <v>3411773</v>
      </c>
      <c r="G10" s="51">
        <f t="shared" si="1"/>
        <v>34.129175651486776</v>
      </c>
      <c r="H10" s="25"/>
      <c r="I10" s="25"/>
    </row>
    <row r="11" spans="2:9" s="22" customFormat="1" ht="20.25" customHeight="1" x14ac:dyDescent="0.2">
      <c r="B11" s="24" t="s">
        <v>6</v>
      </c>
      <c r="C11" s="1">
        <v>4014060.4808700006</v>
      </c>
      <c r="D11" s="2">
        <v>52363</v>
      </c>
      <c r="E11" s="4">
        <f t="shared" si="0"/>
        <v>5896.7951252572657</v>
      </c>
      <c r="F11" s="5">
        <v>1028248</v>
      </c>
      <c r="G11" s="51">
        <f t="shared" si="1"/>
        <v>50.92448514366184</v>
      </c>
    </row>
    <row r="12" spans="2:9" s="22" customFormat="1" ht="20.25" customHeight="1" x14ac:dyDescent="0.2">
      <c r="B12" s="24" t="s">
        <v>7</v>
      </c>
      <c r="C12" s="1">
        <v>5147673.8999999994</v>
      </c>
      <c r="D12" s="2">
        <v>62516</v>
      </c>
      <c r="E12" s="4">
        <f t="shared" si="0"/>
        <v>6333.9771480039562</v>
      </c>
      <c r="F12" s="5">
        <v>1092625</v>
      </c>
      <c r="G12" s="51">
        <f t="shared" si="1"/>
        <v>57.216336803569384</v>
      </c>
      <c r="H12" s="25"/>
    </row>
    <row r="13" spans="2:9" s="22" customFormat="1" ht="20.25" customHeight="1" x14ac:dyDescent="0.2">
      <c r="B13" s="24" t="s">
        <v>8</v>
      </c>
      <c r="C13" s="1">
        <v>3494905.9050000003</v>
      </c>
      <c r="D13" s="2">
        <v>38738</v>
      </c>
      <c r="E13" s="4">
        <f t="shared" si="0"/>
        <v>6939.9276103368993</v>
      </c>
      <c r="F13" s="5">
        <v>524201</v>
      </c>
      <c r="G13" s="51">
        <f t="shared" si="1"/>
        <v>73.899134110770476</v>
      </c>
      <c r="H13" s="25"/>
    </row>
    <row r="14" spans="2:9" s="22" customFormat="1" ht="20.25" customHeight="1" x14ac:dyDescent="0.2">
      <c r="B14" s="24" t="s">
        <v>9</v>
      </c>
      <c r="C14" s="1">
        <v>5775640</v>
      </c>
      <c r="D14" s="2">
        <v>70779</v>
      </c>
      <c r="E14" s="4">
        <f t="shared" si="0"/>
        <v>6277.0030658811229</v>
      </c>
      <c r="F14" s="5">
        <v>1268744</v>
      </c>
      <c r="G14" s="51">
        <f t="shared" si="1"/>
        <v>55.786667759611078</v>
      </c>
      <c r="H14" s="25"/>
    </row>
    <row r="15" spans="2:9" s="22" customFormat="1" ht="20.25" customHeight="1" x14ac:dyDescent="0.2">
      <c r="B15" s="24" t="s">
        <v>10</v>
      </c>
      <c r="C15" s="1">
        <v>2835698.16028</v>
      </c>
      <c r="D15" s="2">
        <v>37803</v>
      </c>
      <c r="E15" s="4">
        <f t="shared" si="0"/>
        <v>5770.1935749502991</v>
      </c>
      <c r="F15" s="5">
        <v>557223</v>
      </c>
      <c r="G15" s="51">
        <f t="shared" si="1"/>
        <v>67.841779682461066</v>
      </c>
      <c r="H15" s="25"/>
    </row>
    <row r="16" spans="2:9" s="22" customFormat="1" ht="20.25" customHeight="1" x14ac:dyDescent="0.2">
      <c r="B16" s="24" t="s">
        <v>11</v>
      </c>
      <c r="C16" s="1">
        <v>3237779.9999999995</v>
      </c>
      <c r="D16" s="2">
        <v>56828</v>
      </c>
      <c r="E16" s="4">
        <f t="shared" si="0"/>
        <v>4382.6986696698796</v>
      </c>
      <c r="F16" s="5">
        <v>692379</v>
      </c>
      <c r="G16" s="51">
        <f t="shared" si="1"/>
        <v>82.076435016082229</v>
      </c>
      <c r="I16" s="30"/>
    </row>
    <row r="17" spans="1:9" s="22" customFormat="1" ht="20.25" customHeight="1" x14ac:dyDescent="0.2">
      <c r="B17" s="12" t="s">
        <v>49</v>
      </c>
      <c r="C17" s="1">
        <v>2455906.4171931893</v>
      </c>
      <c r="D17" s="2">
        <v>22213</v>
      </c>
      <c r="E17" s="4">
        <f t="shared" si="0"/>
        <v>8504.7439898091179</v>
      </c>
      <c r="F17" s="5">
        <v>330268</v>
      </c>
      <c r="G17" s="51">
        <f t="shared" si="1"/>
        <v>67.257499969721565</v>
      </c>
    </row>
    <row r="18" spans="1:9" s="22" customFormat="1" ht="20.25" customHeight="1" x14ac:dyDescent="0.2">
      <c r="B18" s="24" t="s">
        <v>12</v>
      </c>
      <c r="C18" s="1">
        <v>1799145.2258300001</v>
      </c>
      <c r="D18" s="2">
        <v>29520</v>
      </c>
      <c r="E18" s="4">
        <f t="shared" si="0"/>
        <v>4688.2041531947052</v>
      </c>
      <c r="F18" s="5">
        <v>347494</v>
      </c>
      <c r="G18" s="51">
        <f t="shared" si="1"/>
        <v>84.951107069474574</v>
      </c>
      <c r="H18" s="25"/>
    </row>
    <row r="19" spans="1:9" s="22" customFormat="1" ht="20.25" customHeight="1" x14ac:dyDescent="0.2">
      <c r="B19" s="24" t="s">
        <v>28</v>
      </c>
      <c r="C19" s="2">
        <v>6354540</v>
      </c>
      <c r="D19" s="2">
        <v>86660</v>
      </c>
      <c r="E19" s="5">
        <f t="shared" si="0"/>
        <v>5640.5581494434482</v>
      </c>
      <c r="F19" s="5">
        <v>1797235</v>
      </c>
      <c r="G19" s="51">
        <f t="shared" si="1"/>
        <v>48.218513438698885</v>
      </c>
    </row>
    <row r="20" spans="1:9" s="22" customFormat="1" ht="20.25" customHeight="1" x14ac:dyDescent="0.2">
      <c r="B20" s="24" t="s">
        <v>14</v>
      </c>
      <c r="C20" s="1">
        <v>3157330</v>
      </c>
      <c r="D20" s="2">
        <v>54075</v>
      </c>
      <c r="E20" s="4">
        <f t="shared" si="0"/>
        <v>4491.3830506063514</v>
      </c>
      <c r="F20" s="5">
        <v>1128798</v>
      </c>
      <c r="G20" s="51">
        <f t="shared" si="1"/>
        <v>47.90493959060877</v>
      </c>
      <c r="H20" s="25"/>
    </row>
    <row r="21" spans="1:9" s="22" customFormat="1" ht="20.25" customHeight="1" x14ac:dyDescent="0.2">
      <c r="B21" s="24" t="s">
        <v>15</v>
      </c>
      <c r="C21" s="1">
        <v>4942538.8849999998</v>
      </c>
      <c r="D21" s="2">
        <v>53587</v>
      </c>
      <c r="E21" s="5">
        <f t="shared" si="0"/>
        <v>7094.9166560201884</v>
      </c>
      <c r="F21" s="5">
        <v>581720</v>
      </c>
      <c r="G21" s="51">
        <f t="shared" si="1"/>
        <v>92.118201196451906</v>
      </c>
      <c r="H21" s="25"/>
    </row>
    <row r="22" spans="1:9" s="22" customFormat="1" ht="20.25" customHeight="1" x14ac:dyDescent="0.2">
      <c r="B22" s="24" t="s">
        <v>16</v>
      </c>
      <c r="C22" s="1">
        <v>3603446.8637200003</v>
      </c>
      <c r="D22" s="2">
        <v>48142</v>
      </c>
      <c r="E22" s="5">
        <f t="shared" si="0"/>
        <v>5757.7213303592262</v>
      </c>
      <c r="F22" s="5">
        <v>658486</v>
      </c>
      <c r="G22" s="51">
        <f t="shared" si="1"/>
        <v>73.110134459958147</v>
      </c>
      <c r="H22" s="25"/>
    </row>
    <row r="23" spans="1:9" s="22" customFormat="1" ht="20.25" customHeight="1" x14ac:dyDescent="0.2">
      <c r="B23" s="24" t="s">
        <v>17</v>
      </c>
      <c r="C23" s="1">
        <v>3845892.13</v>
      </c>
      <c r="D23" s="2">
        <v>57978</v>
      </c>
      <c r="E23" s="4">
        <f t="shared" si="0"/>
        <v>5102.5881567809538</v>
      </c>
      <c r="F23" s="5">
        <v>1258111</v>
      </c>
      <c r="G23" s="51">
        <f t="shared" si="1"/>
        <v>46.083374201481426</v>
      </c>
      <c r="H23" s="25"/>
    </row>
    <row r="24" spans="1:9" s="22" customFormat="1" ht="20.25" customHeight="1" x14ac:dyDescent="0.2">
      <c r="B24" s="24" t="s">
        <v>18</v>
      </c>
      <c r="C24" s="1">
        <v>2423351.5</v>
      </c>
      <c r="D24" s="2">
        <v>31594</v>
      </c>
      <c r="E24" s="4">
        <f t="shared" si="0"/>
        <v>5900.2232653717119</v>
      </c>
      <c r="F24" s="5">
        <v>704652</v>
      </c>
      <c r="G24" s="51">
        <f t="shared" si="1"/>
        <v>44.836316366092767</v>
      </c>
      <c r="H24" s="25"/>
    </row>
    <row r="25" spans="1:9" s="22" customFormat="1" ht="20.25" customHeight="1" x14ac:dyDescent="0.2">
      <c r="B25" s="12" t="s">
        <v>50</v>
      </c>
      <c r="C25" s="1">
        <v>1333083.2551718254</v>
      </c>
      <c r="D25" s="2">
        <v>20519</v>
      </c>
      <c r="E25" s="4">
        <f t="shared" si="0"/>
        <v>4997.5566929405968</v>
      </c>
      <c r="F25" s="5">
        <v>450434</v>
      </c>
      <c r="G25" s="51">
        <f t="shared" si="1"/>
        <v>45.553843626369236</v>
      </c>
    </row>
    <row r="26" spans="1:9" s="22" customFormat="1" ht="20.25" customHeight="1" x14ac:dyDescent="0.2">
      <c r="B26" s="24" t="s">
        <v>19</v>
      </c>
      <c r="C26" s="1">
        <v>3265689.9999999995</v>
      </c>
      <c r="D26" s="2">
        <v>26252</v>
      </c>
      <c r="E26" s="5">
        <f t="shared" si="0"/>
        <v>9569.0584746656659</v>
      </c>
      <c r="F26" s="5">
        <v>284414</v>
      </c>
      <c r="G26" s="51">
        <f t="shared" si="1"/>
        <v>92.30206670557709</v>
      </c>
      <c r="H26" s="25"/>
    </row>
    <row r="27" spans="1:9" s="22" customFormat="1" ht="20.25" customHeight="1" x14ac:dyDescent="0.2">
      <c r="B27" s="23" t="s">
        <v>38</v>
      </c>
      <c r="C27" s="1">
        <v>12309816.559999999</v>
      </c>
      <c r="D27" s="2">
        <v>112309</v>
      </c>
      <c r="E27" s="4">
        <f t="shared" si="0"/>
        <v>8431.2830330057805</v>
      </c>
      <c r="F27" s="5">
        <v>3285408</v>
      </c>
      <c r="G27" s="51">
        <f t="shared" si="1"/>
        <v>34.184186560695053</v>
      </c>
    </row>
    <row r="28" spans="1:9" s="22" customFormat="1" ht="20.25" customHeight="1" x14ac:dyDescent="0.2">
      <c r="B28" s="24" t="s">
        <v>41</v>
      </c>
      <c r="C28" s="1">
        <v>2571575</v>
      </c>
      <c r="D28" s="2">
        <v>49474</v>
      </c>
      <c r="E28" s="4">
        <f t="shared" si="0"/>
        <v>3998.3316800432858</v>
      </c>
      <c r="F28" s="5">
        <v>888809</v>
      </c>
      <c r="G28" s="51">
        <f t="shared" si="1"/>
        <v>55.663252734839546</v>
      </c>
      <c r="H28" s="25"/>
      <c r="I28" s="25"/>
    </row>
    <row r="29" spans="1:9" s="22" customFormat="1" ht="20.25" customHeight="1" x14ac:dyDescent="0.2">
      <c r="B29" s="24" t="s">
        <v>21</v>
      </c>
      <c r="C29" s="1">
        <v>5696192</v>
      </c>
      <c r="D29" s="2">
        <v>74629</v>
      </c>
      <c r="E29" s="4">
        <f t="shared" si="0"/>
        <v>5871.2915272161681</v>
      </c>
      <c r="F29" s="5">
        <v>1509932</v>
      </c>
      <c r="G29" s="51">
        <f t="shared" si="1"/>
        <v>49.425404587756269</v>
      </c>
      <c r="H29" s="25"/>
    </row>
    <row r="30" spans="1:9" s="22" customFormat="1" ht="20.25" customHeight="1" thickBot="1" x14ac:dyDescent="0.25">
      <c r="B30" s="24" t="s">
        <v>40</v>
      </c>
      <c r="C30" s="2">
        <v>2254856</v>
      </c>
      <c r="D30" s="2">
        <v>17190</v>
      </c>
      <c r="E30" s="4">
        <f t="shared" si="0"/>
        <v>10090.195551975656</v>
      </c>
      <c r="F30" s="5">
        <v>135742</v>
      </c>
      <c r="G30" s="51">
        <f t="shared" si="1"/>
        <v>126.63729722561919</v>
      </c>
    </row>
    <row r="31" spans="1:9" s="22" customFormat="1" ht="26.25" customHeight="1" thickBot="1" x14ac:dyDescent="0.25">
      <c r="A31" s="25"/>
      <c r="B31" s="49" t="s">
        <v>22</v>
      </c>
      <c r="C31" s="50">
        <f>SUM(C7:C30)</f>
        <v>154282111.57739553</v>
      </c>
      <c r="D31" s="50">
        <f>SUM(D7:D30)</f>
        <v>1948233</v>
      </c>
      <c r="E31" s="50">
        <f t="shared" si="0"/>
        <v>6091.5992782807452</v>
      </c>
      <c r="F31" s="50">
        <f>+SUM(F7:F30)</f>
        <v>41261490</v>
      </c>
      <c r="G31" s="52">
        <f t="shared" si="1"/>
        <v>47.216738901091553</v>
      </c>
    </row>
    <row r="32" spans="1:9" ht="8.25" customHeight="1" x14ac:dyDescent="0.2">
      <c r="A32" s="31"/>
      <c r="B32" s="25"/>
      <c r="C32" s="32"/>
      <c r="D32" s="32"/>
      <c r="E32" s="32"/>
      <c r="F32" s="32"/>
      <c r="G32" s="32"/>
    </row>
    <row r="33" spans="1:7" s="10" customFormat="1" x14ac:dyDescent="0.2">
      <c r="B33" s="60" t="s">
        <v>46</v>
      </c>
      <c r="C33" s="60"/>
      <c r="D33" s="60"/>
      <c r="E33" s="60"/>
      <c r="F33" s="60"/>
      <c r="G33" s="60"/>
    </row>
    <row r="34" spans="1:7" s="10" customFormat="1" x14ac:dyDescent="0.2">
      <c r="B34" s="60" t="s">
        <v>47</v>
      </c>
      <c r="C34" s="60"/>
      <c r="D34" s="60"/>
      <c r="E34" s="60"/>
      <c r="F34" s="60"/>
      <c r="G34" s="60"/>
    </row>
    <row r="35" spans="1:7" s="10" customFormat="1" x14ac:dyDescent="0.2">
      <c r="A35" s="18"/>
      <c r="B35" s="55" t="s">
        <v>59</v>
      </c>
      <c r="C35" s="55"/>
      <c r="D35" s="55"/>
      <c r="E35" s="55"/>
      <c r="F35" s="55"/>
      <c r="G35" s="55"/>
    </row>
    <row r="36" spans="1:7" s="10" customFormat="1" x14ac:dyDescent="0.2">
      <c r="A36" s="18"/>
      <c r="B36" s="55" t="s">
        <v>48</v>
      </c>
      <c r="C36" s="55"/>
      <c r="D36" s="55"/>
      <c r="E36" s="55"/>
      <c r="F36" s="55"/>
      <c r="G36" s="55"/>
    </row>
    <row r="37" spans="1:7" x14ac:dyDescent="0.2">
      <c r="B37" s="55"/>
      <c r="C37" s="55"/>
      <c r="D37" s="55"/>
      <c r="E37" s="55"/>
      <c r="F37" s="55"/>
      <c r="G37" s="55"/>
    </row>
    <row r="38" spans="1:7" x14ac:dyDescent="0.2">
      <c r="B38" s="54" t="s">
        <v>61</v>
      </c>
      <c r="C38" s="53"/>
      <c r="D38" s="53"/>
      <c r="E38" s="53"/>
      <c r="F38" s="53"/>
      <c r="G38" s="53"/>
    </row>
    <row r="39" spans="1:7" x14ac:dyDescent="0.2">
      <c r="B39" s="61" t="s">
        <v>39</v>
      </c>
      <c r="C39" s="61"/>
      <c r="D39" s="61"/>
      <c r="E39" s="61"/>
      <c r="F39" s="61"/>
      <c r="G39" s="61"/>
    </row>
    <row r="40" spans="1:7" x14ac:dyDescent="0.2">
      <c r="B40" s="64"/>
      <c r="C40" s="64"/>
      <c r="D40" s="64"/>
      <c r="E40" s="64"/>
      <c r="F40" s="64"/>
      <c r="G40" s="64"/>
    </row>
    <row r="41" spans="1:7" x14ac:dyDescent="0.2">
      <c r="B41" s="64"/>
      <c r="C41" s="64"/>
      <c r="D41" s="64"/>
      <c r="E41" s="64"/>
      <c r="F41" s="64"/>
      <c r="G41" s="64"/>
    </row>
    <row r="42" spans="1:7" x14ac:dyDescent="0.2">
      <c r="B42" s="64"/>
      <c r="C42" s="64"/>
      <c r="D42" s="64"/>
      <c r="E42" s="64"/>
      <c r="F42" s="64"/>
      <c r="G42" s="64"/>
    </row>
    <row r="43" spans="1:7" x14ac:dyDescent="0.2">
      <c r="B43" s="64"/>
      <c r="C43" s="64"/>
      <c r="D43" s="64"/>
      <c r="E43" s="64"/>
      <c r="F43" s="64"/>
      <c r="G43" s="64"/>
    </row>
  </sheetData>
  <mergeCells count="14">
    <mergeCell ref="B42:G42"/>
    <mergeCell ref="B43:G43"/>
    <mergeCell ref="B37:G37"/>
    <mergeCell ref="B33:G33"/>
    <mergeCell ref="B39:G39"/>
    <mergeCell ref="B40:G40"/>
    <mergeCell ref="B41:G41"/>
    <mergeCell ref="B34:G34"/>
    <mergeCell ref="B35:G35"/>
    <mergeCell ref="B36:G36"/>
    <mergeCell ref="B1:G1"/>
    <mergeCell ref="B2:G2"/>
    <mergeCell ref="B3:G3"/>
    <mergeCell ref="B4:G4"/>
  </mergeCells>
  <printOptions horizontalCentered="1" verticalCentered="1"/>
  <pageMargins left="0" right="0" top="0" bottom="0" header="0" footer="0"/>
  <pageSetup paperSize="9" scale="9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180975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I43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20" customWidth="1"/>
    <col min="2" max="2" width="27.140625" style="20" customWidth="1"/>
    <col min="3" max="3" width="23.7109375" style="20" customWidth="1"/>
    <col min="4" max="4" width="17" style="20" customWidth="1"/>
    <col min="5" max="7" width="19.42578125" style="20" customWidth="1"/>
    <col min="8" max="8" width="3.7109375" style="20" customWidth="1"/>
    <col min="9" max="16384" width="11.42578125" style="20"/>
  </cols>
  <sheetData>
    <row r="1" spans="2:9" ht="63" customHeight="1" x14ac:dyDescent="0.2">
      <c r="B1" s="62"/>
      <c r="C1" s="62"/>
      <c r="D1" s="62"/>
      <c r="E1" s="62"/>
      <c r="F1" s="62"/>
      <c r="G1" s="62"/>
    </row>
    <row r="2" spans="2:9" s="22" customFormat="1" ht="18.75" customHeight="1" x14ac:dyDescent="0.2">
      <c r="B2" s="57" t="s">
        <v>45</v>
      </c>
      <c r="C2" s="57"/>
      <c r="D2" s="57"/>
      <c r="E2" s="57"/>
      <c r="F2" s="57"/>
      <c r="G2" s="57"/>
    </row>
    <row r="3" spans="2:9" s="21" customFormat="1" ht="18.75" customHeight="1" x14ac:dyDescent="0.2">
      <c r="B3" s="58" t="s">
        <v>44</v>
      </c>
      <c r="C3" s="58"/>
      <c r="D3" s="58"/>
      <c r="E3" s="58"/>
      <c r="F3" s="58"/>
      <c r="G3" s="58"/>
    </row>
    <row r="4" spans="2:9" ht="18.75" customHeight="1" x14ac:dyDescent="0.2">
      <c r="B4" s="63" t="s">
        <v>32</v>
      </c>
      <c r="C4" s="63"/>
      <c r="D4" s="63"/>
      <c r="E4" s="63"/>
      <c r="F4" s="63"/>
      <c r="G4" s="63"/>
    </row>
    <row r="5" spans="2:9" ht="13.5" thickBot="1" x14ac:dyDescent="0.25"/>
    <row r="6" spans="2:9" s="21" customFormat="1" ht="53.25" customHeight="1" thickBot="1" x14ac:dyDescent="0.25">
      <c r="B6" s="44" t="s">
        <v>30</v>
      </c>
      <c r="C6" s="45" t="s">
        <v>43</v>
      </c>
      <c r="D6" s="41" t="s">
        <v>56</v>
      </c>
      <c r="E6" s="40" t="s">
        <v>42</v>
      </c>
      <c r="F6" s="42" t="s">
        <v>57</v>
      </c>
      <c r="G6" s="46" t="s">
        <v>1</v>
      </c>
    </row>
    <row r="7" spans="2:9" s="22" customFormat="1" ht="20.25" customHeight="1" x14ac:dyDescent="0.2">
      <c r="B7" s="12" t="s">
        <v>55</v>
      </c>
      <c r="C7" s="1">
        <v>17340628.321040001</v>
      </c>
      <c r="D7" s="2">
        <v>156342</v>
      </c>
      <c r="E7" s="4">
        <f t="shared" ref="E7:E31" si="0">C7/D7/13*1000</f>
        <v>8531.9011285121487</v>
      </c>
      <c r="F7" s="5">
        <v>3038860</v>
      </c>
      <c r="G7" s="51">
        <f>D7/F7*1000</f>
        <v>51.447582317053104</v>
      </c>
      <c r="I7" s="29"/>
    </row>
    <row r="8" spans="2:9" s="22" customFormat="1" ht="20.25" customHeight="1" x14ac:dyDescent="0.2">
      <c r="B8" s="24" t="s">
        <v>3</v>
      </c>
      <c r="C8" s="1">
        <v>59030430</v>
      </c>
      <c r="D8" s="2">
        <v>655350</v>
      </c>
      <c r="E8" s="4">
        <f t="shared" si="0"/>
        <v>6928.820184164656</v>
      </c>
      <c r="F8" s="5">
        <v>16100618</v>
      </c>
      <c r="G8" s="51">
        <f>D8/F8*1000</f>
        <v>40.703406540047098</v>
      </c>
      <c r="H8" s="25"/>
    </row>
    <row r="9" spans="2:9" s="22" customFormat="1" ht="20.25" customHeight="1" x14ac:dyDescent="0.2">
      <c r="B9" s="24" t="s">
        <v>4</v>
      </c>
      <c r="C9" s="1">
        <v>3382193.6871977802</v>
      </c>
      <c r="D9" s="2">
        <v>39510</v>
      </c>
      <c r="E9" s="4">
        <f t="shared" si="0"/>
        <v>6584.8834515074668</v>
      </c>
      <c r="F9" s="5">
        <v>385408</v>
      </c>
      <c r="G9" s="51">
        <f t="shared" ref="G9:G31" si="1">D9/F9*1000</f>
        <v>102.51473762869479</v>
      </c>
    </row>
    <row r="10" spans="2:9" s="22" customFormat="1" ht="20.25" customHeight="1" x14ac:dyDescent="0.2">
      <c r="B10" s="24" t="s">
        <v>5</v>
      </c>
      <c r="C10" s="1">
        <v>14227818</v>
      </c>
      <c r="D10" s="2">
        <v>118192</v>
      </c>
      <c r="E10" s="4">
        <f t="shared" si="0"/>
        <v>9259.9121637804456</v>
      </c>
      <c r="F10" s="5">
        <v>3450673</v>
      </c>
      <c r="G10" s="51">
        <f t="shared" si="1"/>
        <v>34.251869128138189</v>
      </c>
      <c r="H10" s="25"/>
      <c r="I10" s="25"/>
    </row>
    <row r="11" spans="2:9" s="22" customFormat="1" ht="20.25" customHeight="1" x14ac:dyDescent="0.2">
      <c r="B11" s="24" t="s">
        <v>6</v>
      </c>
      <c r="C11" s="1">
        <v>5211290.0000000009</v>
      </c>
      <c r="D11" s="2">
        <v>52223</v>
      </c>
      <c r="E11" s="4">
        <f t="shared" si="0"/>
        <v>7676.0902579028707</v>
      </c>
      <c r="F11" s="5">
        <v>1038786</v>
      </c>
      <c r="G11" s="51">
        <f t="shared" si="1"/>
        <v>50.27310726174592</v>
      </c>
    </row>
    <row r="12" spans="2:9" s="22" customFormat="1" ht="20.25" customHeight="1" x14ac:dyDescent="0.2">
      <c r="B12" s="24" t="s">
        <v>7</v>
      </c>
      <c r="C12" s="1">
        <v>6668465.0799999991</v>
      </c>
      <c r="D12" s="2">
        <v>67810</v>
      </c>
      <c r="E12" s="4">
        <f t="shared" si="0"/>
        <v>7564.6490533504239</v>
      </c>
      <c r="F12" s="5">
        <v>1105280</v>
      </c>
      <c r="G12" s="51">
        <f t="shared" si="1"/>
        <v>61.350969889982629</v>
      </c>
      <c r="H12" s="25"/>
    </row>
    <row r="13" spans="2:9" s="22" customFormat="1" ht="20.25" customHeight="1" x14ac:dyDescent="0.2">
      <c r="B13" s="24" t="s">
        <v>8</v>
      </c>
      <c r="C13" s="1">
        <v>4718787.8279999997</v>
      </c>
      <c r="D13" s="2">
        <v>40130</v>
      </c>
      <c r="E13" s="4">
        <f t="shared" si="0"/>
        <v>9045.1950928712449</v>
      </c>
      <c r="F13" s="5">
        <v>534945</v>
      </c>
      <c r="G13" s="51">
        <f t="shared" si="1"/>
        <v>75.017057828374874</v>
      </c>
      <c r="H13" s="25"/>
    </row>
    <row r="14" spans="2:9" s="22" customFormat="1" ht="20.25" customHeight="1" x14ac:dyDescent="0.2">
      <c r="B14" s="24" t="s">
        <v>9</v>
      </c>
      <c r="C14" s="1">
        <v>7415040.0000000009</v>
      </c>
      <c r="D14" s="2">
        <v>72468</v>
      </c>
      <c r="E14" s="4">
        <f t="shared" si="0"/>
        <v>7870.8904938413143</v>
      </c>
      <c r="F14" s="5">
        <v>1281931</v>
      </c>
      <c r="G14" s="51">
        <f t="shared" si="1"/>
        <v>56.530343676843756</v>
      </c>
      <c r="H14" s="25"/>
    </row>
    <row r="15" spans="2:9" s="22" customFormat="1" ht="20.25" customHeight="1" x14ac:dyDescent="0.2">
      <c r="B15" s="24" t="s">
        <v>10</v>
      </c>
      <c r="C15" s="1">
        <v>3693846.5324400002</v>
      </c>
      <c r="D15" s="2">
        <v>37481</v>
      </c>
      <c r="E15" s="4">
        <f t="shared" si="0"/>
        <v>7580.96211298853</v>
      </c>
      <c r="F15" s="5">
        <v>562794</v>
      </c>
      <c r="G15" s="51">
        <f t="shared" si="1"/>
        <v>66.598080292256142</v>
      </c>
      <c r="H15" s="25"/>
    </row>
    <row r="16" spans="2:9" s="22" customFormat="1" ht="20.25" customHeight="1" x14ac:dyDescent="0.2">
      <c r="B16" s="24" t="s">
        <v>11</v>
      </c>
      <c r="C16" s="1">
        <v>4428660</v>
      </c>
      <c r="D16" s="2">
        <v>56706</v>
      </c>
      <c r="E16" s="4">
        <f t="shared" si="0"/>
        <v>6007.5856848685116</v>
      </c>
      <c r="F16" s="5">
        <v>701252</v>
      </c>
      <c r="G16" s="51">
        <f t="shared" si="1"/>
        <v>80.863940495000364</v>
      </c>
    </row>
    <row r="17" spans="1:9" s="22" customFormat="1" ht="20.25" customHeight="1" x14ac:dyDescent="0.2">
      <c r="B17" s="12" t="s">
        <v>49</v>
      </c>
      <c r="C17" s="1">
        <v>2935911.3409647951</v>
      </c>
      <c r="D17" s="2">
        <v>22524</v>
      </c>
      <c r="E17" s="4">
        <f t="shared" si="0"/>
        <v>10026.608680534935</v>
      </c>
      <c r="F17" s="5">
        <v>333496</v>
      </c>
      <c r="G17" s="51">
        <f t="shared" si="1"/>
        <v>67.539040948017373</v>
      </c>
    </row>
    <row r="18" spans="1:9" s="22" customFormat="1" ht="20.25" customHeight="1" x14ac:dyDescent="0.2">
      <c r="B18" s="24" t="s">
        <v>12</v>
      </c>
      <c r="C18" s="1">
        <v>2418597.5780799999</v>
      </c>
      <c r="D18" s="2">
        <v>34032</v>
      </c>
      <c r="E18" s="4">
        <f t="shared" si="0"/>
        <v>5466.7950030740303</v>
      </c>
      <c r="F18" s="5">
        <v>352476</v>
      </c>
      <c r="G18" s="51">
        <f t="shared" si="1"/>
        <v>96.551254553501508</v>
      </c>
      <c r="H18" s="25"/>
    </row>
    <row r="19" spans="1:9" s="22" customFormat="1" ht="20.25" customHeight="1" x14ac:dyDescent="0.2">
      <c r="B19" s="23" t="s">
        <v>52</v>
      </c>
      <c r="C19" s="2">
        <v>8990990</v>
      </c>
      <c r="D19" s="2">
        <v>89260</v>
      </c>
      <c r="E19" s="4">
        <f t="shared" si="0"/>
        <v>7748.3152070873339</v>
      </c>
      <c r="F19" s="5">
        <v>1819608</v>
      </c>
      <c r="G19" s="51">
        <f t="shared" si="1"/>
        <v>49.054521633230898</v>
      </c>
    </row>
    <row r="20" spans="1:9" s="22" customFormat="1" ht="20.25" customHeight="1" x14ac:dyDescent="0.2">
      <c r="B20" s="24" t="s">
        <v>14</v>
      </c>
      <c r="C20" s="1">
        <v>4341843.6338</v>
      </c>
      <c r="D20" s="2">
        <v>53876</v>
      </c>
      <c r="E20" s="4">
        <f t="shared" si="0"/>
        <v>6199.1976358818256</v>
      </c>
      <c r="F20" s="5">
        <v>1144189</v>
      </c>
      <c r="G20" s="51">
        <f t="shared" si="1"/>
        <v>47.086626422732607</v>
      </c>
      <c r="H20" s="25"/>
    </row>
    <row r="21" spans="1:9" s="22" customFormat="1" ht="20.25" customHeight="1" x14ac:dyDescent="0.2">
      <c r="B21" s="24" t="s">
        <v>15</v>
      </c>
      <c r="C21" s="1">
        <v>6599917.2570000002</v>
      </c>
      <c r="D21" s="2">
        <v>55269</v>
      </c>
      <c r="E21" s="4">
        <f t="shared" si="0"/>
        <v>9185.72695084322</v>
      </c>
      <c r="F21" s="5">
        <v>591422</v>
      </c>
      <c r="G21" s="51">
        <f t="shared" si="1"/>
        <v>93.451038344870497</v>
      </c>
      <c r="H21" s="25"/>
    </row>
    <row r="22" spans="1:9" s="22" customFormat="1" ht="20.25" customHeight="1" x14ac:dyDescent="0.2">
      <c r="B22" s="24" t="s">
        <v>16</v>
      </c>
      <c r="C22" s="1">
        <v>4804726.6336599998</v>
      </c>
      <c r="D22" s="2">
        <v>51018</v>
      </c>
      <c r="E22" s="4">
        <f t="shared" si="0"/>
        <v>7244.3913214039094</v>
      </c>
      <c r="F22" s="5">
        <v>668663</v>
      </c>
      <c r="G22" s="51">
        <f t="shared" si="1"/>
        <v>76.298524069673363</v>
      </c>
      <c r="H22" s="25"/>
    </row>
    <row r="23" spans="1:9" s="22" customFormat="1" ht="20.25" customHeight="1" x14ac:dyDescent="0.2">
      <c r="B23" s="24" t="s">
        <v>17</v>
      </c>
      <c r="C23" s="1">
        <v>5285433.33</v>
      </c>
      <c r="D23" s="2">
        <v>62630</v>
      </c>
      <c r="E23" s="4">
        <f t="shared" si="0"/>
        <v>6491.6460899789981</v>
      </c>
      <c r="F23" s="5">
        <v>1277062</v>
      </c>
      <c r="G23" s="51">
        <f t="shared" si="1"/>
        <v>49.04225480047171</v>
      </c>
      <c r="H23" s="25"/>
    </row>
    <row r="24" spans="1:9" s="22" customFormat="1" ht="20.25" customHeight="1" x14ac:dyDescent="0.2">
      <c r="B24" s="24" t="s">
        <v>18</v>
      </c>
      <c r="C24" s="1">
        <v>3187762.5329999998</v>
      </c>
      <c r="D24" s="2">
        <v>32198</v>
      </c>
      <c r="E24" s="4">
        <f t="shared" si="0"/>
        <v>7615.7681389670643</v>
      </c>
      <c r="F24" s="5">
        <v>713240</v>
      </c>
      <c r="G24" s="51">
        <f t="shared" si="1"/>
        <v>45.1432897762324</v>
      </c>
      <c r="H24" s="25"/>
    </row>
    <row r="25" spans="1:9" s="22" customFormat="1" ht="20.25" customHeight="1" x14ac:dyDescent="0.2">
      <c r="B25" s="12" t="s">
        <v>50</v>
      </c>
      <c r="C25" s="1">
        <v>1633251.4108768923</v>
      </c>
      <c r="D25" s="2">
        <v>21010</v>
      </c>
      <c r="E25" s="4">
        <f t="shared" si="0"/>
        <v>5979.7583966495531</v>
      </c>
      <c r="F25" s="5">
        <v>456924</v>
      </c>
      <c r="G25" s="51">
        <f t="shared" si="1"/>
        <v>45.981388589787365</v>
      </c>
    </row>
    <row r="26" spans="1:9" s="22" customFormat="1" ht="20.25" customHeight="1" x14ac:dyDescent="0.2">
      <c r="B26" s="24" t="s">
        <v>19</v>
      </c>
      <c r="C26" s="1">
        <v>4113297.0229800004</v>
      </c>
      <c r="D26" s="2">
        <v>27450</v>
      </c>
      <c r="E26" s="4">
        <f t="shared" si="0"/>
        <v>11526.683544850779</v>
      </c>
      <c r="F26" s="5">
        <v>293407</v>
      </c>
      <c r="G26" s="51">
        <f t="shared" si="1"/>
        <v>93.556050128320052</v>
      </c>
      <c r="H26" s="25"/>
    </row>
    <row r="27" spans="1:9" s="22" customFormat="1" ht="20.25" customHeight="1" x14ac:dyDescent="0.2">
      <c r="B27" s="23" t="s">
        <v>38</v>
      </c>
      <c r="C27" s="1">
        <v>15558359.670000002</v>
      </c>
      <c r="D27" s="2">
        <v>118318</v>
      </c>
      <c r="E27" s="4">
        <f t="shared" si="0"/>
        <v>10115.087287583528</v>
      </c>
      <c r="F27" s="5">
        <v>3313212</v>
      </c>
      <c r="G27" s="51">
        <f t="shared" si="1"/>
        <v>35.710965673189641</v>
      </c>
    </row>
    <row r="28" spans="1:9" s="22" customFormat="1" ht="20.25" customHeight="1" x14ac:dyDescent="0.2">
      <c r="B28" s="24" t="s">
        <v>41</v>
      </c>
      <c r="C28" s="1">
        <v>3170317.9999999995</v>
      </c>
      <c r="D28" s="2">
        <v>47632</v>
      </c>
      <c r="E28" s="4">
        <f t="shared" si="0"/>
        <v>5119.8903129118098</v>
      </c>
      <c r="F28" s="5">
        <v>898484</v>
      </c>
      <c r="G28" s="51">
        <f t="shared" si="1"/>
        <v>53.013743149571944</v>
      </c>
      <c r="H28" s="25"/>
      <c r="I28" s="25"/>
    </row>
    <row r="29" spans="1:9" s="22" customFormat="1" ht="20.25" customHeight="1" x14ac:dyDescent="0.2">
      <c r="B29" s="24" t="s">
        <v>21</v>
      </c>
      <c r="C29" s="1">
        <v>7647352.9999999991</v>
      </c>
      <c r="D29" s="2">
        <v>75634</v>
      </c>
      <c r="E29" s="4">
        <f t="shared" si="0"/>
        <v>7777.6915550800295</v>
      </c>
      <c r="F29" s="5">
        <v>1530689</v>
      </c>
      <c r="G29" s="51">
        <f t="shared" si="1"/>
        <v>49.41173549950382</v>
      </c>
      <c r="H29" s="25"/>
    </row>
    <row r="30" spans="1:9" s="22" customFormat="1" ht="20.25" customHeight="1" thickBot="1" x14ac:dyDescent="0.25">
      <c r="B30" s="24" t="s">
        <v>40</v>
      </c>
      <c r="C30" s="2">
        <v>2889051.7483299999</v>
      </c>
      <c r="D30" s="2">
        <v>17736</v>
      </c>
      <c r="E30" s="4">
        <f t="shared" si="0"/>
        <v>12530.150534029006</v>
      </c>
      <c r="F30" s="5">
        <v>139852</v>
      </c>
      <c r="G30" s="51">
        <f t="shared" si="1"/>
        <v>126.81978091124904</v>
      </c>
    </row>
    <row r="31" spans="1:9" s="22" customFormat="1" ht="26.25" customHeight="1" thickBot="1" x14ac:dyDescent="0.25">
      <c r="A31" s="25"/>
      <c r="B31" s="49" t="s">
        <v>22</v>
      </c>
      <c r="C31" s="50">
        <f>SUM(C7:C30)</f>
        <v>199693972.60736948</v>
      </c>
      <c r="D31" s="50">
        <f>SUM(D7:D30)</f>
        <v>2004799</v>
      </c>
      <c r="E31" s="50">
        <f t="shared" si="0"/>
        <v>7662.1520740740089</v>
      </c>
      <c r="F31" s="50">
        <f>+SUM(F7:F30)</f>
        <v>41733271</v>
      </c>
      <c r="G31" s="52">
        <f t="shared" si="1"/>
        <v>48.038386447110746</v>
      </c>
    </row>
    <row r="32" spans="1:9" ht="8.25" customHeight="1" x14ac:dyDescent="0.2">
      <c r="B32" s="26"/>
      <c r="E32" s="27"/>
      <c r="G32" s="19"/>
    </row>
    <row r="33" spans="1:7" s="10" customFormat="1" x14ac:dyDescent="0.2">
      <c r="B33" s="60" t="s">
        <v>46</v>
      </c>
      <c r="C33" s="60"/>
      <c r="D33" s="60"/>
      <c r="E33" s="60"/>
      <c r="F33" s="60"/>
      <c r="G33" s="60"/>
    </row>
    <row r="34" spans="1:7" s="10" customFormat="1" x14ac:dyDescent="0.2">
      <c r="B34" s="60" t="s">
        <v>47</v>
      </c>
      <c r="C34" s="60"/>
      <c r="D34" s="60"/>
      <c r="E34" s="60"/>
      <c r="F34" s="60"/>
      <c r="G34" s="60"/>
    </row>
    <row r="35" spans="1:7" s="10" customFormat="1" x14ac:dyDescent="0.2">
      <c r="A35" s="18"/>
      <c r="B35" s="55" t="s">
        <v>59</v>
      </c>
      <c r="C35" s="55"/>
      <c r="D35" s="55"/>
      <c r="E35" s="55"/>
      <c r="F35" s="55"/>
      <c r="G35" s="55"/>
    </row>
    <row r="36" spans="1:7" s="10" customFormat="1" x14ac:dyDescent="0.2">
      <c r="A36" s="18"/>
      <c r="B36" s="55" t="s">
        <v>48</v>
      </c>
      <c r="C36" s="55"/>
      <c r="D36" s="55"/>
      <c r="E36" s="55"/>
      <c r="F36" s="55"/>
      <c r="G36" s="55"/>
    </row>
    <row r="37" spans="1:7" x14ac:dyDescent="0.2">
      <c r="B37" s="55" t="s">
        <v>51</v>
      </c>
      <c r="C37" s="55"/>
      <c r="D37" s="55"/>
      <c r="E37" s="55"/>
      <c r="F37" s="55"/>
      <c r="G37" s="55"/>
    </row>
    <row r="38" spans="1:7" x14ac:dyDescent="0.2">
      <c r="B38" s="54" t="s">
        <v>61</v>
      </c>
      <c r="C38" s="53"/>
      <c r="D38" s="53"/>
      <c r="E38" s="53"/>
      <c r="F38" s="53"/>
      <c r="G38" s="53"/>
    </row>
    <row r="39" spans="1:7" x14ac:dyDescent="0.2">
      <c r="B39" s="61" t="s">
        <v>39</v>
      </c>
      <c r="C39" s="61"/>
      <c r="D39" s="61"/>
      <c r="E39" s="61"/>
      <c r="F39" s="61"/>
      <c r="G39" s="61"/>
    </row>
    <row r="40" spans="1:7" x14ac:dyDescent="0.2">
      <c r="B40" s="64"/>
      <c r="C40" s="64"/>
      <c r="D40" s="64"/>
      <c r="E40" s="64"/>
      <c r="F40" s="64"/>
      <c r="G40" s="64"/>
    </row>
    <row r="41" spans="1:7" x14ac:dyDescent="0.2">
      <c r="B41" s="64"/>
      <c r="C41" s="64"/>
      <c r="D41" s="64"/>
      <c r="E41" s="64"/>
      <c r="F41" s="64"/>
      <c r="G41" s="64"/>
    </row>
    <row r="42" spans="1:7" x14ac:dyDescent="0.2">
      <c r="B42" s="64"/>
      <c r="C42" s="64"/>
      <c r="D42" s="64"/>
      <c r="E42" s="64"/>
      <c r="F42" s="64"/>
      <c r="G42" s="64"/>
    </row>
    <row r="43" spans="1:7" x14ac:dyDescent="0.2">
      <c r="B43" s="64"/>
      <c r="C43" s="64"/>
      <c r="D43" s="64"/>
      <c r="E43" s="64"/>
      <c r="F43" s="64"/>
      <c r="G43" s="64"/>
    </row>
  </sheetData>
  <mergeCells count="14">
    <mergeCell ref="B40:G40"/>
    <mergeCell ref="B41:G41"/>
    <mergeCell ref="B42:G42"/>
    <mergeCell ref="B43:G43"/>
    <mergeCell ref="B39:G39"/>
    <mergeCell ref="B35:G35"/>
    <mergeCell ref="B36:G36"/>
    <mergeCell ref="B37:G37"/>
    <mergeCell ref="B1:G1"/>
    <mergeCell ref="B2:G2"/>
    <mergeCell ref="B3:G3"/>
    <mergeCell ref="B4:G4"/>
    <mergeCell ref="B34:G34"/>
    <mergeCell ref="B33:G33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219075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H43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20" customWidth="1"/>
    <col min="2" max="2" width="27.140625" style="20" customWidth="1"/>
    <col min="3" max="3" width="23.7109375" style="20" customWidth="1"/>
    <col min="4" max="4" width="17" style="20" customWidth="1"/>
    <col min="5" max="7" width="19.42578125" style="20" customWidth="1"/>
    <col min="8" max="8" width="14.28515625" style="20" customWidth="1"/>
    <col min="9" max="16384" width="11.42578125" style="20"/>
  </cols>
  <sheetData>
    <row r="1" spans="2:7" ht="63" customHeight="1" x14ac:dyDescent="0.2">
      <c r="B1" s="62"/>
      <c r="C1" s="62"/>
      <c r="D1" s="62"/>
      <c r="E1" s="62"/>
      <c r="F1" s="62"/>
      <c r="G1" s="62"/>
    </row>
    <row r="2" spans="2:7" s="22" customFormat="1" ht="18.75" customHeight="1" x14ac:dyDescent="0.2">
      <c r="B2" s="57" t="s">
        <v>45</v>
      </c>
      <c r="C2" s="57"/>
      <c r="D2" s="57"/>
      <c r="E2" s="57"/>
      <c r="F2" s="57"/>
      <c r="G2" s="57"/>
    </row>
    <row r="3" spans="2:7" s="21" customFormat="1" ht="18.75" customHeight="1" x14ac:dyDescent="0.2">
      <c r="B3" s="58" t="s">
        <v>44</v>
      </c>
      <c r="C3" s="58"/>
      <c r="D3" s="58"/>
      <c r="E3" s="58"/>
      <c r="F3" s="58"/>
      <c r="G3" s="58"/>
    </row>
    <row r="4" spans="2:7" ht="18.75" customHeight="1" x14ac:dyDescent="0.2">
      <c r="B4" s="63" t="s">
        <v>33</v>
      </c>
      <c r="C4" s="63"/>
      <c r="D4" s="63"/>
      <c r="E4" s="63"/>
      <c r="F4" s="63"/>
      <c r="G4" s="63"/>
    </row>
    <row r="5" spans="2:7" ht="13.5" thickBot="1" x14ac:dyDescent="0.25"/>
    <row r="6" spans="2:7" s="21" customFormat="1" ht="53.25" customHeight="1" thickBot="1" x14ac:dyDescent="0.25">
      <c r="B6" s="44" t="s">
        <v>30</v>
      </c>
      <c r="C6" s="45" t="s">
        <v>43</v>
      </c>
      <c r="D6" s="41" t="s">
        <v>56</v>
      </c>
      <c r="E6" s="40" t="s">
        <v>42</v>
      </c>
      <c r="F6" s="42" t="s">
        <v>57</v>
      </c>
      <c r="G6" s="46" t="s">
        <v>1</v>
      </c>
    </row>
    <row r="7" spans="2:7" s="22" customFormat="1" ht="20.25" customHeight="1" x14ac:dyDescent="0.2">
      <c r="B7" s="12" t="s">
        <v>55</v>
      </c>
      <c r="C7" s="1">
        <v>23215409.648619995</v>
      </c>
      <c r="D7" s="2">
        <v>162045</v>
      </c>
      <c r="E7" s="4">
        <f t="shared" ref="E7:E31" si="0">C7/D7/13*1000</f>
        <v>11020.400149350724</v>
      </c>
      <c r="F7" s="5">
        <v>3044076</v>
      </c>
      <c r="G7" s="51">
        <f>D7/F7*1000</f>
        <v>53.232902200864892</v>
      </c>
    </row>
    <row r="8" spans="2:7" s="22" customFormat="1" ht="20.25" customHeight="1" x14ac:dyDescent="0.2">
      <c r="B8" s="24" t="s">
        <v>3</v>
      </c>
      <c r="C8" s="1">
        <v>72908310</v>
      </c>
      <c r="D8" s="2">
        <v>652177</v>
      </c>
      <c r="E8" s="4">
        <f t="shared" si="0"/>
        <v>8599.4009884763473</v>
      </c>
      <c r="F8" s="5">
        <v>16289599</v>
      </c>
      <c r="G8" s="51">
        <f>D8/F8*1000</f>
        <v>40.036406052721119</v>
      </c>
    </row>
    <row r="9" spans="2:7" s="22" customFormat="1" ht="20.25" customHeight="1" x14ac:dyDescent="0.2">
      <c r="B9" s="24" t="s">
        <v>4</v>
      </c>
      <c r="C9" s="1">
        <v>4451204.9259787844</v>
      </c>
      <c r="D9" s="2">
        <v>40391</v>
      </c>
      <c r="E9" s="4">
        <f t="shared" si="0"/>
        <v>8477.1453769761829</v>
      </c>
      <c r="F9" s="5">
        <v>389256</v>
      </c>
      <c r="G9" s="51">
        <f t="shared" ref="G9:G31" si="1">D9/F9*1000</f>
        <v>103.76461762952916</v>
      </c>
    </row>
    <row r="10" spans="2:7" s="22" customFormat="1" ht="20.25" customHeight="1" x14ac:dyDescent="0.2">
      <c r="B10" s="24" t="s">
        <v>5</v>
      </c>
      <c r="C10" s="1">
        <v>18639128</v>
      </c>
      <c r="D10" s="2">
        <v>119491</v>
      </c>
      <c r="E10" s="4">
        <f t="shared" si="0"/>
        <v>11999.054965839076</v>
      </c>
      <c r="F10" s="5">
        <v>3489669</v>
      </c>
      <c r="G10" s="51">
        <f t="shared" si="1"/>
        <v>34.241356415178629</v>
      </c>
    </row>
    <row r="11" spans="2:7" s="22" customFormat="1" ht="20.25" customHeight="1" x14ac:dyDescent="0.2">
      <c r="B11" s="24" t="s">
        <v>6</v>
      </c>
      <c r="C11" s="1">
        <v>6642741</v>
      </c>
      <c r="D11" s="2">
        <v>58796</v>
      </c>
      <c r="E11" s="4">
        <f t="shared" si="0"/>
        <v>8690.7285686624418</v>
      </c>
      <c r="F11" s="5">
        <v>1049325</v>
      </c>
      <c r="G11" s="51">
        <f t="shared" si="1"/>
        <v>56.032211183379786</v>
      </c>
    </row>
    <row r="12" spans="2:7" s="22" customFormat="1" ht="20.25" customHeight="1" x14ac:dyDescent="0.2">
      <c r="B12" s="24" t="s">
        <v>7</v>
      </c>
      <c r="C12" s="1">
        <v>8769843.7100000009</v>
      </c>
      <c r="D12" s="2">
        <v>76174</v>
      </c>
      <c r="E12" s="4">
        <f t="shared" si="0"/>
        <v>8856.0842585093651</v>
      </c>
      <c r="F12" s="5">
        <v>1117953</v>
      </c>
      <c r="G12" s="51">
        <f t="shared" si="1"/>
        <v>68.137032594393503</v>
      </c>
    </row>
    <row r="13" spans="2:7" s="22" customFormat="1" ht="20.25" customHeight="1" x14ac:dyDescent="0.2">
      <c r="B13" s="24" t="s">
        <v>8</v>
      </c>
      <c r="C13" s="1">
        <v>6294627.8040000005</v>
      </c>
      <c r="D13" s="2">
        <v>41239</v>
      </c>
      <c r="E13" s="4">
        <f t="shared" si="0"/>
        <v>11741.364697718926</v>
      </c>
      <c r="F13" s="5">
        <v>545656</v>
      </c>
      <c r="G13" s="51">
        <f t="shared" si="1"/>
        <v>75.576920257451576</v>
      </c>
    </row>
    <row r="14" spans="2:7" s="22" customFormat="1" ht="20.25" customHeight="1" x14ac:dyDescent="0.2">
      <c r="B14" s="24" t="s">
        <v>9</v>
      </c>
      <c r="C14" s="1">
        <v>9666983.9999999981</v>
      </c>
      <c r="D14" s="2">
        <v>73430</v>
      </c>
      <c r="E14" s="4">
        <f t="shared" si="0"/>
        <v>10126.843985375919</v>
      </c>
      <c r="F14" s="5">
        <v>1295121</v>
      </c>
      <c r="G14" s="51">
        <f t="shared" si="1"/>
        <v>56.69740510732202</v>
      </c>
    </row>
    <row r="15" spans="2:7" s="22" customFormat="1" ht="20.25" customHeight="1" x14ac:dyDescent="0.2">
      <c r="B15" s="24" t="s">
        <v>10</v>
      </c>
      <c r="C15" s="1">
        <v>4798067.3951900005</v>
      </c>
      <c r="D15" s="2">
        <v>38382</v>
      </c>
      <c r="E15" s="4">
        <f t="shared" si="0"/>
        <v>9616.020721231509</v>
      </c>
      <c r="F15" s="5">
        <v>568331</v>
      </c>
      <c r="G15" s="51">
        <f t="shared" si="1"/>
        <v>67.534588118543596</v>
      </c>
    </row>
    <row r="16" spans="2:7" s="22" customFormat="1" ht="20.25" customHeight="1" x14ac:dyDescent="0.2">
      <c r="B16" s="24" t="s">
        <v>11</v>
      </c>
      <c r="C16" s="1">
        <v>5918540.0000000009</v>
      </c>
      <c r="D16" s="2">
        <v>59602</v>
      </c>
      <c r="E16" s="4">
        <f t="shared" si="0"/>
        <v>7638.5407820594573</v>
      </c>
      <c r="F16" s="5">
        <v>710121</v>
      </c>
      <c r="G16" s="51">
        <f t="shared" si="1"/>
        <v>83.932174939200507</v>
      </c>
    </row>
    <row r="17" spans="2:8" s="22" customFormat="1" ht="20.25" customHeight="1" x14ac:dyDescent="0.2">
      <c r="B17" s="12" t="s">
        <v>49</v>
      </c>
      <c r="C17" s="1">
        <v>3775511.4435629183</v>
      </c>
      <c r="D17" s="2">
        <v>23029</v>
      </c>
      <c r="E17" s="4">
        <f t="shared" si="0"/>
        <v>12611.227460903538</v>
      </c>
      <c r="F17" s="5">
        <v>336706</v>
      </c>
      <c r="G17" s="51">
        <f t="shared" si="1"/>
        <v>68.394979596443179</v>
      </c>
    </row>
    <row r="18" spans="2:8" s="22" customFormat="1" ht="20.25" customHeight="1" x14ac:dyDescent="0.2">
      <c r="B18" s="24" t="s">
        <v>12</v>
      </c>
      <c r="C18" s="1">
        <v>3138817.5965600004</v>
      </c>
      <c r="D18" s="2">
        <v>35380</v>
      </c>
      <c r="E18" s="4">
        <f t="shared" si="0"/>
        <v>6824.4066542592527</v>
      </c>
      <c r="F18" s="5">
        <v>357516</v>
      </c>
      <c r="G18" s="51">
        <f t="shared" si="1"/>
        <v>98.960605958894149</v>
      </c>
    </row>
    <row r="19" spans="2:8" s="22" customFormat="1" ht="20.25" customHeight="1" x14ac:dyDescent="0.2">
      <c r="B19" s="23" t="s">
        <v>28</v>
      </c>
      <c r="C19" s="2">
        <v>12137699.999999998</v>
      </c>
      <c r="D19" s="2">
        <v>91040</v>
      </c>
      <c r="E19" s="4">
        <f t="shared" si="0"/>
        <v>10255.593483844799</v>
      </c>
      <c r="F19" s="5">
        <v>1841813</v>
      </c>
      <c r="G19" s="51">
        <f t="shared" si="1"/>
        <v>49.429556637943158</v>
      </c>
    </row>
    <row r="20" spans="2:8" s="22" customFormat="1" ht="20.25" customHeight="1" x14ac:dyDescent="0.2">
      <c r="B20" s="24" t="s">
        <v>14</v>
      </c>
      <c r="C20" s="1">
        <v>6044533.9500000002</v>
      </c>
      <c r="D20" s="2">
        <v>55457</v>
      </c>
      <c r="E20" s="4">
        <f t="shared" si="0"/>
        <v>8384.228321041528</v>
      </c>
      <c r="F20" s="5">
        <v>1159445</v>
      </c>
      <c r="G20" s="51">
        <f t="shared" si="1"/>
        <v>47.83064310941873</v>
      </c>
    </row>
    <row r="21" spans="2:8" s="22" customFormat="1" ht="20.25" customHeight="1" x14ac:dyDescent="0.2">
      <c r="B21" s="24" t="s">
        <v>15</v>
      </c>
      <c r="C21" s="1">
        <v>7996225.2699999996</v>
      </c>
      <c r="D21" s="2">
        <v>56254</v>
      </c>
      <c r="E21" s="4">
        <f t="shared" si="0"/>
        <v>10934.231370897387</v>
      </c>
      <c r="F21" s="5">
        <v>601003</v>
      </c>
      <c r="G21" s="51">
        <f t="shared" si="1"/>
        <v>93.60019833511646</v>
      </c>
    </row>
    <row r="22" spans="2:8" s="22" customFormat="1" ht="20.25" customHeight="1" x14ac:dyDescent="0.2">
      <c r="B22" s="24" t="s">
        <v>16</v>
      </c>
      <c r="C22" s="1">
        <v>6566056.2085199999</v>
      </c>
      <c r="D22" s="2">
        <v>52331</v>
      </c>
      <c r="E22" s="4">
        <f t="shared" si="0"/>
        <v>9651.6643444465171</v>
      </c>
      <c r="F22" s="5">
        <v>678797</v>
      </c>
      <c r="G22" s="51">
        <f t="shared" si="1"/>
        <v>77.093740838571762</v>
      </c>
    </row>
    <row r="23" spans="2:8" s="22" customFormat="1" ht="20.25" customHeight="1" x14ac:dyDescent="0.2">
      <c r="B23" s="24" t="s">
        <v>17</v>
      </c>
      <c r="C23" s="1">
        <v>6811029.29</v>
      </c>
      <c r="D23" s="2">
        <v>64298</v>
      </c>
      <c r="E23" s="4">
        <f t="shared" si="0"/>
        <v>8148.3923294659244</v>
      </c>
      <c r="F23" s="5">
        <v>1295944</v>
      </c>
      <c r="G23" s="51">
        <f t="shared" si="1"/>
        <v>49.614798170291309</v>
      </c>
    </row>
    <row r="24" spans="2:8" s="22" customFormat="1" ht="20.25" customHeight="1" x14ac:dyDescent="0.2">
      <c r="B24" s="24" t="s">
        <v>18</v>
      </c>
      <c r="C24" s="1">
        <v>4250822.8000000007</v>
      </c>
      <c r="D24" s="2">
        <v>36547</v>
      </c>
      <c r="E24" s="4">
        <f t="shared" si="0"/>
        <v>8947.0098566440283</v>
      </c>
      <c r="F24" s="5">
        <v>721830</v>
      </c>
      <c r="G24" s="51">
        <f t="shared" si="1"/>
        <v>50.631035008242939</v>
      </c>
    </row>
    <row r="25" spans="2:8" s="22" customFormat="1" ht="20.25" customHeight="1" x14ac:dyDescent="0.2">
      <c r="B25" s="12" t="s">
        <v>50</v>
      </c>
      <c r="C25" s="1">
        <v>2161257.2543233866</v>
      </c>
      <c r="D25" s="2">
        <v>23249</v>
      </c>
      <c r="E25" s="4">
        <f t="shared" si="0"/>
        <v>7150.8691997451888</v>
      </c>
      <c r="F25" s="5">
        <v>463411</v>
      </c>
      <c r="G25" s="51">
        <f t="shared" si="1"/>
        <v>50.169288169680911</v>
      </c>
      <c r="H25" s="28"/>
    </row>
    <row r="26" spans="2:8" s="22" customFormat="1" ht="20.25" customHeight="1" x14ac:dyDescent="0.2">
      <c r="B26" s="24" t="s">
        <v>19</v>
      </c>
      <c r="C26" s="1">
        <v>5264854.0439999998</v>
      </c>
      <c r="D26" s="2">
        <v>31847</v>
      </c>
      <c r="E26" s="4">
        <f t="shared" si="0"/>
        <v>12716.700870266732</v>
      </c>
      <c r="F26" s="5">
        <v>302420</v>
      </c>
      <c r="G26" s="51">
        <f t="shared" si="1"/>
        <v>105.30718867799749</v>
      </c>
    </row>
    <row r="27" spans="2:8" s="22" customFormat="1" ht="20.25" customHeight="1" x14ac:dyDescent="0.2">
      <c r="B27" s="23" t="s">
        <v>38</v>
      </c>
      <c r="C27" s="1">
        <v>19845905.080000002</v>
      </c>
      <c r="D27" s="2">
        <v>123917</v>
      </c>
      <c r="E27" s="4">
        <f t="shared" si="0"/>
        <v>12319.601693689512</v>
      </c>
      <c r="F27" s="5">
        <v>3341228</v>
      </c>
      <c r="G27" s="51">
        <f t="shared" si="1"/>
        <v>37.087262527430035</v>
      </c>
    </row>
    <row r="28" spans="2:8" s="22" customFormat="1" ht="20.25" customHeight="1" x14ac:dyDescent="0.2">
      <c r="B28" s="24" t="s">
        <v>41</v>
      </c>
      <c r="C28" s="1">
        <v>4000028.0000000005</v>
      </c>
      <c r="D28" s="2">
        <v>49936</v>
      </c>
      <c r="E28" s="4">
        <f t="shared" si="0"/>
        <v>6161.776304438913</v>
      </c>
      <c r="F28" s="5">
        <v>908268</v>
      </c>
      <c r="G28" s="51">
        <f t="shared" si="1"/>
        <v>54.979367323301055</v>
      </c>
    </row>
    <row r="29" spans="2:8" s="22" customFormat="1" ht="20.25" customHeight="1" x14ac:dyDescent="0.2">
      <c r="B29" s="24" t="s">
        <v>21</v>
      </c>
      <c r="C29" s="1">
        <v>10120410</v>
      </c>
      <c r="D29" s="2">
        <v>77422</v>
      </c>
      <c r="E29" s="4">
        <f t="shared" si="0"/>
        <v>10055.192024528906</v>
      </c>
      <c r="F29" s="5">
        <v>1551460</v>
      </c>
      <c r="G29" s="51">
        <f t="shared" si="1"/>
        <v>49.90267232155518</v>
      </c>
    </row>
    <row r="30" spans="2:8" s="22" customFormat="1" ht="20.25" customHeight="1" thickBot="1" x14ac:dyDescent="0.25">
      <c r="B30" s="24" t="s">
        <v>40</v>
      </c>
      <c r="C30" s="2">
        <v>3831613.3498800001</v>
      </c>
      <c r="D30" s="2">
        <v>17836</v>
      </c>
      <c r="E30" s="4">
        <f t="shared" si="0"/>
        <v>16524.976926009625</v>
      </c>
      <c r="F30" s="5">
        <v>143987</v>
      </c>
      <c r="G30" s="51">
        <f t="shared" si="1"/>
        <v>123.87229402654407</v>
      </c>
    </row>
    <row r="31" spans="2:8" s="25" customFormat="1" ht="26.25" customHeight="1" thickBot="1" x14ac:dyDescent="0.25">
      <c r="B31" s="49" t="s">
        <v>22</v>
      </c>
      <c r="C31" s="50">
        <f>SUM(C7:C30)</f>
        <v>257249620.7706351</v>
      </c>
      <c r="D31" s="50">
        <f>SUM(D7:D30)</f>
        <v>2060270</v>
      </c>
      <c r="E31" s="50">
        <f t="shared" si="0"/>
        <v>9604.7762511573401</v>
      </c>
      <c r="F31" s="50">
        <f>+SUM(F7:F30)</f>
        <v>42202935</v>
      </c>
      <c r="G31" s="52">
        <f t="shared" si="1"/>
        <v>48.818168688978616</v>
      </c>
    </row>
    <row r="32" spans="2:8" ht="8.25" customHeight="1" x14ac:dyDescent="0.2">
      <c r="B32" s="26"/>
      <c r="E32" s="27"/>
      <c r="G32" s="19"/>
    </row>
    <row r="33" spans="1:7" s="10" customFormat="1" x14ac:dyDescent="0.2">
      <c r="B33" s="60" t="s">
        <v>46</v>
      </c>
      <c r="C33" s="60"/>
      <c r="D33" s="60"/>
      <c r="E33" s="60"/>
      <c r="F33" s="60"/>
      <c r="G33" s="60"/>
    </row>
    <row r="34" spans="1:7" s="10" customFormat="1" x14ac:dyDescent="0.2">
      <c r="B34" s="60" t="s">
        <v>47</v>
      </c>
      <c r="C34" s="60"/>
      <c r="D34" s="60"/>
      <c r="E34" s="60"/>
      <c r="F34" s="60"/>
      <c r="G34" s="60"/>
    </row>
    <row r="35" spans="1:7" s="10" customFormat="1" x14ac:dyDescent="0.2">
      <c r="A35" s="18"/>
      <c r="B35" s="55" t="s">
        <v>59</v>
      </c>
      <c r="C35" s="55"/>
      <c r="D35" s="55"/>
      <c r="E35" s="55"/>
      <c r="F35" s="55"/>
      <c r="G35" s="55"/>
    </row>
    <row r="36" spans="1:7" s="10" customFormat="1" x14ac:dyDescent="0.2">
      <c r="A36" s="18"/>
      <c r="B36" s="55" t="s">
        <v>48</v>
      </c>
      <c r="C36" s="55"/>
      <c r="D36" s="55"/>
      <c r="E36" s="55"/>
      <c r="F36" s="55"/>
      <c r="G36" s="55"/>
    </row>
    <row r="37" spans="1:7" x14ac:dyDescent="0.2">
      <c r="B37" s="64"/>
      <c r="C37" s="64"/>
      <c r="D37" s="64"/>
      <c r="E37" s="64"/>
      <c r="F37" s="64"/>
      <c r="G37" s="64"/>
    </row>
    <row r="38" spans="1:7" x14ac:dyDescent="0.2">
      <c r="B38" s="54" t="s">
        <v>61</v>
      </c>
      <c r="C38" s="53"/>
      <c r="D38" s="53"/>
      <c r="E38" s="53"/>
      <c r="F38" s="53"/>
      <c r="G38" s="53"/>
    </row>
    <row r="39" spans="1:7" x14ac:dyDescent="0.2">
      <c r="B39" s="61" t="s">
        <v>39</v>
      </c>
      <c r="C39" s="61"/>
      <c r="D39" s="61"/>
      <c r="E39" s="61"/>
      <c r="F39" s="61"/>
      <c r="G39" s="61"/>
    </row>
    <row r="40" spans="1:7" x14ac:dyDescent="0.2">
      <c r="B40" s="64"/>
      <c r="C40" s="64"/>
      <c r="D40" s="64"/>
      <c r="E40" s="64"/>
      <c r="F40" s="64"/>
      <c r="G40" s="64"/>
    </row>
    <row r="41" spans="1:7" x14ac:dyDescent="0.2">
      <c r="B41" s="64"/>
      <c r="C41" s="64"/>
      <c r="D41" s="64"/>
      <c r="E41" s="64"/>
      <c r="F41" s="64"/>
      <c r="G41" s="64"/>
    </row>
    <row r="42" spans="1:7" x14ac:dyDescent="0.2">
      <c r="B42" s="64"/>
      <c r="C42" s="64"/>
      <c r="D42" s="64"/>
      <c r="E42" s="64"/>
      <c r="F42" s="64"/>
      <c r="G42" s="64"/>
    </row>
    <row r="43" spans="1:7" x14ac:dyDescent="0.2">
      <c r="B43" s="64"/>
      <c r="C43" s="64"/>
      <c r="D43" s="64"/>
      <c r="E43" s="64"/>
      <c r="F43" s="64"/>
      <c r="G43" s="64"/>
    </row>
  </sheetData>
  <mergeCells count="14">
    <mergeCell ref="B40:G40"/>
    <mergeCell ref="B41:G41"/>
    <mergeCell ref="B42:G42"/>
    <mergeCell ref="B43:G43"/>
    <mergeCell ref="B35:G35"/>
    <mergeCell ref="B36:G36"/>
    <mergeCell ref="B37:G37"/>
    <mergeCell ref="B33:G33"/>
    <mergeCell ref="B39:G39"/>
    <mergeCell ref="B1:G1"/>
    <mergeCell ref="B2:G2"/>
    <mergeCell ref="B3:G3"/>
    <mergeCell ref="B4:G4"/>
    <mergeCell ref="B34:G34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180975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43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20" customWidth="1"/>
    <col min="2" max="2" width="27.140625" style="20" customWidth="1"/>
    <col min="3" max="3" width="23.7109375" style="20" customWidth="1"/>
    <col min="4" max="4" width="17" style="20" customWidth="1"/>
    <col min="5" max="7" width="19.42578125" style="20" customWidth="1"/>
    <col min="8" max="16384" width="11.42578125" style="20"/>
  </cols>
  <sheetData>
    <row r="1" spans="2:7" ht="63" customHeight="1" x14ac:dyDescent="0.2">
      <c r="B1" s="62"/>
      <c r="C1" s="62"/>
      <c r="D1" s="62"/>
      <c r="E1" s="62"/>
      <c r="F1" s="62"/>
      <c r="G1" s="62"/>
    </row>
    <row r="2" spans="2:7" s="22" customFormat="1" ht="18.75" customHeight="1" x14ac:dyDescent="0.2">
      <c r="B2" s="57" t="s">
        <v>45</v>
      </c>
      <c r="C2" s="57"/>
      <c r="D2" s="57"/>
      <c r="E2" s="57"/>
      <c r="F2" s="57"/>
      <c r="G2" s="57"/>
    </row>
    <row r="3" spans="2:7" s="21" customFormat="1" ht="18.75" customHeight="1" x14ac:dyDescent="0.2">
      <c r="B3" s="58" t="s">
        <v>44</v>
      </c>
      <c r="C3" s="58"/>
      <c r="D3" s="58"/>
      <c r="E3" s="58"/>
      <c r="F3" s="58"/>
      <c r="G3" s="58"/>
    </row>
    <row r="4" spans="2:7" ht="18.75" customHeight="1" x14ac:dyDescent="0.2">
      <c r="B4" s="63" t="s">
        <v>34</v>
      </c>
      <c r="C4" s="63"/>
      <c r="D4" s="63"/>
      <c r="E4" s="63"/>
      <c r="F4" s="63"/>
      <c r="G4" s="63"/>
    </row>
    <row r="5" spans="2:7" ht="13.5" thickBot="1" x14ac:dyDescent="0.25"/>
    <row r="6" spans="2:7" s="21" customFormat="1" ht="53.25" customHeight="1" thickBot="1" x14ac:dyDescent="0.25">
      <c r="B6" s="44" t="s">
        <v>30</v>
      </c>
      <c r="C6" s="45" t="s">
        <v>43</v>
      </c>
      <c r="D6" s="41" t="s">
        <v>56</v>
      </c>
      <c r="E6" s="40" t="s">
        <v>42</v>
      </c>
      <c r="F6" s="42" t="s">
        <v>57</v>
      </c>
      <c r="G6" s="46" t="s">
        <v>1</v>
      </c>
    </row>
    <row r="7" spans="2:7" s="22" customFormat="1" ht="20.25" customHeight="1" x14ac:dyDescent="0.2">
      <c r="B7" s="12" t="s">
        <v>55</v>
      </c>
      <c r="C7" s="1">
        <v>30778437.600360006</v>
      </c>
      <c r="D7" s="2">
        <v>163052</v>
      </c>
      <c r="E7" s="4">
        <f t="shared" ref="E7:E31" si="0">C7/D7/13*1000</f>
        <v>14520.350091410201</v>
      </c>
      <c r="F7" s="5">
        <v>3049229</v>
      </c>
      <c r="G7" s="51">
        <f>D7/F7*1000</f>
        <v>53.473189452153314</v>
      </c>
    </row>
    <row r="8" spans="2:7" s="22" customFormat="1" ht="20.25" customHeight="1" x14ac:dyDescent="0.2">
      <c r="B8" s="24" t="s">
        <v>3</v>
      </c>
      <c r="C8" s="1">
        <v>98236242.999999985</v>
      </c>
      <c r="D8" s="2">
        <v>647134</v>
      </c>
      <c r="E8" s="4">
        <f t="shared" si="0"/>
        <v>11677.077818385489</v>
      </c>
      <c r="F8" s="5">
        <v>16476149</v>
      </c>
      <c r="G8" s="51">
        <f>D8/F8*1000</f>
        <v>39.277017948793734</v>
      </c>
    </row>
    <row r="9" spans="2:7" s="22" customFormat="1" ht="20.25" customHeight="1" x14ac:dyDescent="0.2">
      <c r="B9" s="24" t="s">
        <v>4</v>
      </c>
      <c r="C9" s="1">
        <v>5849496.1318340003</v>
      </c>
      <c r="D9" s="2">
        <v>40163</v>
      </c>
      <c r="E9" s="4">
        <f t="shared" si="0"/>
        <v>11203.377260421474</v>
      </c>
      <c r="F9" s="5">
        <v>393088</v>
      </c>
      <c r="G9" s="51">
        <f t="shared" ref="G9:G31" si="1">D9/F9*1000</f>
        <v>102.1730503093455</v>
      </c>
    </row>
    <row r="10" spans="2:7" s="22" customFormat="1" ht="20.25" customHeight="1" x14ac:dyDescent="0.2">
      <c r="B10" s="24" t="s">
        <v>5</v>
      </c>
      <c r="C10" s="1">
        <v>26169314</v>
      </c>
      <c r="D10" s="2">
        <v>122237</v>
      </c>
      <c r="E10" s="4">
        <f t="shared" si="0"/>
        <v>16468.206466504857</v>
      </c>
      <c r="F10" s="5">
        <v>3528687</v>
      </c>
      <c r="G10" s="51">
        <f t="shared" si="1"/>
        <v>34.640930181679479</v>
      </c>
    </row>
    <row r="11" spans="2:7" s="22" customFormat="1" ht="20.25" customHeight="1" x14ac:dyDescent="0.2">
      <c r="B11" s="24" t="s">
        <v>6</v>
      </c>
      <c r="C11" s="1">
        <v>8943180</v>
      </c>
      <c r="D11" s="2">
        <v>59307</v>
      </c>
      <c r="E11" s="4">
        <f t="shared" si="0"/>
        <v>11599.590656700273</v>
      </c>
      <c r="F11" s="5">
        <v>1059836</v>
      </c>
      <c r="G11" s="51">
        <f t="shared" si="1"/>
        <v>55.95865775459599</v>
      </c>
    </row>
    <row r="12" spans="2:7" s="22" customFormat="1" ht="20.25" customHeight="1" x14ac:dyDescent="0.2">
      <c r="B12" s="24" t="s">
        <v>7</v>
      </c>
      <c r="C12" s="1">
        <v>11494526.744295316</v>
      </c>
      <c r="D12" s="2">
        <v>78577</v>
      </c>
      <c r="E12" s="4">
        <f t="shared" si="0"/>
        <v>11252.584916016054</v>
      </c>
      <c r="F12" s="5">
        <v>1130608</v>
      </c>
      <c r="G12" s="51">
        <f t="shared" si="1"/>
        <v>69.499773573157086</v>
      </c>
    </row>
    <row r="13" spans="2:7" s="22" customFormat="1" ht="20.25" customHeight="1" x14ac:dyDescent="0.2">
      <c r="B13" s="24" t="s">
        <v>8</v>
      </c>
      <c r="C13" s="1">
        <v>9505101.0909999982</v>
      </c>
      <c r="D13" s="2">
        <v>42942</v>
      </c>
      <c r="E13" s="4">
        <f t="shared" si="0"/>
        <v>17026.724940259308</v>
      </c>
      <c r="F13" s="5">
        <v>556319</v>
      </c>
      <c r="G13" s="51">
        <f t="shared" si="1"/>
        <v>77.18952615316033</v>
      </c>
    </row>
    <row r="14" spans="2:7" s="22" customFormat="1" ht="20.25" customHeight="1" x14ac:dyDescent="0.2">
      <c r="B14" s="24" t="s">
        <v>9</v>
      </c>
      <c r="C14" s="1">
        <v>13906670</v>
      </c>
      <c r="D14" s="2">
        <v>76383</v>
      </c>
      <c r="E14" s="4">
        <f t="shared" si="0"/>
        <v>14004.999098671777</v>
      </c>
      <c r="F14" s="5">
        <v>1308290</v>
      </c>
      <c r="G14" s="51">
        <f t="shared" si="1"/>
        <v>58.38384456045678</v>
      </c>
    </row>
    <row r="15" spans="2:7" s="22" customFormat="1" ht="20.25" customHeight="1" x14ac:dyDescent="0.2">
      <c r="B15" s="24" t="s">
        <v>10</v>
      </c>
      <c r="C15" s="1">
        <v>6409815.5583699988</v>
      </c>
      <c r="D15" s="2">
        <v>39070</v>
      </c>
      <c r="E15" s="4">
        <f t="shared" si="0"/>
        <v>12619.982985903012</v>
      </c>
      <c r="F15" s="5">
        <v>573823</v>
      </c>
      <c r="G15" s="51">
        <f t="shared" si="1"/>
        <v>68.087197620172063</v>
      </c>
    </row>
    <row r="16" spans="2:7" s="22" customFormat="1" ht="20.25" customHeight="1" x14ac:dyDescent="0.2">
      <c r="B16" s="24" t="s">
        <v>11</v>
      </c>
      <c r="C16" s="1">
        <v>8334480</v>
      </c>
      <c r="D16" s="2">
        <v>61457</v>
      </c>
      <c r="E16" s="4">
        <f t="shared" si="0"/>
        <v>10431.909239856261</v>
      </c>
      <c r="F16" s="5">
        <v>718971</v>
      </c>
      <c r="G16" s="51">
        <f t="shared" si="1"/>
        <v>85.479108336775752</v>
      </c>
    </row>
    <row r="17" spans="2:7" s="22" customFormat="1" ht="20.25" customHeight="1" x14ac:dyDescent="0.2">
      <c r="B17" s="12" t="s">
        <v>49</v>
      </c>
      <c r="C17" s="1">
        <v>5088833.4399899598</v>
      </c>
      <c r="D17" s="2">
        <v>23397</v>
      </c>
      <c r="E17" s="4">
        <f t="shared" si="0"/>
        <v>16730.7230052175</v>
      </c>
      <c r="F17" s="5">
        <v>339895</v>
      </c>
      <c r="G17" s="51">
        <f t="shared" si="1"/>
        <v>68.835964047720623</v>
      </c>
    </row>
    <row r="18" spans="2:7" s="22" customFormat="1" ht="20.25" customHeight="1" x14ac:dyDescent="0.2">
      <c r="B18" s="24" t="s">
        <v>12</v>
      </c>
      <c r="C18" s="1">
        <v>4264745.8804000001</v>
      </c>
      <c r="D18" s="2">
        <v>36222</v>
      </c>
      <c r="E18" s="4">
        <f t="shared" si="0"/>
        <v>9056.8542713098286</v>
      </c>
      <c r="F18" s="5">
        <v>362605</v>
      </c>
      <c r="G18" s="51">
        <f t="shared" si="1"/>
        <v>99.893823857917027</v>
      </c>
    </row>
    <row r="19" spans="2:7" s="22" customFormat="1" ht="20.25" customHeight="1" x14ac:dyDescent="0.2">
      <c r="B19" s="23" t="s">
        <v>52</v>
      </c>
      <c r="C19" s="2">
        <v>16407996.600000001</v>
      </c>
      <c r="D19" s="2">
        <v>91601</v>
      </c>
      <c r="E19" s="4">
        <f t="shared" si="0"/>
        <v>13778.818840573624</v>
      </c>
      <c r="F19" s="5">
        <v>1863809</v>
      </c>
      <c r="G19" s="51">
        <f t="shared" si="1"/>
        <v>49.147203388330027</v>
      </c>
    </row>
    <row r="20" spans="2:7" s="22" customFormat="1" ht="20.25" customHeight="1" x14ac:dyDescent="0.2">
      <c r="B20" s="24" t="s">
        <v>14</v>
      </c>
      <c r="C20" s="1">
        <v>8557043.5999999996</v>
      </c>
      <c r="D20" s="2">
        <v>57248</v>
      </c>
      <c r="E20" s="4">
        <f t="shared" si="0"/>
        <v>11497.94094251193</v>
      </c>
      <c r="F20" s="5">
        <v>1174542</v>
      </c>
      <c r="G20" s="51">
        <f t="shared" si="1"/>
        <v>48.74070063054365</v>
      </c>
    </row>
    <row r="21" spans="2:7" s="22" customFormat="1" ht="20.25" customHeight="1" x14ac:dyDescent="0.2">
      <c r="B21" s="24" t="s">
        <v>15</v>
      </c>
      <c r="C21" s="1">
        <v>12003817.317</v>
      </c>
      <c r="D21" s="2">
        <v>59164</v>
      </c>
      <c r="E21" s="4">
        <f t="shared" si="0"/>
        <v>15606.966446591741</v>
      </c>
      <c r="F21" s="5">
        <v>610449</v>
      </c>
      <c r="G21" s="51">
        <f t="shared" si="1"/>
        <v>96.918825323655213</v>
      </c>
    </row>
    <row r="22" spans="2:7" s="22" customFormat="1" ht="20.25" customHeight="1" x14ac:dyDescent="0.2">
      <c r="B22" s="24" t="s">
        <v>16</v>
      </c>
      <c r="C22" s="1">
        <v>8832728.9110899996</v>
      </c>
      <c r="D22" s="2">
        <v>53363</v>
      </c>
      <c r="E22" s="4">
        <f t="shared" si="0"/>
        <v>12732.430438102458</v>
      </c>
      <c r="F22" s="5">
        <v>688873</v>
      </c>
      <c r="G22" s="51">
        <f t="shared" si="1"/>
        <v>77.464206029268098</v>
      </c>
    </row>
    <row r="23" spans="2:7" s="22" customFormat="1" ht="20.25" customHeight="1" x14ac:dyDescent="0.2">
      <c r="B23" s="24" t="s">
        <v>17</v>
      </c>
      <c r="C23" s="1">
        <v>9844981.6060400009</v>
      </c>
      <c r="D23" s="2">
        <v>67653</v>
      </c>
      <c r="E23" s="4">
        <f t="shared" si="0"/>
        <v>11193.979237989332</v>
      </c>
      <c r="F23" s="5">
        <v>1314726</v>
      </c>
      <c r="G23" s="51">
        <f t="shared" si="1"/>
        <v>51.457870309098624</v>
      </c>
    </row>
    <row r="24" spans="2:7" s="22" customFormat="1" ht="20.25" customHeight="1" x14ac:dyDescent="0.2">
      <c r="B24" s="24" t="s">
        <v>18</v>
      </c>
      <c r="C24" s="1">
        <v>6161512</v>
      </c>
      <c r="D24" s="2">
        <v>37460</v>
      </c>
      <c r="E24" s="4">
        <f t="shared" si="0"/>
        <v>12652.494968992567</v>
      </c>
      <c r="F24" s="5">
        <v>730408</v>
      </c>
      <c r="G24" s="51">
        <f t="shared" si="1"/>
        <v>51.286404311015211</v>
      </c>
    </row>
    <row r="25" spans="2:7" s="22" customFormat="1" ht="20.25" customHeight="1" x14ac:dyDescent="0.2">
      <c r="B25" s="12" t="s">
        <v>50</v>
      </c>
      <c r="C25" s="1">
        <v>2945489.6992793093</v>
      </c>
      <c r="D25" s="2">
        <v>25854</v>
      </c>
      <c r="E25" s="4">
        <f t="shared" si="0"/>
        <v>8763.6779884657317</v>
      </c>
      <c r="F25" s="5">
        <v>469889</v>
      </c>
      <c r="G25" s="51">
        <f t="shared" si="1"/>
        <v>55.02150507885905</v>
      </c>
    </row>
    <row r="26" spans="2:7" s="22" customFormat="1" ht="20.25" customHeight="1" x14ac:dyDescent="0.2">
      <c r="B26" s="24" t="s">
        <v>19</v>
      </c>
      <c r="C26" s="1">
        <v>8548682.8929999992</v>
      </c>
      <c r="D26" s="2">
        <v>33589</v>
      </c>
      <c r="E26" s="4">
        <f t="shared" si="0"/>
        <v>19577.569792766404</v>
      </c>
      <c r="F26" s="5">
        <v>311444</v>
      </c>
      <c r="G26" s="51">
        <f t="shared" si="1"/>
        <v>107.84924416588535</v>
      </c>
    </row>
    <row r="27" spans="2:7" s="22" customFormat="1" ht="20.25" customHeight="1" x14ac:dyDescent="0.2">
      <c r="B27" s="23" t="s">
        <v>38</v>
      </c>
      <c r="C27" s="1">
        <v>27134358.489999995</v>
      </c>
      <c r="D27" s="2">
        <v>127714</v>
      </c>
      <c r="E27" s="4">
        <f t="shared" si="0"/>
        <v>16343.222711563456</v>
      </c>
      <c r="F27" s="5">
        <v>3369365</v>
      </c>
      <c r="G27" s="51">
        <f t="shared" si="1"/>
        <v>37.90447161408752</v>
      </c>
    </row>
    <row r="28" spans="2:7" s="22" customFormat="1" ht="20.25" customHeight="1" x14ac:dyDescent="0.2">
      <c r="B28" s="24" t="s">
        <v>41</v>
      </c>
      <c r="C28" s="1">
        <v>5322543</v>
      </c>
      <c r="D28" s="2">
        <v>53510</v>
      </c>
      <c r="E28" s="4">
        <f t="shared" si="0"/>
        <v>7651.399450857496</v>
      </c>
      <c r="F28" s="5">
        <v>918147</v>
      </c>
      <c r="G28" s="51">
        <f t="shared" si="1"/>
        <v>58.280427861769411</v>
      </c>
    </row>
    <row r="29" spans="2:7" s="22" customFormat="1" ht="20.25" customHeight="1" x14ac:dyDescent="0.2">
      <c r="B29" s="24" t="s">
        <v>21</v>
      </c>
      <c r="C29" s="1">
        <v>13880768</v>
      </c>
      <c r="D29" s="2">
        <v>79322</v>
      </c>
      <c r="E29" s="4">
        <f t="shared" si="0"/>
        <v>13460.974062875173</v>
      </c>
      <c r="F29" s="5">
        <v>1572205</v>
      </c>
      <c r="G29" s="51">
        <f t="shared" si="1"/>
        <v>50.452708139205761</v>
      </c>
    </row>
    <row r="30" spans="2:7" s="22" customFormat="1" ht="20.25" customHeight="1" thickBot="1" x14ac:dyDescent="0.25">
      <c r="B30" s="24" t="s">
        <v>40</v>
      </c>
      <c r="C30" s="2">
        <v>5327500.9509999994</v>
      </c>
      <c r="D30" s="2">
        <v>18346</v>
      </c>
      <c r="E30" s="4">
        <f t="shared" si="0"/>
        <v>22337.717511257953</v>
      </c>
      <c r="F30" s="5">
        <v>148143</v>
      </c>
      <c r="G30" s="51">
        <f t="shared" si="1"/>
        <v>123.83980343316931</v>
      </c>
    </row>
    <row r="31" spans="2:7" s="25" customFormat="1" ht="26.25" customHeight="1" thickBot="1" x14ac:dyDescent="0.25">
      <c r="B31" s="49" t="s">
        <v>22</v>
      </c>
      <c r="C31" s="50">
        <f>SUM(C7:C30)</f>
        <v>353948266.51365858</v>
      </c>
      <c r="D31" s="50">
        <f>SUM(D7:D30)</f>
        <v>2094765</v>
      </c>
      <c r="E31" s="50">
        <f t="shared" si="0"/>
        <v>12997.53897540769</v>
      </c>
      <c r="F31" s="50">
        <f>+SUM(F7:F30)</f>
        <v>42669500</v>
      </c>
      <c r="G31" s="52">
        <f t="shared" si="1"/>
        <v>49.092794619107323</v>
      </c>
    </row>
    <row r="32" spans="2:7" ht="8.25" customHeight="1" x14ac:dyDescent="0.2">
      <c r="B32" s="26"/>
      <c r="E32" s="27"/>
      <c r="G32" s="19"/>
    </row>
    <row r="33" spans="1:7" s="10" customFormat="1" x14ac:dyDescent="0.2">
      <c r="B33" s="60" t="s">
        <v>46</v>
      </c>
      <c r="C33" s="60"/>
      <c r="D33" s="60"/>
      <c r="E33" s="60"/>
      <c r="F33" s="60"/>
      <c r="G33" s="60"/>
    </row>
    <row r="34" spans="1:7" s="10" customFormat="1" x14ac:dyDescent="0.2">
      <c r="B34" s="60" t="s">
        <v>47</v>
      </c>
      <c r="C34" s="60"/>
      <c r="D34" s="60"/>
      <c r="E34" s="60"/>
      <c r="F34" s="60"/>
      <c r="G34" s="60"/>
    </row>
    <row r="35" spans="1:7" s="10" customFormat="1" x14ac:dyDescent="0.2">
      <c r="A35" s="18"/>
      <c r="B35" s="55" t="s">
        <v>59</v>
      </c>
      <c r="C35" s="55"/>
      <c r="D35" s="55"/>
      <c r="E35" s="55"/>
      <c r="F35" s="55"/>
      <c r="G35" s="55"/>
    </row>
    <row r="36" spans="1:7" s="10" customFormat="1" x14ac:dyDescent="0.2">
      <c r="A36" s="18"/>
      <c r="B36" s="55" t="s">
        <v>48</v>
      </c>
      <c r="C36" s="55"/>
      <c r="D36" s="55"/>
      <c r="E36" s="55"/>
      <c r="F36" s="55"/>
      <c r="G36" s="55"/>
    </row>
    <row r="37" spans="1:7" x14ac:dyDescent="0.2">
      <c r="B37" s="55" t="s">
        <v>51</v>
      </c>
      <c r="C37" s="55"/>
      <c r="D37" s="55"/>
      <c r="E37" s="55"/>
      <c r="F37" s="55"/>
      <c r="G37" s="55"/>
    </row>
    <row r="38" spans="1:7" x14ac:dyDescent="0.2">
      <c r="B38" s="54" t="s">
        <v>61</v>
      </c>
      <c r="C38" s="53"/>
      <c r="D38" s="53"/>
      <c r="E38" s="53"/>
      <c r="F38" s="53"/>
      <c r="G38" s="53"/>
    </row>
    <row r="39" spans="1:7" x14ac:dyDescent="0.2">
      <c r="B39" s="61" t="s">
        <v>39</v>
      </c>
      <c r="C39" s="61"/>
      <c r="D39" s="61"/>
      <c r="E39" s="61"/>
      <c r="F39" s="61"/>
      <c r="G39" s="61"/>
    </row>
    <row r="40" spans="1:7" x14ac:dyDescent="0.2">
      <c r="B40" s="64"/>
      <c r="C40" s="64"/>
      <c r="D40" s="64"/>
      <c r="E40" s="64"/>
      <c r="F40" s="64"/>
      <c r="G40" s="64"/>
    </row>
    <row r="41" spans="1:7" x14ac:dyDescent="0.2">
      <c r="B41" s="64"/>
      <c r="C41" s="64"/>
      <c r="D41" s="64"/>
      <c r="E41" s="64"/>
      <c r="F41" s="64"/>
      <c r="G41" s="64"/>
    </row>
    <row r="42" spans="1:7" x14ac:dyDescent="0.2">
      <c r="B42" s="64"/>
      <c r="C42" s="64"/>
      <c r="D42" s="64"/>
      <c r="E42" s="64"/>
      <c r="F42" s="64"/>
      <c r="G42" s="64"/>
    </row>
    <row r="43" spans="1:7" x14ac:dyDescent="0.2">
      <c r="B43" s="64"/>
      <c r="C43" s="64"/>
      <c r="D43" s="64"/>
      <c r="E43" s="64"/>
      <c r="F43" s="64"/>
      <c r="G43" s="64"/>
    </row>
  </sheetData>
  <mergeCells count="14">
    <mergeCell ref="B40:G40"/>
    <mergeCell ref="B41:G41"/>
    <mergeCell ref="B42:G42"/>
    <mergeCell ref="B43:G43"/>
    <mergeCell ref="B1:G1"/>
    <mergeCell ref="B2:G2"/>
    <mergeCell ref="B3:G3"/>
    <mergeCell ref="B4:G4"/>
    <mergeCell ref="B39:G39"/>
    <mergeCell ref="B34:G34"/>
    <mergeCell ref="B35:G35"/>
    <mergeCell ref="B36:G36"/>
    <mergeCell ref="B37:G37"/>
    <mergeCell ref="B33:G33"/>
  </mergeCells>
  <printOptions horizontalCentered="1" verticalCentered="1"/>
  <pageMargins left="0" right="0" top="0" bottom="0" header="0" footer="0"/>
  <pageSetup paperSize="9" scale="9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43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23.7109375" style="10" customWidth="1"/>
    <col min="4" max="4" width="17" style="10" customWidth="1"/>
    <col min="5" max="7" width="19.42578125" style="10" customWidth="1"/>
    <col min="8" max="16384" width="11.42578125" style="10"/>
  </cols>
  <sheetData>
    <row r="1" spans="2:7" ht="63" customHeight="1" x14ac:dyDescent="0.2">
      <c r="B1" s="56"/>
      <c r="C1" s="56"/>
      <c r="D1" s="56"/>
      <c r="E1" s="56"/>
      <c r="F1" s="56"/>
      <c r="G1" s="56"/>
    </row>
    <row r="2" spans="2:7" s="13" customFormat="1" ht="18.75" customHeight="1" x14ac:dyDescent="0.2">
      <c r="B2" s="57" t="s">
        <v>45</v>
      </c>
      <c r="C2" s="57"/>
      <c r="D2" s="57"/>
      <c r="E2" s="57"/>
      <c r="F2" s="57"/>
      <c r="G2" s="57"/>
    </row>
    <row r="3" spans="2:7" s="11" customFormat="1" ht="18.75" customHeight="1" x14ac:dyDescent="0.2">
      <c r="B3" s="58" t="s">
        <v>44</v>
      </c>
      <c r="C3" s="58"/>
      <c r="D3" s="58"/>
      <c r="E3" s="58"/>
      <c r="F3" s="58"/>
      <c r="G3" s="58"/>
    </row>
    <row r="4" spans="2:7" ht="18.75" customHeight="1" x14ac:dyDescent="0.2">
      <c r="B4" s="59" t="s">
        <v>35</v>
      </c>
      <c r="C4" s="59"/>
      <c r="D4" s="59"/>
      <c r="E4" s="59"/>
      <c r="F4" s="59"/>
      <c r="G4" s="59"/>
    </row>
    <row r="5" spans="2:7" ht="13.5" thickBot="1" x14ac:dyDescent="0.25"/>
    <row r="6" spans="2:7" s="11" customFormat="1" ht="53.25" customHeight="1" thickBot="1" x14ac:dyDescent="0.25">
      <c r="B6" s="39" t="s">
        <v>30</v>
      </c>
      <c r="C6" s="40" t="s">
        <v>43</v>
      </c>
      <c r="D6" s="41" t="s">
        <v>56</v>
      </c>
      <c r="E6" s="40" t="s">
        <v>42</v>
      </c>
      <c r="F6" s="42" t="s">
        <v>57</v>
      </c>
      <c r="G6" s="43" t="s">
        <v>1</v>
      </c>
    </row>
    <row r="7" spans="2:7" s="13" customFormat="1" ht="20.25" customHeight="1" x14ac:dyDescent="0.2">
      <c r="B7" s="12" t="s">
        <v>55</v>
      </c>
      <c r="C7" s="1">
        <v>42188224.372309998</v>
      </c>
      <c r="D7" s="2">
        <v>169671</v>
      </c>
      <c r="E7" s="2">
        <f t="shared" ref="E7:E31" si="0">C7/D7/13*1000</f>
        <v>19126.710095651179</v>
      </c>
      <c r="F7" s="5">
        <v>3054267</v>
      </c>
      <c r="G7" s="51">
        <f>D7/F7*1000</f>
        <v>55.552117742162032</v>
      </c>
    </row>
    <row r="8" spans="2:7" s="13" customFormat="1" ht="20.25" customHeight="1" x14ac:dyDescent="0.2">
      <c r="B8" s="14" t="s">
        <v>36</v>
      </c>
      <c r="C8" s="1">
        <v>147830000</v>
      </c>
      <c r="D8" s="2">
        <v>678302</v>
      </c>
      <c r="E8" s="2">
        <f t="shared" si="0"/>
        <v>16764.713153637258</v>
      </c>
      <c r="F8" s="5">
        <v>16659931</v>
      </c>
      <c r="G8" s="51">
        <f>D8/F8*1000</f>
        <v>40.714574388093205</v>
      </c>
    </row>
    <row r="9" spans="2:7" s="13" customFormat="1" ht="20.25" customHeight="1" x14ac:dyDescent="0.2">
      <c r="B9" s="14" t="s">
        <v>4</v>
      </c>
      <c r="C9" s="1">
        <v>7931900.4391219998</v>
      </c>
      <c r="D9" s="2">
        <v>41587</v>
      </c>
      <c r="E9" s="2">
        <f t="shared" si="0"/>
        <v>14671.560526721552</v>
      </c>
      <c r="F9" s="5">
        <v>396895</v>
      </c>
      <c r="G9" s="51">
        <f t="shared" ref="G9:G31" si="1">D9/F9*1000</f>
        <v>104.78086143690396</v>
      </c>
    </row>
    <row r="10" spans="2:7" s="13" customFormat="1" ht="20.25" customHeight="1" x14ac:dyDescent="0.2">
      <c r="B10" s="14" t="s">
        <v>5</v>
      </c>
      <c r="C10" s="1">
        <v>36255007.000000007</v>
      </c>
      <c r="D10" s="2">
        <v>126759</v>
      </c>
      <c r="E10" s="2">
        <f t="shared" si="0"/>
        <v>22001.173031561411</v>
      </c>
      <c r="F10" s="5">
        <v>3567654</v>
      </c>
      <c r="G10" s="51">
        <f t="shared" si="1"/>
        <v>35.530071021461161</v>
      </c>
    </row>
    <row r="11" spans="2:7" s="13" customFormat="1" ht="20.25" customHeight="1" x14ac:dyDescent="0.2">
      <c r="B11" s="14" t="s">
        <v>6</v>
      </c>
      <c r="C11" s="1">
        <v>11418989.999999996</v>
      </c>
      <c r="D11" s="2">
        <v>57639</v>
      </c>
      <c r="E11" s="2">
        <f t="shared" si="0"/>
        <v>15239.401206715</v>
      </c>
      <c r="F11" s="5">
        <v>1070283</v>
      </c>
      <c r="G11" s="51">
        <f t="shared" si="1"/>
        <v>53.853980676138924</v>
      </c>
    </row>
    <row r="12" spans="2:7" s="13" customFormat="1" ht="20.25" customHeight="1" x14ac:dyDescent="0.2">
      <c r="B12" s="14" t="s">
        <v>7</v>
      </c>
      <c r="C12" s="1">
        <v>16312285.028000001</v>
      </c>
      <c r="D12" s="2">
        <v>84650</v>
      </c>
      <c r="E12" s="2">
        <f t="shared" si="0"/>
        <v>14823.28595392794</v>
      </c>
      <c r="F12" s="5">
        <v>1143201</v>
      </c>
      <c r="G12" s="51">
        <f t="shared" si="1"/>
        <v>74.046471267957259</v>
      </c>
    </row>
    <row r="13" spans="2:7" s="13" customFormat="1" ht="20.25" customHeight="1" x14ac:dyDescent="0.2">
      <c r="B13" s="14" t="s">
        <v>8</v>
      </c>
      <c r="C13" s="1">
        <v>13095568.41928</v>
      </c>
      <c r="D13" s="2">
        <v>44417</v>
      </c>
      <c r="E13" s="2">
        <f t="shared" si="0"/>
        <v>22679.411416072504</v>
      </c>
      <c r="F13" s="5">
        <v>566922</v>
      </c>
      <c r="G13" s="51">
        <f t="shared" si="1"/>
        <v>78.347638652230827</v>
      </c>
    </row>
    <row r="14" spans="2:7" s="13" customFormat="1" ht="20.25" customHeight="1" x14ac:dyDescent="0.2">
      <c r="B14" s="14" t="s">
        <v>9</v>
      </c>
      <c r="C14" s="1">
        <v>18995522.016459998</v>
      </c>
      <c r="D14" s="2">
        <v>77824</v>
      </c>
      <c r="E14" s="2">
        <f t="shared" si="0"/>
        <v>18775.621932387872</v>
      </c>
      <c r="F14" s="5">
        <v>1321415</v>
      </c>
      <c r="G14" s="51">
        <f t="shared" si="1"/>
        <v>58.894442699681782</v>
      </c>
    </row>
    <row r="15" spans="2:7" s="13" customFormat="1" ht="20.25" customHeight="1" x14ac:dyDescent="0.2">
      <c r="B15" s="14" t="s">
        <v>10</v>
      </c>
      <c r="C15" s="1">
        <v>8903188.0584199987</v>
      </c>
      <c r="D15" s="2">
        <v>39653</v>
      </c>
      <c r="E15" s="2">
        <f t="shared" si="0"/>
        <v>17271.344409715821</v>
      </c>
      <c r="F15" s="5">
        <v>579250</v>
      </c>
      <c r="G15" s="51">
        <f t="shared" si="1"/>
        <v>68.455761760897715</v>
      </c>
    </row>
    <row r="16" spans="2:7" s="13" customFormat="1" ht="20.25" customHeight="1" x14ac:dyDescent="0.2">
      <c r="B16" s="14" t="s">
        <v>11</v>
      </c>
      <c r="C16" s="1">
        <v>11601946.318010001</v>
      </c>
      <c r="D16" s="2">
        <v>64767</v>
      </c>
      <c r="E16" s="2">
        <f t="shared" si="0"/>
        <v>13779.508222979179</v>
      </c>
      <c r="F16" s="5">
        <v>727780</v>
      </c>
      <c r="G16" s="51">
        <f t="shared" si="1"/>
        <v>88.992552694495586</v>
      </c>
    </row>
    <row r="17" spans="2:7" s="13" customFormat="1" ht="20.25" customHeight="1" x14ac:dyDescent="0.2">
      <c r="B17" s="12" t="s">
        <v>49</v>
      </c>
      <c r="C17" s="1">
        <v>6775299.9999999991</v>
      </c>
      <c r="D17" s="2">
        <v>23821</v>
      </c>
      <c r="E17" s="2">
        <f t="shared" si="0"/>
        <v>21878.88514659011</v>
      </c>
      <c r="F17" s="5">
        <v>343056</v>
      </c>
      <c r="G17" s="51">
        <f t="shared" si="1"/>
        <v>69.437642833823048</v>
      </c>
    </row>
    <row r="18" spans="2:7" s="13" customFormat="1" ht="20.25" customHeight="1" x14ac:dyDescent="0.2">
      <c r="B18" s="14" t="s">
        <v>12</v>
      </c>
      <c r="C18" s="1">
        <v>5835084.606389991</v>
      </c>
      <c r="D18" s="2">
        <v>38249</v>
      </c>
      <c r="E18" s="2">
        <f t="shared" si="0"/>
        <v>11735.01691625923</v>
      </c>
      <c r="F18" s="5">
        <v>367728</v>
      </c>
      <c r="G18" s="51">
        <f t="shared" si="1"/>
        <v>104.01438019405649</v>
      </c>
    </row>
    <row r="19" spans="2:7" s="13" customFormat="1" ht="20.25" customHeight="1" x14ac:dyDescent="0.2">
      <c r="B19" s="12" t="s">
        <v>52</v>
      </c>
      <c r="C19" s="2">
        <v>23565751.281879999</v>
      </c>
      <c r="D19" s="2">
        <v>93671</v>
      </c>
      <c r="E19" s="2">
        <f t="shared" si="0"/>
        <v>19352.308597176863</v>
      </c>
      <c r="F19" s="5">
        <v>1885551</v>
      </c>
      <c r="G19" s="51">
        <f t="shared" si="1"/>
        <v>49.678316842132624</v>
      </c>
    </row>
    <row r="20" spans="2:7" s="13" customFormat="1" ht="20.25" customHeight="1" x14ac:dyDescent="0.2">
      <c r="B20" s="14" t="s">
        <v>14</v>
      </c>
      <c r="C20" s="1">
        <v>12516053.92087</v>
      </c>
      <c r="D20" s="2">
        <v>60954</v>
      </c>
      <c r="E20" s="2">
        <f t="shared" si="0"/>
        <v>15795.081184638606</v>
      </c>
      <c r="F20" s="5">
        <v>1189446</v>
      </c>
      <c r="G20" s="51">
        <f t="shared" si="1"/>
        <v>51.245705984130424</v>
      </c>
    </row>
    <row r="21" spans="2:7" s="13" customFormat="1" ht="20.25" customHeight="1" x14ac:dyDescent="0.2">
      <c r="B21" s="14" t="s">
        <v>15</v>
      </c>
      <c r="C21" s="1">
        <v>18222584.030999999</v>
      </c>
      <c r="D21" s="2">
        <v>61197</v>
      </c>
      <c r="E21" s="2">
        <f t="shared" si="0"/>
        <v>22905.325966204979</v>
      </c>
      <c r="F21" s="5">
        <v>619745</v>
      </c>
      <c r="G21" s="51">
        <f t="shared" si="1"/>
        <v>98.74545175838449</v>
      </c>
    </row>
    <row r="22" spans="2:7" s="13" customFormat="1" ht="20.25" customHeight="1" x14ac:dyDescent="0.2">
      <c r="B22" s="14" t="s">
        <v>16</v>
      </c>
      <c r="C22" s="1">
        <v>12960005.949000001</v>
      </c>
      <c r="D22" s="2">
        <v>55660</v>
      </c>
      <c r="E22" s="2">
        <f t="shared" si="0"/>
        <v>17910.951033748861</v>
      </c>
      <c r="F22" s="5">
        <v>698874</v>
      </c>
      <c r="G22" s="51">
        <f t="shared" si="1"/>
        <v>79.642396197311669</v>
      </c>
    </row>
    <row r="23" spans="2:7" s="13" customFormat="1" ht="20.25" customHeight="1" x14ac:dyDescent="0.2">
      <c r="B23" s="14" t="s">
        <v>17</v>
      </c>
      <c r="C23" s="1">
        <v>14562199.999999998</v>
      </c>
      <c r="D23" s="2">
        <v>71167</v>
      </c>
      <c r="E23" s="2">
        <f t="shared" si="0"/>
        <v>15740.009144255491</v>
      </c>
      <c r="F23" s="5">
        <v>1333365</v>
      </c>
      <c r="G23" s="51">
        <f t="shared" si="1"/>
        <v>53.373982367918764</v>
      </c>
    </row>
    <row r="24" spans="2:7" s="13" customFormat="1" ht="20.25" customHeight="1" x14ac:dyDescent="0.2">
      <c r="B24" s="14" t="s">
        <v>18</v>
      </c>
      <c r="C24" s="1">
        <v>8196754.5499999998</v>
      </c>
      <c r="D24" s="2">
        <v>35559</v>
      </c>
      <c r="E24" s="2">
        <f t="shared" si="0"/>
        <v>17731.645455981066</v>
      </c>
      <c r="F24" s="5">
        <v>738959</v>
      </c>
      <c r="G24" s="51">
        <f t="shared" si="1"/>
        <v>48.120396395469839</v>
      </c>
    </row>
    <row r="25" spans="2:7" s="13" customFormat="1" ht="20.25" customHeight="1" x14ac:dyDescent="0.2">
      <c r="B25" s="12" t="s">
        <v>50</v>
      </c>
      <c r="C25" s="1">
        <v>4295510.0954453759</v>
      </c>
      <c r="D25" s="2">
        <v>26244</v>
      </c>
      <c r="E25" s="2">
        <f t="shared" si="0"/>
        <v>12590.453189140306</v>
      </c>
      <c r="F25" s="5">
        <v>476351</v>
      </c>
      <c r="G25" s="51">
        <f t="shared" si="1"/>
        <v>55.093827870624814</v>
      </c>
    </row>
    <row r="26" spans="2:7" s="13" customFormat="1" ht="20.25" customHeight="1" x14ac:dyDescent="0.2">
      <c r="B26" s="14" t="s">
        <v>19</v>
      </c>
      <c r="C26" s="1">
        <v>11596372.008729998</v>
      </c>
      <c r="D26" s="2">
        <v>35430</v>
      </c>
      <c r="E26" s="2">
        <f t="shared" si="0"/>
        <v>25177.211855945628</v>
      </c>
      <c r="F26" s="5">
        <v>320469</v>
      </c>
      <c r="G26" s="51">
        <f t="shared" si="1"/>
        <v>110.55671531411774</v>
      </c>
    </row>
    <row r="27" spans="2:7" s="13" customFormat="1" ht="20.25" customHeight="1" x14ac:dyDescent="0.2">
      <c r="B27" s="12" t="s">
        <v>38</v>
      </c>
      <c r="C27" s="1">
        <v>37167140.329999998</v>
      </c>
      <c r="D27" s="2">
        <v>132746</v>
      </c>
      <c r="E27" s="2">
        <f t="shared" si="0"/>
        <v>21537.453442027512</v>
      </c>
      <c r="F27" s="5">
        <v>3397532</v>
      </c>
      <c r="G27" s="51">
        <f t="shared" si="1"/>
        <v>39.071302345349508</v>
      </c>
    </row>
    <row r="28" spans="2:7" s="13" customFormat="1" ht="20.25" customHeight="1" x14ac:dyDescent="0.2">
      <c r="B28" s="14" t="s">
        <v>41</v>
      </c>
      <c r="C28" s="1">
        <v>7347255</v>
      </c>
      <c r="D28" s="2">
        <v>57657</v>
      </c>
      <c r="E28" s="2">
        <f t="shared" si="0"/>
        <v>9802.3390314872704</v>
      </c>
      <c r="F28" s="5">
        <v>928097</v>
      </c>
      <c r="G28" s="51">
        <f t="shared" si="1"/>
        <v>62.123894377419603</v>
      </c>
    </row>
    <row r="29" spans="2:7" s="13" customFormat="1" ht="20.25" customHeight="1" x14ac:dyDescent="0.2">
      <c r="B29" s="14" t="s">
        <v>21</v>
      </c>
      <c r="C29" s="1">
        <v>18650880</v>
      </c>
      <c r="D29" s="2">
        <v>81050</v>
      </c>
      <c r="E29" s="2">
        <f t="shared" si="0"/>
        <v>17701.210079248325</v>
      </c>
      <c r="F29" s="5">
        <v>1592878</v>
      </c>
      <c r="G29" s="51">
        <f t="shared" si="1"/>
        <v>50.882741804457083</v>
      </c>
    </row>
    <row r="30" spans="2:7" s="13" customFormat="1" ht="20.25" customHeight="1" thickBot="1" x14ac:dyDescent="0.25">
      <c r="B30" s="14" t="s">
        <v>40</v>
      </c>
      <c r="C30" s="2">
        <v>7313242.904000001</v>
      </c>
      <c r="D30" s="2">
        <v>18731</v>
      </c>
      <c r="E30" s="2">
        <f t="shared" si="0"/>
        <v>30033.481739444691</v>
      </c>
      <c r="F30" s="5">
        <v>152317</v>
      </c>
      <c r="G30" s="51">
        <f t="shared" si="1"/>
        <v>122.97379806587577</v>
      </c>
    </row>
    <row r="31" spans="2:7" s="15" customFormat="1" ht="26.25" customHeight="1" thickBot="1" x14ac:dyDescent="0.25">
      <c r="B31" s="47" t="s">
        <v>22</v>
      </c>
      <c r="C31" s="48">
        <f>SUM(C7:C30)</f>
        <v>503536766.32891738</v>
      </c>
      <c r="D31" s="48">
        <f>SUM(D7:D30)</f>
        <v>2177405</v>
      </c>
      <c r="E31" s="48">
        <f t="shared" si="0"/>
        <v>17788.880529766728</v>
      </c>
      <c r="F31" s="50">
        <f>+SUM(F7:F30)</f>
        <v>43131966</v>
      </c>
      <c r="G31" s="52">
        <f t="shared" si="1"/>
        <v>50.482396281217504</v>
      </c>
    </row>
    <row r="32" spans="2:7" ht="8.25" customHeight="1" x14ac:dyDescent="0.2">
      <c r="B32" s="16"/>
      <c r="E32" s="17"/>
      <c r="G32" s="19"/>
    </row>
    <row r="33" spans="1:7" x14ac:dyDescent="0.2">
      <c r="B33" s="60" t="s">
        <v>46</v>
      </c>
      <c r="C33" s="60"/>
      <c r="D33" s="60"/>
      <c r="E33" s="60"/>
      <c r="F33" s="60"/>
      <c r="G33" s="60"/>
    </row>
    <row r="34" spans="1:7" x14ac:dyDescent="0.2">
      <c r="B34" s="60" t="s">
        <v>47</v>
      </c>
      <c r="C34" s="60"/>
      <c r="D34" s="60"/>
      <c r="E34" s="60"/>
      <c r="F34" s="60"/>
      <c r="G34" s="60"/>
    </row>
    <row r="35" spans="1:7" x14ac:dyDescent="0.2">
      <c r="A35" s="18"/>
      <c r="B35" s="55" t="s">
        <v>59</v>
      </c>
      <c r="C35" s="55"/>
      <c r="D35" s="55"/>
      <c r="E35" s="55"/>
      <c r="F35" s="55"/>
      <c r="G35" s="55"/>
    </row>
    <row r="36" spans="1:7" x14ac:dyDescent="0.2">
      <c r="A36" s="18"/>
      <c r="B36" s="55" t="s">
        <v>48</v>
      </c>
      <c r="C36" s="55"/>
      <c r="D36" s="55"/>
      <c r="E36" s="55"/>
      <c r="F36" s="55"/>
      <c r="G36" s="55"/>
    </row>
    <row r="37" spans="1:7" x14ac:dyDescent="0.2">
      <c r="B37" s="55" t="s">
        <v>51</v>
      </c>
      <c r="C37" s="55"/>
      <c r="D37" s="55"/>
      <c r="E37" s="55"/>
      <c r="F37" s="55"/>
      <c r="G37" s="55"/>
    </row>
    <row r="38" spans="1:7" x14ac:dyDescent="0.2">
      <c r="B38" s="54" t="s">
        <v>61</v>
      </c>
      <c r="C38" s="53"/>
      <c r="D38" s="53"/>
      <c r="E38" s="53"/>
      <c r="F38" s="53"/>
      <c r="G38" s="53"/>
    </row>
    <row r="39" spans="1:7" x14ac:dyDescent="0.2">
      <c r="B39" s="61" t="s">
        <v>39</v>
      </c>
      <c r="C39" s="61"/>
      <c r="D39" s="61"/>
      <c r="E39" s="61"/>
      <c r="F39" s="61"/>
      <c r="G39" s="61"/>
    </row>
    <row r="40" spans="1:7" x14ac:dyDescent="0.2">
      <c r="B40" s="55"/>
      <c r="C40" s="55"/>
      <c r="D40" s="55"/>
      <c r="E40" s="55"/>
      <c r="F40" s="55"/>
      <c r="G40" s="55"/>
    </row>
    <row r="41" spans="1:7" x14ac:dyDescent="0.2">
      <c r="B41" s="55"/>
      <c r="C41" s="55"/>
      <c r="D41" s="55"/>
      <c r="E41" s="55"/>
      <c r="F41" s="55"/>
      <c r="G41" s="55"/>
    </row>
    <row r="42" spans="1:7" x14ac:dyDescent="0.2">
      <c r="B42" s="55"/>
      <c r="C42" s="55"/>
      <c r="D42" s="55"/>
      <c r="E42" s="55"/>
      <c r="F42" s="55"/>
      <c r="G42" s="55"/>
    </row>
    <row r="43" spans="1:7" x14ac:dyDescent="0.2">
      <c r="B43" s="55"/>
      <c r="C43" s="55"/>
      <c r="D43" s="55"/>
      <c r="E43" s="55"/>
      <c r="F43" s="55"/>
      <c r="G43" s="55"/>
    </row>
  </sheetData>
  <mergeCells count="14">
    <mergeCell ref="B40:G40"/>
    <mergeCell ref="B41:G41"/>
    <mergeCell ref="B42:G42"/>
    <mergeCell ref="B43:G43"/>
    <mergeCell ref="B1:G1"/>
    <mergeCell ref="B2:G2"/>
    <mergeCell ref="B3:G3"/>
    <mergeCell ref="B4:G4"/>
    <mergeCell ref="B39:G39"/>
    <mergeCell ref="B34:G34"/>
    <mergeCell ref="B35:G35"/>
    <mergeCell ref="B36:G36"/>
    <mergeCell ref="B37:G37"/>
    <mergeCell ref="B33:G33"/>
  </mergeCells>
  <printOptions horizontalCentered="1" verticalCentered="1"/>
  <pageMargins left="0" right="0" top="0" bottom="0" header="0" footer="0"/>
  <pageSetup paperSize="9" scale="8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G43"/>
  <sheetViews>
    <sheetView showGridLines="0" tabSelected="1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23.7109375" style="10" customWidth="1"/>
    <col min="4" max="4" width="17" style="10" customWidth="1"/>
    <col min="5" max="7" width="19.42578125" style="10" customWidth="1"/>
    <col min="8" max="16384" width="11.42578125" style="10"/>
  </cols>
  <sheetData>
    <row r="1" spans="2:7" ht="63" customHeight="1" x14ac:dyDescent="0.2">
      <c r="B1" s="56"/>
      <c r="C1" s="56"/>
      <c r="D1" s="56"/>
      <c r="E1" s="56"/>
      <c r="F1" s="56"/>
      <c r="G1" s="56"/>
    </row>
    <row r="2" spans="2:7" s="13" customFormat="1" ht="18.75" customHeight="1" x14ac:dyDescent="0.2">
      <c r="B2" s="57" t="s">
        <v>45</v>
      </c>
      <c r="C2" s="57"/>
      <c r="D2" s="57"/>
      <c r="E2" s="57"/>
      <c r="F2" s="57"/>
      <c r="G2" s="57"/>
    </row>
    <row r="3" spans="2:7" s="11" customFormat="1" ht="18.75" customHeight="1" x14ac:dyDescent="0.2">
      <c r="B3" s="58" t="s">
        <v>44</v>
      </c>
      <c r="C3" s="58"/>
      <c r="D3" s="58"/>
      <c r="E3" s="58"/>
      <c r="F3" s="58"/>
      <c r="G3" s="58"/>
    </row>
    <row r="4" spans="2:7" ht="18.75" customHeight="1" x14ac:dyDescent="0.2">
      <c r="B4" s="59" t="s">
        <v>37</v>
      </c>
      <c r="C4" s="59"/>
      <c r="D4" s="59"/>
      <c r="E4" s="59"/>
      <c r="F4" s="59"/>
      <c r="G4" s="59"/>
    </row>
    <row r="5" spans="2:7" ht="13.5" thickBot="1" x14ac:dyDescent="0.25"/>
    <row r="6" spans="2:7" s="11" customFormat="1" ht="53.25" customHeight="1" thickBot="1" x14ac:dyDescent="0.25">
      <c r="B6" s="39" t="s">
        <v>30</v>
      </c>
      <c r="C6" s="40" t="s">
        <v>43</v>
      </c>
      <c r="D6" s="41" t="s">
        <v>56</v>
      </c>
      <c r="E6" s="40" t="s">
        <v>42</v>
      </c>
      <c r="F6" s="42" t="s">
        <v>57</v>
      </c>
      <c r="G6" s="43" t="s">
        <v>1</v>
      </c>
    </row>
    <row r="7" spans="2:7" s="13" customFormat="1" ht="20.25" customHeight="1" x14ac:dyDescent="0.2">
      <c r="B7" s="12" t="s">
        <v>55</v>
      </c>
      <c r="C7" s="1">
        <v>69381121.472310007</v>
      </c>
      <c r="D7" s="2">
        <v>187858</v>
      </c>
      <c r="E7" s="2">
        <f t="shared" ref="E7:E31" si="0">C7/D7/13*1000</f>
        <v>28409.80604511837</v>
      </c>
      <c r="F7" s="5">
        <v>3059122</v>
      </c>
      <c r="G7" s="51">
        <f>D7/F7*1000</f>
        <v>61.409123271317718</v>
      </c>
    </row>
    <row r="8" spans="2:7" s="13" customFormat="1" ht="20.25" customHeight="1" x14ac:dyDescent="0.2">
      <c r="B8" s="14" t="s">
        <v>36</v>
      </c>
      <c r="C8" s="1">
        <v>198342547.4295716</v>
      </c>
      <c r="D8" s="2">
        <v>684184</v>
      </c>
      <c r="E8" s="2">
        <f t="shared" si="0"/>
        <v>22299.730822474608</v>
      </c>
      <c r="F8" s="5">
        <v>16841135</v>
      </c>
      <c r="G8" s="51">
        <f>D8/F8*1000</f>
        <v>40.625765424955034</v>
      </c>
    </row>
    <row r="9" spans="2:7" s="13" customFormat="1" ht="20.25" customHeight="1" x14ac:dyDescent="0.2">
      <c r="B9" s="14" t="s">
        <v>4</v>
      </c>
      <c r="C9" s="1">
        <v>10411354.958037447</v>
      </c>
      <c r="D9" s="2">
        <v>42802</v>
      </c>
      <c r="E9" s="2">
        <f t="shared" si="0"/>
        <v>18711.122337988243</v>
      </c>
      <c r="F9" s="5">
        <v>400678</v>
      </c>
      <c r="G9" s="51">
        <f t="shared" ref="G9:G31" si="1">D9/F9*1000</f>
        <v>106.82393343283135</v>
      </c>
    </row>
    <row r="10" spans="2:7" s="13" customFormat="1" ht="20.25" customHeight="1" x14ac:dyDescent="0.2">
      <c r="B10" s="14" t="s">
        <v>5</v>
      </c>
      <c r="C10" s="1">
        <v>48180907</v>
      </c>
      <c r="D10" s="2">
        <v>125886</v>
      </c>
      <c r="E10" s="2">
        <f t="shared" si="0"/>
        <v>29441.110333036362</v>
      </c>
      <c r="F10" s="5">
        <v>3606540</v>
      </c>
      <c r="G10" s="51">
        <f t="shared" si="1"/>
        <v>34.904922723718578</v>
      </c>
    </row>
    <row r="11" spans="2:7" s="13" customFormat="1" ht="20.25" customHeight="1" x14ac:dyDescent="0.2">
      <c r="B11" s="14" t="s">
        <v>6</v>
      </c>
      <c r="C11" s="1">
        <v>15209410</v>
      </c>
      <c r="D11" s="2">
        <v>62317</v>
      </c>
      <c r="E11" s="2">
        <f t="shared" si="0"/>
        <v>18774.244835030819</v>
      </c>
      <c r="F11" s="5">
        <v>1080655</v>
      </c>
      <c r="G11" s="51">
        <f t="shared" si="1"/>
        <v>57.66595259356594</v>
      </c>
    </row>
    <row r="12" spans="2:7" s="13" customFormat="1" ht="20.25" customHeight="1" x14ac:dyDescent="0.2">
      <c r="B12" s="14" t="s">
        <v>7</v>
      </c>
      <c r="C12" s="1">
        <v>24384194.920000002</v>
      </c>
      <c r="D12" s="2">
        <v>89239</v>
      </c>
      <c r="E12" s="2">
        <f t="shared" si="0"/>
        <v>21018.918875586474</v>
      </c>
      <c r="F12" s="5">
        <v>1155723</v>
      </c>
      <c r="G12" s="51">
        <f t="shared" si="1"/>
        <v>77.214868960814997</v>
      </c>
    </row>
    <row r="13" spans="2:7" s="13" customFormat="1" ht="20.25" customHeight="1" x14ac:dyDescent="0.2">
      <c r="B13" s="14" t="s">
        <v>8</v>
      </c>
      <c r="C13" s="1">
        <v>18042070.17802</v>
      </c>
      <c r="D13" s="2">
        <v>44902</v>
      </c>
      <c r="E13" s="2">
        <f t="shared" si="0"/>
        <v>30908.457355026163</v>
      </c>
      <c r="F13" s="5">
        <v>577466</v>
      </c>
      <c r="G13" s="51">
        <f t="shared" si="1"/>
        <v>77.756958851257039</v>
      </c>
    </row>
    <row r="14" spans="2:7" s="13" customFormat="1" ht="20.25" customHeight="1" x14ac:dyDescent="0.2">
      <c r="B14" s="14" t="s">
        <v>9</v>
      </c>
      <c r="C14" s="1">
        <v>26656600</v>
      </c>
      <c r="D14" s="2">
        <v>79578</v>
      </c>
      <c r="E14" s="2">
        <f t="shared" si="0"/>
        <v>25767.268495158114</v>
      </c>
      <c r="F14" s="5">
        <v>1334489</v>
      </c>
      <c r="G14" s="51">
        <f t="shared" si="1"/>
        <v>59.631814125107063</v>
      </c>
    </row>
    <row r="15" spans="2:7" s="13" customFormat="1" ht="20.25" customHeight="1" x14ac:dyDescent="0.2">
      <c r="B15" s="14" t="s">
        <v>10</v>
      </c>
      <c r="C15" s="1">
        <v>12254923.274669997</v>
      </c>
      <c r="D15" s="2">
        <v>39359</v>
      </c>
      <c r="E15" s="2">
        <f t="shared" si="0"/>
        <v>23950.974510120832</v>
      </c>
      <c r="F15" s="5">
        <v>584614</v>
      </c>
      <c r="G15" s="51">
        <f t="shared" si="1"/>
        <v>67.324764716548017</v>
      </c>
    </row>
    <row r="16" spans="2:7" s="13" customFormat="1" ht="20.25" customHeight="1" x14ac:dyDescent="0.2">
      <c r="B16" s="14" t="s">
        <v>11</v>
      </c>
      <c r="C16" s="1">
        <v>15462175.1831</v>
      </c>
      <c r="D16" s="2">
        <v>63808</v>
      </c>
      <c r="E16" s="2">
        <f t="shared" si="0"/>
        <v>18640.265969904907</v>
      </c>
      <c r="F16" s="5">
        <v>736542</v>
      </c>
      <c r="G16" s="51">
        <f t="shared" si="1"/>
        <v>86.631855345655779</v>
      </c>
    </row>
    <row r="17" spans="2:7" s="13" customFormat="1" ht="20.25" customHeight="1" x14ac:dyDescent="0.2">
      <c r="B17" s="12" t="s">
        <v>49</v>
      </c>
      <c r="C17" s="1">
        <v>9400642.5806299988</v>
      </c>
      <c r="D17" s="2">
        <v>24652</v>
      </c>
      <c r="E17" s="2">
        <f t="shared" si="0"/>
        <v>29333.374669647645</v>
      </c>
      <c r="F17" s="5">
        <v>346191</v>
      </c>
      <c r="G17" s="51">
        <f t="shared" si="1"/>
        <v>71.209245763176966</v>
      </c>
    </row>
    <row r="18" spans="2:7" s="13" customFormat="1" ht="20.25" customHeight="1" x14ac:dyDescent="0.2">
      <c r="B18" s="14" t="s">
        <v>12</v>
      </c>
      <c r="C18" s="1">
        <v>8099963.8105699997</v>
      </c>
      <c r="D18" s="2">
        <v>39022</v>
      </c>
      <c r="E18" s="2">
        <f t="shared" si="0"/>
        <v>15967.252813146824</v>
      </c>
      <c r="F18" s="5">
        <v>372879</v>
      </c>
      <c r="G18" s="51">
        <f t="shared" si="1"/>
        <v>104.65057029223958</v>
      </c>
    </row>
    <row r="19" spans="2:7" s="13" customFormat="1" ht="20.25" customHeight="1" x14ac:dyDescent="0.2">
      <c r="B19" s="12" t="s">
        <v>28</v>
      </c>
      <c r="C19" s="2">
        <v>28885059.999999996</v>
      </c>
      <c r="D19" s="2">
        <v>93198</v>
      </c>
      <c r="E19" s="2">
        <f t="shared" si="0"/>
        <v>23840.937491230412</v>
      </c>
      <c r="F19" s="5">
        <v>1907045</v>
      </c>
      <c r="G19" s="51">
        <f t="shared" si="1"/>
        <v>48.870372749463172</v>
      </c>
    </row>
    <row r="20" spans="2:7" s="13" customFormat="1" ht="20.25" customHeight="1" x14ac:dyDescent="0.2">
      <c r="B20" s="14" t="s">
        <v>14</v>
      </c>
      <c r="C20" s="1">
        <v>17621350.000000004</v>
      </c>
      <c r="D20" s="2">
        <v>62015</v>
      </c>
      <c r="E20" s="2">
        <f t="shared" si="0"/>
        <v>21857.429033918601</v>
      </c>
      <c r="F20" s="5">
        <v>1204182</v>
      </c>
      <c r="G20" s="51">
        <f t="shared" si="1"/>
        <v>51.499690246158799</v>
      </c>
    </row>
    <row r="21" spans="2:7" s="13" customFormat="1" ht="20.25" customHeight="1" x14ac:dyDescent="0.2">
      <c r="B21" s="14" t="s">
        <v>15</v>
      </c>
      <c r="C21" s="1">
        <v>24819374.094999999</v>
      </c>
      <c r="D21" s="2">
        <v>64729</v>
      </c>
      <c r="E21" s="2">
        <f t="shared" si="0"/>
        <v>29495.011860098373</v>
      </c>
      <c r="F21" s="5">
        <v>628897</v>
      </c>
      <c r="G21" s="51">
        <f t="shared" si="1"/>
        <v>102.92464425812176</v>
      </c>
    </row>
    <row r="22" spans="2:7" s="13" customFormat="1" ht="20.25" customHeight="1" x14ac:dyDescent="0.2">
      <c r="B22" s="14" t="s">
        <v>16</v>
      </c>
      <c r="C22" s="1">
        <v>17806473.959200002</v>
      </c>
      <c r="D22" s="2">
        <v>56580</v>
      </c>
      <c r="E22" s="2">
        <f t="shared" si="0"/>
        <v>24208.709192158145</v>
      </c>
      <c r="F22" s="5">
        <v>708799</v>
      </c>
      <c r="G22" s="51">
        <f t="shared" si="1"/>
        <v>79.825169053568075</v>
      </c>
    </row>
    <row r="23" spans="2:7" s="13" customFormat="1" ht="20.25" customHeight="1" x14ac:dyDescent="0.2">
      <c r="B23" s="14" t="s">
        <v>17</v>
      </c>
      <c r="C23" s="1">
        <v>20772992.299389999</v>
      </c>
      <c r="D23" s="2">
        <v>70689</v>
      </c>
      <c r="E23" s="2">
        <f t="shared" si="0"/>
        <v>22604.966608219973</v>
      </c>
      <c r="F23" s="5">
        <v>1351878</v>
      </c>
      <c r="G23" s="51">
        <f t="shared" si="1"/>
        <v>52.289481743175045</v>
      </c>
    </row>
    <row r="24" spans="2:7" s="13" customFormat="1" ht="20.25" customHeight="1" x14ac:dyDescent="0.2">
      <c r="B24" s="14" t="s">
        <v>18</v>
      </c>
      <c r="C24" s="1">
        <v>11525121.278000001</v>
      </c>
      <c r="D24" s="2">
        <v>38156</v>
      </c>
      <c r="E24" s="2">
        <f t="shared" si="0"/>
        <v>23234.819965808379</v>
      </c>
      <c r="F24" s="5">
        <v>747488</v>
      </c>
      <c r="G24" s="51">
        <f t="shared" si="1"/>
        <v>51.045635515218969</v>
      </c>
    </row>
    <row r="25" spans="2:7" s="13" customFormat="1" ht="20.25" customHeight="1" x14ac:dyDescent="0.2">
      <c r="B25" s="12" t="s">
        <v>50</v>
      </c>
      <c r="C25" s="1">
        <v>6473340.1617392683</v>
      </c>
      <c r="D25" s="2">
        <v>26426</v>
      </c>
      <c r="E25" s="2">
        <f t="shared" si="0"/>
        <v>18843.156104242524</v>
      </c>
      <c r="F25" s="5">
        <v>482796</v>
      </c>
      <c r="G25" s="51">
        <f t="shared" si="1"/>
        <v>54.735333349903478</v>
      </c>
    </row>
    <row r="26" spans="2:7" s="13" customFormat="1" ht="20.25" customHeight="1" x14ac:dyDescent="0.2">
      <c r="B26" s="14" t="s">
        <v>19</v>
      </c>
      <c r="C26" s="1">
        <v>15147510.874590002</v>
      </c>
      <c r="D26" s="2">
        <v>36106</v>
      </c>
      <c r="E26" s="2">
        <f t="shared" si="0"/>
        <v>32271.454722185532</v>
      </c>
      <c r="F26" s="5">
        <v>329499</v>
      </c>
      <c r="G26" s="51">
        <f t="shared" si="1"/>
        <v>109.57848127004938</v>
      </c>
    </row>
    <row r="27" spans="2:7" s="13" customFormat="1" ht="20.25" customHeight="1" x14ac:dyDescent="0.2">
      <c r="B27" s="12" t="s">
        <v>20</v>
      </c>
      <c r="C27" s="1">
        <v>49989361.149999999</v>
      </c>
      <c r="D27" s="2">
        <v>134062</v>
      </c>
      <c r="E27" s="2">
        <f t="shared" si="0"/>
        <v>28683.262021131442</v>
      </c>
      <c r="F27" s="5">
        <v>3425656</v>
      </c>
      <c r="G27" s="51">
        <f t="shared" si="1"/>
        <v>39.134694201636123</v>
      </c>
    </row>
    <row r="28" spans="2:7" s="13" customFormat="1" ht="20.25" customHeight="1" x14ac:dyDescent="0.2">
      <c r="B28" s="14" t="s">
        <v>41</v>
      </c>
      <c r="C28" s="1">
        <v>10128502</v>
      </c>
      <c r="D28" s="2">
        <v>59982</v>
      </c>
      <c r="E28" s="2">
        <f t="shared" si="0"/>
        <v>12989.155721075296</v>
      </c>
      <c r="F28" s="5">
        <v>938109</v>
      </c>
      <c r="G28" s="51">
        <f t="shared" si="1"/>
        <v>63.939265053421302</v>
      </c>
    </row>
    <row r="29" spans="2:7" s="13" customFormat="1" ht="20.25" customHeight="1" x14ac:dyDescent="0.2">
      <c r="B29" s="14" t="s">
        <v>21</v>
      </c>
      <c r="C29" s="1">
        <v>25796028</v>
      </c>
      <c r="D29" s="2">
        <v>86235</v>
      </c>
      <c r="E29" s="2">
        <f t="shared" si="0"/>
        <v>23010.492794733531</v>
      </c>
      <c r="F29" s="5">
        <v>1613476</v>
      </c>
      <c r="G29" s="51">
        <f t="shared" si="1"/>
        <v>53.44672000079332</v>
      </c>
    </row>
    <row r="30" spans="2:7" s="13" customFormat="1" ht="20.25" customHeight="1" thickBot="1" x14ac:dyDescent="0.25">
      <c r="B30" s="14" t="s">
        <v>40</v>
      </c>
      <c r="C30" s="2">
        <v>9463964.3712499999</v>
      </c>
      <c r="D30" s="2">
        <v>18528</v>
      </c>
      <c r="E30" s="2">
        <f t="shared" si="0"/>
        <v>39291.734635520465</v>
      </c>
      <c r="F30" s="5">
        <v>156509</v>
      </c>
      <c r="G30" s="51">
        <f t="shared" si="1"/>
        <v>118.38296839159409</v>
      </c>
    </row>
    <row r="31" spans="2:7" s="15" customFormat="1" ht="26.25" customHeight="1" thickBot="1" x14ac:dyDescent="0.25">
      <c r="B31" s="47" t="s">
        <v>22</v>
      </c>
      <c r="C31" s="48">
        <f>SUM(C7:C30)</f>
        <v>694254988.99607837</v>
      </c>
      <c r="D31" s="48">
        <f>SUM(D7:D30)</f>
        <v>2230313</v>
      </c>
      <c r="E31" s="48">
        <f t="shared" si="0"/>
        <v>23944.724315723965</v>
      </c>
      <c r="F31" s="50">
        <f>+SUM(F7:F30)</f>
        <v>43590368</v>
      </c>
      <c r="G31" s="52">
        <f t="shared" si="1"/>
        <v>51.165271190185862</v>
      </c>
    </row>
    <row r="32" spans="2:7" ht="8.25" customHeight="1" x14ac:dyDescent="0.2">
      <c r="B32" s="16"/>
      <c r="E32" s="17"/>
      <c r="G32" s="19"/>
    </row>
    <row r="33" spans="1:7" x14ac:dyDescent="0.2">
      <c r="B33" s="60" t="s">
        <v>46</v>
      </c>
      <c r="C33" s="60"/>
      <c r="D33" s="60"/>
      <c r="E33" s="60"/>
      <c r="F33" s="60"/>
      <c r="G33" s="60"/>
    </row>
    <row r="34" spans="1:7" x14ac:dyDescent="0.2">
      <c r="B34" s="60" t="s">
        <v>47</v>
      </c>
      <c r="C34" s="60"/>
      <c r="D34" s="60"/>
      <c r="E34" s="60"/>
      <c r="F34" s="60"/>
      <c r="G34" s="60"/>
    </row>
    <row r="35" spans="1:7" x14ac:dyDescent="0.2">
      <c r="A35" s="18"/>
      <c r="B35" s="55" t="s">
        <v>53</v>
      </c>
      <c r="C35" s="55"/>
      <c r="D35" s="55"/>
      <c r="E35" s="55"/>
      <c r="F35" s="55"/>
      <c r="G35" s="55"/>
    </row>
    <row r="36" spans="1:7" x14ac:dyDescent="0.2">
      <c r="A36" s="18"/>
      <c r="B36" s="55" t="s">
        <v>48</v>
      </c>
      <c r="C36" s="55"/>
      <c r="D36" s="55"/>
      <c r="E36" s="55"/>
      <c r="F36" s="55"/>
      <c r="G36" s="55"/>
    </row>
    <row r="37" spans="1:7" x14ac:dyDescent="0.2">
      <c r="A37" s="18"/>
      <c r="B37" s="55"/>
      <c r="C37" s="55"/>
      <c r="D37" s="55"/>
      <c r="E37" s="55"/>
      <c r="F37" s="55"/>
      <c r="G37" s="55"/>
    </row>
    <row r="38" spans="1:7" x14ac:dyDescent="0.2">
      <c r="B38" s="54" t="s">
        <v>61</v>
      </c>
      <c r="C38" s="53"/>
      <c r="D38" s="53"/>
      <c r="E38" s="53"/>
      <c r="F38" s="53"/>
      <c r="G38" s="53"/>
    </row>
    <row r="39" spans="1:7" x14ac:dyDescent="0.2">
      <c r="B39" s="61" t="s">
        <v>39</v>
      </c>
      <c r="C39" s="61"/>
      <c r="D39" s="61"/>
      <c r="E39" s="61"/>
      <c r="F39" s="61"/>
      <c r="G39" s="61"/>
    </row>
    <row r="40" spans="1:7" x14ac:dyDescent="0.2">
      <c r="B40" s="55"/>
      <c r="C40" s="55"/>
      <c r="D40" s="55"/>
      <c r="E40" s="55"/>
      <c r="F40" s="55"/>
      <c r="G40" s="55"/>
    </row>
    <row r="41" spans="1:7" x14ac:dyDescent="0.2">
      <c r="B41" s="55"/>
      <c r="C41" s="55"/>
      <c r="D41" s="55"/>
      <c r="E41" s="55"/>
      <c r="F41" s="55"/>
      <c r="G41" s="55"/>
    </row>
    <row r="42" spans="1:7" x14ac:dyDescent="0.2">
      <c r="B42" s="55"/>
      <c r="C42" s="55"/>
      <c r="D42" s="55"/>
      <c r="E42" s="55"/>
      <c r="F42" s="55"/>
      <c r="G42" s="55"/>
    </row>
    <row r="43" spans="1:7" x14ac:dyDescent="0.2">
      <c r="B43" s="55"/>
      <c r="C43" s="55"/>
      <c r="D43" s="55"/>
      <c r="E43" s="55"/>
      <c r="F43" s="55"/>
      <c r="G43" s="55"/>
    </row>
  </sheetData>
  <mergeCells count="14">
    <mergeCell ref="B40:G40"/>
    <mergeCell ref="B41:G41"/>
    <mergeCell ref="B42:G42"/>
    <mergeCell ref="B43:G43"/>
    <mergeCell ref="B35:G35"/>
    <mergeCell ref="B36:G36"/>
    <mergeCell ref="B37:G37"/>
    <mergeCell ref="B33:G33"/>
    <mergeCell ref="B39:G39"/>
    <mergeCell ref="B1:G1"/>
    <mergeCell ref="B2:G2"/>
    <mergeCell ref="B3:G3"/>
    <mergeCell ref="B4:G4"/>
    <mergeCell ref="B34:G34"/>
  </mergeCells>
  <printOptions horizontalCentered="1" verticalCentered="1"/>
  <pageMargins left="0" right="0" top="0" bottom="0" header="0" footer="0"/>
  <pageSetup paperSize="9" scale="8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'2005'!Área_de_impresión</vt:lpstr>
      <vt:lpstr>'2006'!Área_de_impresión</vt:lpstr>
      <vt:lpstr>'2007'!Área_de_impresión</vt:lpstr>
      <vt:lpstr>'2008'!Área_de_impresión</vt:lpstr>
      <vt:lpstr>'2009'!Área_de_impresión</vt:lpstr>
      <vt:lpstr>'2010'!Área_de_impresión</vt:lpstr>
      <vt:lpstr>'2011'!Área_de_impresión</vt:lpstr>
      <vt:lpstr>'2012'!Área_de_impresión</vt:lpstr>
      <vt:lpstr>'2013'!Área_de_impresión</vt:lpstr>
      <vt:lpstr>'2014'!Área_de_impresión</vt:lpstr>
      <vt:lpstr>'2015'!Área_de_impresión</vt:lpstr>
      <vt:lpstr>'2016'!Área_de_impresión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MECON</dc:creator>
  <cp:lastModifiedBy>ftomas@provincias.mecon.ar</cp:lastModifiedBy>
  <dcterms:created xsi:type="dcterms:W3CDTF">2006-05-16T15:49:33Z</dcterms:created>
  <dcterms:modified xsi:type="dcterms:W3CDTF">2026-10-07T18:19:38Z</dcterms:modified>
</cp:coreProperties>
</file>