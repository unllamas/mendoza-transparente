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9C6748CB-DE8C-42BF-9111-AEB431FA8526}" xr6:coauthVersionLast="47" xr6:coauthVersionMax="47" xr10:uidLastSave="{00000000-0000-0000-0000-000000000000}"/>
  <bookViews>
    <workbookView xWindow="-28920" yWindow="15" windowWidth="29040" windowHeight="15840" xr2:uid="{4059418D-CEEC-4FFD-B984-625E0A7A1552}"/>
  </bookViews>
  <sheets>
    <sheet name="12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J30" i="1"/>
  <c r="I30" i="1"/>
  <c r="H30" i="1"/>
  <c r="F30" i="1"/>
  <c r="E30" i="1"/>
  <c r="D30" i="1"/>
  <c r="C30" i="1"/>
  <c r="L29" i="1"/>
  <c r="G29" i="1"/>
  <c r="L28" i="1"/>
  <c r="G28" i="1"/>
  <c r="L27" i="1"/>
  <c r="G27" i="1"/>
  <c r="L26" i="1"/>
  <c r="G26" i="1"/>
  <c r="L25" i="1"/>
  <c r="G25" i="1"/>
  <c r="M25" i="1" s="1"/>
  <c r="L24" i="1"/>
  <c r="G24" i="1"/>
  <c r="L23" i="1"/>
  <c r="G23" i="1"/>
  <c r="L22" i="1"/>
  <c r="G22" i="1"/>
  <c r="M22" i="1" s="1"/>
  <c r="L21" i="1"/>
  <c r="G21" i="1"/>
  <c r="L20" i="1"/>
  <c r="G20" i="1"/>
  <c r="L19" i="1"/>
  <c r="G19" i="1"/>
  <c r="L18" i="1"/>
  <c r="G18" i="1"/>
  <c r="L17" i="1"/>
  <c r="G17" i="1"/>
  <c r="M17" i="1" s="1"/>
  <c r="L16" i="1"/>
  <c r="G16" i="1"/>
  <c r="L15" i="1"/>
  <c r="G15" i="1"/>
  <c r="L14" i="1"/>
  <c r="G14" i="1"/>
  <c r="M14" i="1" s="1"/>
  <c r="L13" i="1"/>
  <c r="G13" i="1"/>
  <c r="L12" i="1"/>
  <c r="M12" i="1" s="1"/>
  <c r="G12" i="1"/>
  <c r="L11" i="1"/>
  <c r="G11" i="1"/>
  <c r="L10" i="1"/>
  <c r="G10" i="1"/>
  <c r="L9" i="1"/>
  <c r="G9" i="1"/>
  <c r="L8" i="1"/>
  <c r="G8" i="1"/>
  <c r="L7" i="1"/>
  <c r="G7" i="1"/>
  <c r="L6" i="1"/>
  <c r="G6" i="1"/>
  <c r="M6" i="1" l="1"/>
  <c r="L30" i="1"/>
  <c r="M9" i="1"/>
  <c r="M27" i="1"/>
  <c r="G30" i="1"/>
  <c r="M28" i="1"/>
  <c r="M29" i="1"/>
  <c r="M13" i="1"/>
  <c r="M15" i="1"/>
  <c r="M19" i="1"/>
  <c r="M20" i="1"/>
  <c r="M23" i="1"/>
  <c r="M26" i="1"/>
  <c r="M8" i="1"/>
  <c r="M10" i="1"/>
  <c r="M21" i="1"/>
  <c r="M24" i="1"/>
  <c r="M16" i="1"/>
  <c r="M18" i="1"/>
  <c r="M11" i="1"/>
  <c r="M7" i="1"/>
  <c r="M30" i="1" l="1"/>
</calcChain>
</file>

<file path=xl/sharedStrings.xml><?xml version="1.0" encoding="utf-8"?>
<sst xmlns="http://schemas.openxmlformats.org/spreadsheetml/2006/main" count="47" uniqueCount="40">
  <si>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</si>
  <si>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</si>
  <si>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</si>
  <si>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</si>
  <si>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</si>
  <si>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</si>
  <si>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</si>
  <si>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</si>
  <si>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</si>
  <si>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</si>
  <si>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</si>
  <si>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</si>
  <si>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</si>
  <si>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</si>
  <si>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</si>
  <si>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</si>
  <si>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</si>
  <si>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</si>
  <si>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</si>
  <si>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</si>
  <si>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</si>
  <si>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</si>
  <si>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</si>
  <si>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</si>
  <si>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</si>
  <si>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</si>
  <si>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</si>
  <si>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</si>
  <si>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</si>
  <si>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</si>
  <si>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</si>
  <si>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</si>
  <si>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</si>
  <si>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</si>
  <si>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</si>
  <si>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</si>
  <si>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2017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</si>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</sst>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8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4" fontId="2" fillId="0" borderId="3" xfId="1" applyNumberFormat="1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4" fontId="2" fillId="0" borderId="4" xfId="1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164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4" fontId="2" fillId="0" borderId="5" xfId="1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2" fontId="10" fillId="3" borderId="6" xfId="0" applyNumberFormat="1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3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31746EF-6BA7-4E10-BD02-D61350328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A4B819-67EB-4E52-B4D0-D308FFB1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60033D-2863-46EA-AC0C-640D046EF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F368-BEF7-480B-AB2A-76DE9F99475C}">
  <dimension ref="A1:M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7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7" bestFit="1" customWidth="1"/>
    <col min="13" max="13" width="10.5703125" style="2" bestFit="1" customWidth="1"/>
    <col min="14" max="16384" width="11.42578125" style="2"/>
  </cols>
  <sheetData>
    <row r="1" spans="1:13" ht="24" customHeight="1" x14ac:dyDescent="0.25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3.25" customHeight="1" x14ac:dyDescent="0.25">
      <c r="B2" s="24" t="s">
        <v>39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3.25" customHeight="1" x14ac:dyDescent="0.25">
      <c r="B3" s="25" t="s">
        <v>36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23.25" customHeight="1" x14ac:dyDescent="0.25">
      <c r="B4" s="26" t="s">
        <v>1</v>
      </c>
      <c r="C4" s="27" t="s">
        <v>2</v>
      </c>
      <c r="D4" s="27"/>
      <c r="E4" s="27"/>
      <c r="F4" s="27"/>
      <c r="G4" s="27"/>
      <c r="H4" s="27" t="s">
        <v>3</v>
      </c>
      <c r="I4" s="27"/>
      <c r="J4" s="27"/>
      <c r="K4" s="27"/>
      <c r="L4" s="27"/>
      <c r="M4" s="26" t="s">
        <v>4</v>
      </c>
    </row>
    <row r="5" spans="1:13" s="4" customFormat="1" ht="51" x14ac:dyDescent="0.25">
      <c r="A5" s="3"/>
      <c r="B5" s="26"/>
      <c r="C5" s="21" t="s">
        <v>5</v>
      </c>
      <c r="D5" s="21" t="s">
        <v>6</v>
      </c>
      <c r="E5" s="21" t="s">
        <v>7</v>
      </c>
      <c r="F5" s="21" t="s">
        <v>8</v>
      </c>
      <c r="G5" s="20" t="s">
        <v>9</v>
      </c>
      <c r="H5" s="21" t="s">
        <v>5</v>
      </c>
      <c r="I5" s="21" t="s">
        <v>6</v>
      </c>
      <c r="J5" s="21" t="s">
        <v>7</v>
      </c>
      <c r="K5" s="21" t="s">
        <v>8</v>
      </c>
      <c r="L5" s="20" t="s">
        <v>9</v>
      </c>
      <c r="M5" s="26"/>
    </row>
    <row r="6" spans="1:13" x14ac:dyDescent="0.2">
      <c r="B6" s="5" t="s">
        <v>10</v>
      </c>
      <c r="C6" s="6">
        <v>223076</v>
      </c>
      <c r="D6" s="6">
        <v>467862</v>
      </c>
      <c r="E6" s="6">
        <v>69</v>
      </c>
      <c r="F6" s="6">
        <v>142</v>
      </c>
      <c r="G6" s="7">
        <f>+SUM(C6:F6)</f>
        <v>691149</v>
      </c>
      <c r="H6" s="6">
        <v>12287</v>
      </c>
      <c r="I6" s="6">
        <v>850</v>
      </c>
      <c r="J6" s="6">
        <v>10</v>
      </c>
      <c r="K6" s="6">
        <v>9</v>
      </c>
      <c r="L6" s="7">
        <f>+SUM(H6:K6)</f>
        <v>13156</v>
      </c>
      <c r="M6" s="7">
        <f t="shared" ref="M6:M29" si="0">+L6+G6</f>
        <v>704305</v>
      </c>
    </row>
    <row r="7" spans="1:13" x14ac:dyDescent="0.2">
      <c r="B7" s="8" t="s">
        <v>11</v>
      </c>
      <c r="C7" s="9">
        <v>165600</v>
      </c>
      <c r="D7" s="9">
        <v>10560</v>
      </c>
      <c r="E7" s="9">
        <v>0</v>
      </c>
      <c r="F7" s="9">
        <v>0</v>
      </c>
      <c r="G7" s="10">
        <f t="shared" ref="G7:G29" si="1">+SUM(C7:F7)</f>
        <v>176160</v>
      </c>
      <c r="H7" s="9">
        <v>30152</v>
      </c>
      <c r="I7" s="9">
        <v>5817</v>
      </c>
      <c r="J7" s="9">
        <v>0</v>
      </c>
      <c r="K7" s="9">
        <v>0</v>
      </c>
      <c r="L7" s="10">
        <f t="shared" ref="L7:L29" si="2">+SUM(H7:K7)</f>
        <v>35969</v>
      </c>
      <c r="M7" s="10">
        <f t="shared" si="0"/>
        <v>212129</v>
      </c>
    </row>
    <row r="8" spans="1:13" x14ac:dyDescent="0.2">
      <c r="B8" s="8" t="s">
        <v>12</v>
      </c>
      <c r="C8" s="9">
        <v>40308</v>
      </c>
      <c r="D8" s="9">
        <v>3368</v>
      </c>
      <c r="E8" s="9">
        <v>0</v>
      </c>
      <c r="F8" s="9">
        <v>0</v>
      </c>
      <c r="G8" s="10">
        <f t="shared" si="1"/>
        <v>43676</v>
      </c>
      <c r="H8" s="9">
        <v>395</v>
      </c>
      <c r="I8" s="9">
        <v>1169</v>
      </c>
      <c r="J8" s="9">
        <v>0</v>
      </c>
      <c r="K8" s="9">
        <v>0</v>
      </c>
      <c r="L8" s="10">
        <f t="shared" si="2"/>
        <v>1564</v>
      </c>
      <c r="M8" s="10">
        <f t="shared" si="0"/>
        <v>45240</v>
      </c>
    </row>
    <row r="9" spans="1:13" x14ac:dyDescent="0.2">
      <c r="B9" s="8" t="s">
        <v>13</v>
      </c>
      <c r="C9" s="9">
        <v>76763</v>
      </c>
      <c r="D9" s="9">
        <v>2898</v>
      </c>
      <c r="E9" s="9">
        <v>68</v>
      </c>
      <c r="F9" s="9">
        <v>1003</v>
      </c>
      <c r="G9" s="10">
        <f t="shared" si="1"/>
        <v>80732</v>
      </c>
      <c r="H9" s="9">
        <v>10300</v>
      </c>
      <c r="I9" s="9">
        <v>861</v>
      </c>
      <c r="J9" s="9">
        <v>316</v>
      </c>
      <c r="K9" s="9">
        <v>0</v>
      </c>
      <c r="L9" s="10">
        <f t="shared" si="2"/>
        <v>11477</v>
      </c>
      <c r="M9" s="10">
        <f t="shared" si="0"/>
        <v>92209</v>
      </c>
    </row>
    <row r="10" spans="1:13" x14ac:dyDescent="0.2">
      <c r="B10" s="8" t="s">
        <v>14</v>
      </c>
      <c r="C10" s="9">
        <v>42783</v>
      </c>
      <c r="D10" s="9">
        <v>1697</v>
      </c>
      <c r="E10" s="9">
        <v>0</v>
      </c>
      <c r="F10" s="9">
        <v>443</v>
      </c>
      <c r="G10" s="10">
        <f t="shared" si="1"/>
        <v>44923</v>
      </c>
      <c r="H10" s="9">
        <v>693</v>
      </c>
      <c r="I10" s="9">
        <v>147</v>
      </c>
      <c r="J10" s="9">
        <v>0</v>
      </c>
      <c r="K10" s="9">
        <v>0</v>
      </c>
      <c r="L10" s="10">
        <f t="shared" si="2"/>
        <v>840</v>
      </c>
      <c r="M10" s="10">
        <f t="shared" si="0"/>
        <v>45763</v>
      </c>
    </row>
    <row r="11" spans="1:13" x14ac:dyDescent="0.2">
      <c r="B11" s="8" t="s">
        <v>15</v>
      </c>
      <c r="C11" s="9">
        <v>124228</v>
      </c>
      <c r="D11" s="9">
        <v>2854</v>
      </c>
      <c r="E11" s="9">
        <v>0</v>
      </c>
      <c r="F11" s="9">
        <v>299</v>
      </c>
      <c r="G11" s="10">
        <f t="shared" si="1"/>
        <v>127381</v>
      </c>
      <c r="H11" s="9">
        <v>0</v>
      </c>
      <c r="I11" s="9">
        <v>0</v>
      </c>
      <c r="J11" s="9">
        <v>0</v>
      </c>
      <c r="K11" s="9">
        <v>0</v>
      </c>
      <c r="L11" s="10">
        <f t="shared" si="2"/>
        <v>0</v>
      </c>
      <c r="M11" s="10">
        <f t="shared" si="0"/>
        <v>127381</v>
      </c>
    </row>
    <row r="12" spans="1:13" x14ac:dyDescent="0.2">
      <c r="B12" s="8" t="s">
        <v>16</v>
      </c>
      <c r="C12" s="9">
        <v>61001</v>
      </c>
      <c r="D12" s="9">
        <v>403</v>
      </c>
      <c r="E12" s="9">
        <v>0</v>
      </c>
      <c r="F12" s="9">
        <v>110</v>
      </c>
      <c r="G12" s="10">
        <f t="shared" si="1"/>
        <v>61514</v>
      </c>
      <c r="H12" s="9">
        <v>1124</v>
      </c>
      <c r="I12" s="9">
        <v>0</v>
      </c>
      <c r="J12" s="9">
        <v>0</v>
      </c>
      <c r="K12" s="9">
        <v>0</v>
      </c>
      <c r="L12" s="10">
        <f t="shared" si="2"/>
        <v>1124</v>
      </c>
      <c r="M12" s="10">
        <f t="shared" si="0"/>
        <v>62638</v>
      </c>
    </row>
    <row r="13" spans="1:13" x14ac:dyDescent="0.2">
      <c r="B13" s="8" t="s">
        <v>17</v>
      </c>
      <c r="C13" s="9">
        <v>39472</v>
      </c>
      <c r="D13" s="9">
        <v>47798</v>
      </c>
      <c r="E13" s="9">
        <v>0</v>
      </c>
      <c r="F13" s="9">
        <v>203</v>
      </c>
      <c r="G13" s="10">
        <f t="shared" si="1"/>
        <v>87473</v>
      </c>
      <c r="H13" s="9">
        <v>2102</v>
      </c>
      <c r="I13" s="9">
        <v>1278</v>
      </c>
      <c r="J13" s="9">
        <v>0</v>
      </c>
      <c r="K13" s="9">
        <v>20</v>
      </c>
      <c r="L13" s="10">
        <f t="shared" si="2"/>
        <v>3400</v>
      </c>
      <c r="M13" s="10">
        <f t="shared" si="0"/>
        <v>90873</v>
      </c>
    </row>
    <row r="14" spans="1:13" x14ac:dyDescent="0.2">
      <c r="B14" s="8" t="s">
        <v>18</v>
      </c>
      <c r="C14" s="9">
        <v>36268</v>
      </c>
      <c r="D14" s="9">
        <v>2366</v>
      </c>
      <c r="E14" s="9">
        <v>0</v>
      </c>
      <c r="F14" s="9">
        <v>361</v>
      </c>
      <c r="G14" s="10">
        <f t="shared" si="1"/>
        <v>38995</v>
      </c>
      <c r="H14" s="9">
        <v>1558</v>
      </c>
      <c r="I14" s="9">
        <v>1234</v>
      </c>
      <c r="J14" s="9">
        <v>0</v>
      </c>
      <c r="K14" s="9">
        <v>4</v>
      </c>
      <c r="L14" s="10">
        <f t="shared" si="2"/>
        <v>2796</v>
      </c>
      <c r="M14" s="10">
        <f t="shared" si="0"/>
        <v>41791</v>
      </c>
    </row>
    <row r="15" spans="1:13" x14ac:dyDescent="0.2">
      <c r="B15" s="8" t="s">
        <v>19</v>
      </c>
      <c r="C15" s="9">
        <v>62325</v>
      </c>
      <c r="D15" s="9">
        <v>1567</v>
      </c>
      <c r="E15" s="9">
        <v>0</v>
      </c>
      <c r="F15" s="9">
        <v>0</v>
      </c>
      <c r="G15" s="10">
        <f t="shared" si="1"/>
        <v>63892</v>
      </c>
      <c r="H15" s="9">
        <v>398</v>
      </c>
      <c r="I15" s="9">
        <v>4</v>
      </c>
      <c r="J15" s="9">
        <v>0</v>
      </c>
      <c r="K15" s="9">
        <v>0</v>
      </c>
      <c r="L15" s="10">
        <f t="shared" si="2"/>
        <v>402</v>
      </c>
      <c r="M15" s="10">
        <f t="shared" si="0"/>
        <v>64294</v>
      </c>
    </row>
    <row r="16" spans="1:13" x14ac:dyDescent="0.2">
      <c r="A16" s="12" t="s">
        <v>20</v>
      </c>
      <c r="B16" s="8" t="s">
        <v>21</v>
      </c>
      <c r="C16" s="9">
        <v>26692</v>
      </c>
      <c r="D16" s="9">
        <v>300</v>
      </c>
      <c r="E16" s="9">
        <v>0</v>
      </c>
      <c r="F16" s="9">
        <v>0</v>
      </c>
      <c r="G16" s="10">
        <f t="shared" si="1"/>
        <v>26992</v>
      </c>
      <c r="H16" s="9">
        <v>12</v>
      </c>
      <c r="I16" s="9">
        <v>587</v>
      </c>
      <c r="J16" s="9">
        <v>0</v>
      </c>
      <c r="K16" s="9">
        <v>0</v>
      </c>
      <c r="L16" s="10">
        <f t="shared" si="2"/>
        <v>599</v>
      </c>
      <c r="M16" s="10">
        <f t="shared" si="0"/>
        <v>27591</v>
      </c>
    </row>
    <row r="17" spans="1:13" x14ac:dyDescent="0.2">
      <c r="B17" s="8" t="s">
        <v>22</v>
      </c>
      <c r="C17" s="9">
        <v>36260</v>
      </c>
      <c r="D17" s="9">
        <v>1769</v>
      </c>
      <c r="E17" s="9">
        <v>0</v>
      </c>
      <c r="F17" s="9">
        <v>0</v>
      </c>
      <c r="G17" s="10">
        <f t="shared" si="1"/>
        <v>38029</v>
      </c>
      <c r="H17" s="9">
        <v>2041</v>
      </c>
      <c r="I17" s="9">
        <v>360</v>
      </c>
      <c r="J17" s="9">
        <v>0</v>
      </c>
      <c r="K17" s="9">
        <v>0</v>
      </c>
      <c r="L17" s="10">
        <f t="shared" si="2"/>
        <v>2401</v>
      </c>
      <c r="M17" s="10">
        <f t="shared" si="0"/>
        <v>40430</v>
      </c>
    </row>
    <row r="18" spans="1:13" x14ac:dyDescent="0.2">
      <c r="B18" s="8" t="s">
        <v>23</v>
      </c>
      <c r="C18" s="9">
        <v>28659</v>
      </c>
      <c r="D18" s="9">
        <v>65291</v>
      </c>
      <c r="E18" s="9">
        <v>0</v>
      </c>
      <c r="F18" s="9">
        <v>0</v>
      </c>
      <c r="G18" s="10">
        <f t="shared" si="1"/>
        <v>93950</v>
      </c>
      <c r="H18" s="9">
        <v>1148</v>
      </c>
      <c r="I18" s="9">
        <v>504</v>
      </c>
      <c r="J18" s="9">
        <v>341</v>
      </c>
      <c r="K18" s="9">
        <v>0</v>
      </c>
      <c r="L18" s="10">
        <f t="shared" si="2"/>
        <v>1993</v>
      </c>
      <c r="M18" s="10">
        <f t="shared" si="0"/>
        <v>95943</v>
      </c>
    </row>
    <row r="19" spans="1:13" x14ac:dyDescent="0.2">
      <c r="B19" s="8" t="s">
        <v>24</v>
      </c>
      <c r="C19" s="9">
        <v>26090</v>
      </c>
      <c r="D19" s="9">
        <v>32505</v>
      </c>
      <c r="E19" s="9">
        <v>0</v>
      </c>
      <c r="F19" s="9">
        <v>470</v>
      </c>
      <c r="G19" s="10">
        <f t="shared" si="1"/>
        <v>59065</v>
      </c>
      <c r="H19" s="9">
        <v>407</v>
      </c>
      <c r="I19" s="9">
        <v>638</v>
      </c>
      <c r="J19" s="9">
        <v>0</v>
      </c>
      <c r="K19" s="9">
        <v>0</v>
      </c>
      <c r="L19" s="10">
        <f t="shared" si="2"/>
        <v>1045</v>
      </c>
      <c r="M19" s="10">
        <f t="shared" si="0"/>
        <v>60110</v>
      </c>
    </row>
    <row r="20" spans="1:13" x14ac:dyDescent="0.2">
      <c r="B20" s="8" t="s">
        <v>25</v>
      </c>
      <c r="C20" s="9">
        <v>25683</v>
      </c>
      <c r="D20" s="9">
        <v>39108</v>
      </c>
      <c r="E20" s="9">
        <v>30</v>
      </c>
      <c r="F20" s="9">
        <v>266</v>
      </c>
      <c r="G20" s="10">
        <f t="shared" si="1"/>
        <v>65087</v>
      </c>
      <c r="H20" s="9">
        <v>246</v>
      </c>
      <c r="I20" s="9">
        <v>139</v>
      </c>
      <c r="J20" s="9">
        <v>0</v>
      </c>
      <c r="K20" s="9">
        <v>31</v>
      </c>
      <c r="L20" s="10">
        <f t="shared" si="2"/>
        <v>416</v>
      </c>
      <c r="M20" s="10">
        <f t="shared" si="0"/>
        <v>65503</v>
      </c>
    </row>
    <row r="21" spans="1:13" x14ac:dyDescent="0.2">
      <c r="B21" s="8" t="s">
        <v>26</v>
      </c>
      <c r="C21" s="9">
        <v>18086</v>
      </c>
      <c r="D21" s="9">
        <v>38946</v>
      </c>
      <c r="E21" s="9">
        <v>0</v>
      </c>
      <c r="F21" s="9">
        <v>0</v>
      </c>
      <c r="G21" s="10">
        <f t="shared" si="1"/>
        <v>57032</v>
      </c>
      <c r="H21" s="9">
        <v>0</v>
      </c>
      <c r="I21" s="9">
        <v>0</v>
      </c>
      <c r="J21" s="9">
        <v>0</v>
      </c>
      <c r="K21" s="9">
        <v>0</v>
      </c>
      <c r="L21" s="10">
        <f t="shared" si="2"/>
        <v>0</v>
      </c>
      <c r="M21" s="10">
        <f t="shared" si="0"/>
        <v>57032</v>
      </c>
    </row>
    <row r="22" spans="1:13" x14ac:dyDescent="0.2">
      <c r="B22" s="8" t="s">
        <v>27</v>
      </c>
      <c r="C22" s="9">
        <v>71933</v>
      </c>
      <c r="D22" s="9">
        <v>838</v>
      </c>
      <c r="E22" s="9">
        <v>0</v>
      </c>
      <c r="F22" s="9">
        <v>0</v>
      </c>
      <c r="G22" s="10">
        <f t="shared" si="1"/>
        <v>72771</v>
      </c>
      <c r="H22" s="9">
        <v>4422</v>
      </c>
      <c r="I22" s="9">
        <v>32</v>
      </c>
      <c r="J22" s="9">
        <v>0</v>
      </c>
      <c r="K22" s="9">
        <v>0</v>
      </c>
      <c r="L22" s="10">
        <f t="shared" si="2"/>
        <v>4454</v>
      </c>
      <c r="M22" s="10">
        <f t="shared" si="0"/>
        <v>77225</v>
      </c>
    </row>
    <row r="23" spans="1:13" x14ac:dyDescent="0.2">
      <c r="B23" s="8" t="s">
        <v>28</v>
      </c>
      <c r="C23" s="9">
        <v>37112</v>
      </c>
      <c r="D23" s="9">
        <v>4392</v>
      </c>
      <c r="E23" s="9">
        <v>0</v>
      </c>
      <c r="F23" s="9">
        <v>0</v>
      </c>
      <c r="G23" s="10">
        <f t="shared" si="1"/>
        <v>41504</v>
      </c>
      <c r="H23" s="9">
        <v>5049</v>
      </c>
      <c r="I23" s="9">
        <v>732</v>
      </c>
      <c r="J23" s="9">
        <v>0</v>
      </c>
      <c r="K23" s="9">
        <v>0</v>
      </c>
      <c r="L23" s="10">
        <f t="shared" si="2"/>
        <v>5781</v>
      </c>
      <c r="M23" s="10">
        <f t="shared" si="0"/>
        <v>47285</v>
      </c>
    </row>
    <row r="24" spans="1:13" x14ac:dyDescent="0.2">
      <c r="A24" s="12" t="s">
        <v>20</v>
      </c>
      <c r="B24" s="8" t="s">
        <v>29</v>
      </c>
      <c r="C24" s="9">
        <v>25972</v>
      </c>
      <c r="D24" s="9">
        <v>170</v>
      </c>
      <c r="E24" s="9">
        <v>0</v>
      </c>
      <c r="F24" s="9">
        <v>0</v>
      </c>
      <c r="G24" s="10">
        <f t="shared" si="1"/>
        <v>26142</v>
      </c>
      <c r="H24" s="11"/>
      <c r="I24" s="11"/>
      <c r="J24" s="11"/>
      <c r="K24" s="11"/>
      <c r="L24" s="10">
        <f t="shared" si="2"/>
        <v>0</v>
      </c>
      <c r="M24" s="10">
        <f t="shared" si="0"/>
        <v>26142</v>
      </c>
    </row>
    <row r="25" spans="1:13" x14ac:dyDescent="0.2">
      <c r="B25" s="8" t="s">
        <v>30</v>
      </c>
      <c r="C25" s="9">
        <v>33173</v>
      </c>
      <c r="D25" s="9">
        <v>1448</v>
      </c>
      <c r="E25" s="9">
        <v>67</v>
      </c>
      <c r="F25" s="9">
        <v>155</v>
      </c>
      <c r="G25" s="10">
        <f t="shared" si="1"/>
        <v>34843</v>
      </c>
      <c r="H25" s="9">
        <v>120</v>
      </c>
      <c r="I25" s="9">
        <v>3</v>
      </c>
      <c r="J25" s="9">
        <v>0</v>
      </c>
      <c r="K25" s="9">
        <v>0</v>
      </c>
      <c r="L25" s="10">
        <f t="shared" si="2"/>
        <v>123</v>
      </c>
      <c r="M25" s="10">
        <f t="shared" si="0"/>
        <v>34966</v>
      </c>
    </row>
    <row r="26" spans="1:13" x14ac:dyDescent="0.2">
      <c r="B26" s="8" t="s">
        <v>31</v>
      </c>
      <c r="C26" s="9">
        <v>139103</v>
      </c>
      <c r="D26" s="9">
        <v>3621</v>
      </c>
      <c r="E26" s="9">
        <v>0</v>
      </c>
      <c r="F26" s="9">
        <v>228</v>
      </c>
      <c r="G26" s="10">
        <f t="shared" si="1"/>
        <v>142952</v>
      </c>
      <c r="H26" s="9">
        <v>96300</v>
      </c>
      <c r="I26" s="9">
        <v>299</v>
      </c>
      <c r="J26" s="9">
        <v>0</v>
      </c>
      <c r="K26" s="9">
        <v>41</v>
      </c>
      <c r="L26" s="10">
        <f t="shared" si="2"/>
        <v>96640</v>
      </c>
      <c r="M26" s="10">
        <f t="shared" si="0"/>
        <v>239592</v>
      </c>
    </row>
    <row r="27" spans="1:13" x14ac:dyDescent="0.2">
      <c r="B27" s="8" t="s">
        <v>32</v>
      </c>
      <c r="C27" s="9">
        <v>26449</v>
      </c>
      <c r="D27" s="9">
        <v>32700</v>
      </c>
      <c r="E27" s="9">
        <v>0</v>
      </c>
      <c r="F27" s="9">
        <v>0</v>
      </c>
      <c r="G27" s="10">
        <f t="shared" si="1"/>
        <v>59149</v>
      </c>
      <c r="H27" s="9">
        <v>5775</v>
      </c>
      <c r="I27" s="9">
        <v>853</v>
      </c>
      <c r="J27" s="9">
        <v>0</v>
      </c>
      <c r="K27" s="9">
        <v>0</v>
      </c>
      <c r="L27" s="10">
        <f t="shared" si="2"/>
        <v>6628</v>
      </c>
      <c r="M27" s="10">
        <f t="shared" si="0"/>
        <v>65777</v>
      </c>
    </row>
    <row r="28" spans="1:13" x14ac:dyDescent="0.2">
      <c r="B28" s="8" t="s">
        <v>33</v>
      </c>
      <c r="C28" s="9">
        <v>18635</v>
      </c>
      <c r="D28" s="9">
        <v>736</v>
      </c>
      <c r="E28" s="9">
        <v>0</v>
      </c>
      <c r="F28" s="9">
        <v>104</v>
      </c>
      <c r="G28" s="10">
        <f t="shared" si="1"/>
        <v>19475</v>
      </c>
      <c r="H28" s="9">
        <v>441</v>
      </c>
      <c r="I28" s="9">
        <v>12</v>
      </c>
      <c r="J28" s="9">
        <v>0</v>
      </c>
      <c r="K28" s="9">
        <v>3</v>
      </c>
      <c r="L28" s="10">
        <f t="shared" si="2"/>
        <v>456</v>
      </c>
      <c r="M28" s="10">
        <f t="shared" si="0"/>
        <v>19931</v>
      </c>
    </row>
    <row r="29" spans="1:13" x14ac:dyDescent="0.2">
      <c r="B29" s="13" t="s">
        <v>34</v>
      </c>
      <c r="C29" s="14">
        <v>61281</v>
      </c>
      <c r="D29" s="14">
        <v>28872</v>
      </c>
      <c r="E29" s="14">
        <v>0</v>
      </c>
      <c r="F29" s="14">
        <v>0</v>
      </c>
      <c r="G29" s="15">
        <f t="shared" si="1"/>
        <v>90153</v>
      </c>
      <c r="H29" s="14">
        <v>4386</v>
      </c>
      <c r="I29" s="14">
        <v>916</v>
      </c>
      <c r="J29" s="14">
        <v>0</v>
      </c>
      <c r="K29" s="14">
        <v>0</v>
      </c>
      <c r="L29" s="15">
        <f t="shared" si="2"/>
        <v>5302</v>
      </c>
      <c r="M29" s="15">
        <f t="shared" si="0"/>
        <v>95455</v>
      </c>
    </row>
    <row r="30" spans="1:13" ht="18.75" customHeight="1" x14ac:dyDescent="0.25">
      <c r="B30" s="19" t="s">
        <v>4</v>
      </c>
      <c r="C30" s="16">
        <f>+SUM(C6:C29)</f>
        <v>1446952</v>
      </c>
      <c r="D30" s="16">
        <f t="shared" ref="D30:M30" si="3">+SUM(D6:D29)</f>
        <v>792069</v>
      </c>
      <c r="E30" s="16">
        <f t="shared" si="3"/>
        <v>234</v>
      </c>
      <c r="F30" s="16">
        <f t="shared" si="3"/>
        <v>3784</v>
      </c>
      <c r="G30" s="16">
        <f t="shared" si="3"/>
        <v>2243039</v>
      </c>
      <c r="H30" s="16">
        <f t="shared" si="3"/>
        <v>179356</v>
      </c>
      <c r="I30" s="16">
        <f t="shared" si="3"/>
        <v>16435</v>
      </c>
      <c r="J30" s="16">
        <f t="shared" si="3"/>
        <v>667</v>
      </c>
      <c r="K30" s="16">
        <f t="shared" si="3"/>
        <v>108</v>
      </c>
      <c r="L30" s="16">
        <f t="shared" si="3"/>
        <v>196566</v>
      </c>
      <c r="M30" s="16">
        <f t="shared" si="3"/>
        <v>2439605</v>
      </c>
    </row>
    <row r="31" spans="1:13" x14ac:dyDescent="0.25">
      <c r="B31" s="2" t="s">
        <v>37</v>
      </c>
    </row>
    <row r="32" spans="1:13" x14ac:dyDescent="0.25">
      <c r="B32" s="18" t="s">
        <v>35</v>
      </c>
    </row>
    <row r="33" spans="2:13" x14ac:dyDescent="0.25">
      <c r="B33" s="18"/>
    </row>
    <row r="34" spans="2:13" ht="15" x14ac:dyDescent="0.25">
      <c r="B34" s="22" t="s">
        <v>38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1217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2026-09-21T19:09:19Z</dcterms:created>
  <dcterms:modified xsi:type="dcterms:W3CDTF">2026-10-14T17:33:04Z</dcterms:modified>
</cp:coreProperties>
</file>