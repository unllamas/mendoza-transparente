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0E4B8171-BBD0-4EAF-BA61-75DCA3CC34ED}" xr6:coauthVersionLast="47" xr6:coauthVersionMax="47" xr10:uidLastSave="{00000000-0000-0000-0000-000000000000}"/>
  <bookViews>
    <workbookView xWindow="-20220" yWindow="2130" windowWidth="19275" windowHeight="10815" xr2:uid="{7D29FDB4-A4B9-4DCF-AA99-D59514AECAF3}"/>
  </bookViews>
  <sheets>
    <sheet name="12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1" i="1" l="1"/>
  <c r="M25" i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<sst xmlns="http://schemas.openxmlformats.org/spreadsheetml/2006/main" count="52" uniqueCount="43">
  <si>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</si>
  <si>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</si>
  <si>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</si>
  <si>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</si>
  <si>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</si>
  <si>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</si>
  <si>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</si>
  <si>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</si>
  <si>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</si>
  <si>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</si>
  <si>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</si>
  <si>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</si>
  <si>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</si>
  <si>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</si>
  <si>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</si>
  <si>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</si>
  <si>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</si>
  <si>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</si>
  <si>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</si>
  <si>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</si>
  <si>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</si>
  <si>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</si>
  <si>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</si>
  <si>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</si>
  <si>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</si>
  <si>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</si>
  <si>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</si>
  <si>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</si>
  <si>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</si>
  <si>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</si>
  <si>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</si>
  <si>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</si>
  <si>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</si>
  <si>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</si>
  <si>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</si>
  <si>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</si>
  <si>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</si>
  <si>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</si>
  <si>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</si>
  <si>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</si>
  <si>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2013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</si>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</sst>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left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939AAE-837D-4939-8962-584CBE008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BA01F4-69EB-47E0-918A-6A76FF7FB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171781</v>
      </c>
      <c r="D6" s="18">
        <v>479491</v>
      </c>
      <c r="E6" s="18">
        <v>0</v>
      </c>
      <c r="F6" s="18">
        <v>905</v>
      </c>
      <c r="G6" s="7">
        <f>+SUM(C6:F6)</f>
        <v>652177</v>
      </c>
      <c r="H6" s="18">
        <v>3568</v>
      </c>
      <c r="I6" s="18">
        <v>48</v>
      </c>
      <c r="J6" s="18">
        <v>0</v>
      </c>
      <c r="K6" s="18">
        <v>0</v>
      </c>
      <c r="L6" s="7">
        <f>+SUM(H6:K6)</f>
        <v>3616</v>
      </c>
      <c r="M6" s="7">
        <f t="shared" ref="M6:M29" si="0">+L6+G6</f>
        <v>655793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162045</v>
      </c>
      <c r="D7" s="19">
        <v>0</v>
      </c>
      <c r="E7" s="19">
        <v>0</v>
      </c>
      <c r="F7" s="19">
        <v>0</v>
      </c>
      <c r="G7" s="9">
        <f t="shared" ref="G7:G29" si="1">+SUM(C7:F7)</f>
        <v>162045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162045</v>
      </c>
      <c r="O7" s="16"/>
      <c r="P7" s="16"/>
    </row>
    <row r="8" spans="1:16" x14ac:dyDescent="0.2">
      <c r="B8" s="8" t="s">
        <v>12</v>
      </c>
      <c r="C8" s="19">
        <v>36901</v>
      </c>
      <c r="D8" s="19">
        <v>3490</v>
      </c>
      <c r="E8" s="19">
        <v>0</v>
      </c>
      <c r="F8" s="19">
        <v>0</v>
      </c>
      <c r="G8" s="9">
        <f t="shared" si="1"/>
        <v>40391</v>
      </c>
      <c r="H8" s="19">
        <v>2522</v>
      </c>
      <c r="I8" s="19">
        <v>426</v>
      </c>
      <c r="J8" s="19">
        <v>0</v>
      </c>
      <c r="K8" s="19">
        <v>0</v>
      </c>
      <c r="L8" s="9">
        <f t="shared" si="2"/>
        <v>2948</v>
      </c>
      <c r="M8" s="9">
        <f t="shared" si="0"/>
        <v>43339</v>
      </c>
      <c r="O8" s="16"/>
      <c r="P8" s="16"/>
    </row>
    <row r="9" spans="1:16" x14ac:dyDescent="0.2">
      <c r="B9" s="8" t="s">
        <v>13</v>
      </c>
      <c r="C9" s="19">
        <v>72446</v>
      </c>
      <c r="D9" s="19">
        <v>2595</v>
      </c>
      <c r="E9" s="19">
        <v>0</v>
      </c>
      <c r="F9" s="19">
        <v>1133</v>
      </c>
      <c r="G9" s="9">
        <f t="shared" si="1"/>
        <v>76174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76174</v>
      </c>
      <c r="O9" s="16"/>
      <c r="P9" s="16"/>
    </row>
    <row r="10" spans="1:16" x14ac:dyDescent="0.2">
      <c r="B10" s="8" t="s">
        <v>14</v>
      </c>
      <c r="C10" s="19">
        <v>39724</v>
      </c>
      <c r="D10" s="19">
        <v>1515</v>
      </c>
      <c r="E10" s="19">
        <v>0</v>
      </c>
      <c r="F10" s="19">
        <v>0</v>
      </c>
      <c r="G10" s="9">
        <f t="shared" si="1"/>
        <v>41239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41239</v>
      </c>
      <c r="O10" s="16"/>
      <c r="P10" s="16"/>
    </row>
    <row r="11" spans="1:16" x14ac:dyDescent="0.2">
      <c r="B11" s="8" t="s">
        <v>15</v>
      </c>
      <c r="C11" s="19">
        <v>116827</v>
      </c>
      <c r="D11" s="19">
        <v>2328</v>
      </c>
      <c r="E11" s="19">
        <v>0</v>
      </c>
      <c r="F11" s="19">
        <v>336</v>
      </c>
      <c r="G11" s="9">
        <f t="shared" si="1"/>
        <v>119491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119491</v>
      </c>
      <c r="O11" s="16"/>
      <c r="P11" s="16"/>
    </row>
    <row r="12" spans="1:16" x14ac:dyDescent="0.2">
      <c r="B12" s="8" t="s">
        <v>16</v>
      </c>
      <c r="C12" s="19">
        <v>57364</v>
      </c>
      <c r="D12" s="19">
        <v>1292</v>
      </c>
      <c r="E12" s="19">
        <v>0</v>
      </c>
      <c r="F12" s="19">
        <v>140</v>
      </c>
      <c r="G12" s="9">
        <f t="shared" si="1"/>
        <v>58796</v>
      </c>
      <c r="H12" s="19">
        <v>3157</v>
      </c>
      <c r="I12" s="19">
        <v>13</v>
      </c>
      <c r="J12" s="19">
        <v>0</v>
      </c>
      <c r="K12" s="19">
        <v>0</v>
      </c>
      <c r="L12" s="9">
        <f t="shared" si="2"/>
        <v>3170</v>
      </c>
      <c r="M12" s="9">
        <f t="shared" si="0"/>
        <v>61966</v>
      </c>
      <c r="O12" s="16"/>
      <c r="P12" s="16"/>
    </row>
    <row r="13" spans="1:16" x14ac:dyDescent="0.2">
      <c r="B13" s="8" t="s">
        <v>17</v>
      </c>
      <c r="C13" s="19">
        <v>29142</v>
      </c>
      <c r="D13" s="19">
        <v>44082</v>
      </c>
      <c r="E13" s="19">
        <v>0</v>
      </c>
      <c r="F13" s="19">
        <v>206</v>
      </c>
      <c r="G13" s="9">
        <f t="shared" si="1"/>
        <v>73430</v>
      </c>
      <c r="H13" s="19">
        <v>9802</v>
      </c>
      <c r="I13" s="19">
        <v>0</v>
      </c>
      <c r="J13" s="19">
        <v>0</v>
      </c>
      <c r="K13" s="19">
        <v>0</v>
      </c>
      <c r="L13" s="9">
        <f t="shared" si="2"/>
        <v>9802</v>
      </c>
      <c r="M13" s="9">
        <f t="shared" si="0"/>
        <v>83232</v>
      </c>
      <c r="O13" s="16"/>
      <c r="P13" s="16"/>
    </row>
    <row r="14" spans="1:16" x14ac:dyDescent="0.2">
      <c r="B14" s="8" t="s">
        <v>18</v>
      </c>
      <c r="C14" s="19">
        <v>36559</v>
      </c>
      <c r="D14" s="19">
        <v>1632</v>
      </c>
      <c r="E14" s="19">
        <v>0</v>
      </c>
      <c r="F14" s="19">
        <v>191</v>
      </c>
      <c r="G14" s="9">
        <f t="shared" si="1"/>
        <v>38382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38382</v>
      </c>
      <c r="O14" s="16"/>
      <c r="P14" s="16"/>
    </row>
    <row r="15" spans="1:16" x14ac:dyDescent="0.2">
      <c r="B15" s="8" t="s">
        <v>19</v>
      </c>
      <c r="C15" s="19">
        <v>58355</v>
      </c>
      <c r="D15" s="19">
        <v>1247</v>
      </c>
      <c r="E15" s="19">
        <v>0</v>
      </c>
      <c r="F15" s="19">
        <v>0</v>
      </c>
      <c r="G15" s="9">
        <f t="shared" si="1"/>
        <v>59602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59602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22737</v>
      </c>
      <c r="D16" s="19">
        <v>292</v>
      </c>
      <c r="E16" s="19">
        <v>0</v>
      </c>
      <c r="F16" s="19">
        <v>0</v>
      </c>
      <c r="G16" s="9">
        <f t="shared" si="1"/>
        <v>23029</v>
      </c>
      <c r="H16" s="19">
        <v>12</v>
      </c>
      <c r="I16" s="19">
        <v>579</v>
      </c>
      <c r="J16" s="19">
        <v>0</v>
      </c>
      <c r="K16" s="19">
        <v>0</v>
      </c>
      <c r="L16" s="9">
        <f t="shared" si="2"/>
        <v>591</v>
      </c>
      <c r="M16" s="9">
        <f t="shared" si="0"/>
        <v>23620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35380</v>
      </c>
      <c r="D17" s="19">
        <v>0</v>
      </c>
      <c r="E17" s="19">
        <v>0</v>
      </c>
      <c r="F17" s="19">
        <v>0</v>
      </c>
      <c r="G17" s="9">
        <f t="shared" si="1"/>
        <v>35380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35380</v>
      </c>
      <c r="O17" s="16"/>
      <c r="P17" s="16"/>
    </row>
    <row r="18" spans="1:16" x14ac:dyDescent="0.2">
      <c r="B18" s="8" t="s">
        <v>23</v>
      </c>
      <c r="C18" s="19">
        <v>27577</v>
      </c>
      <c r="D18" s="19">
        <v>63463</v>
      </c>
      <c r="E18" s="19">
        <v>0</v>
      </c>
      <c r="F18" s="19">
        <v>0</v>
      </c>
      <c r="G18" s="9">
        <f t="shared" si="1"/>
        <v>91040</v>
      </c>
      <c r="H18" s="19">
        <v>0</v>
      </c>
      <c r="I18" s="19">
        <v>0</v>
      </c>
      <c r="J18" s="19">
        <v>0</v>
      </c>
      <c r="K18" s="19">
        <v>0</v>
      </c>
      <c r="L18" s="9">
        <f t="shared" si="2"/>
        <v>0</v>
      </c>
      <c r="M18" s="9">
        <f t="shared" si="0"/>
        <v>91040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55457</v>
      </c>
      <c r="D19" s="19">
        <v>0</v>
      </c>
      <c r="E19" s="19">
        <v>0</v>
      </c>
      <c r="F19" s="19">
        <v>0</v>
      </c>
      <c r="G19" s="9">
        <f t="shared" si="1"/>
        <v>55457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55457</v>
      </c>
      <c r="O19" s="16"/>
      <c r="P19" s="16"/>
    </row>
    <row r="20" spans="1:16" x14ac:dyDescent="0.2">
      <c r="B20" s="8" t="s">
        <v>25</v>
      </c>
      <c r="C20" s="19">
        <v>21525</v>
      </c>
      <c r="D20" s="19">
        <v>34729</v>
      </c>
      <c r="E20" s="19">
        <v>0</v>
      </c>
      <c r="F20" s="19">
        <v>0</v>
      </c>
      <c r="G20" s="9">
        <f t="shared" si="1"/>
        <v>56254</v>
      </c>
      <c r="H20" s="19">
        <v>562</v>
      </c>
      <c r="I20" s="19">
        <v>795</v>
      </c>
      <c r="J20" s="19">
        <v>0</v>
      </c>
      <c r="K20" s="19">
        <v>0</v>
      </c>
      <c r="L20" s="9">
        <f t="shared" si="2"/>
        <v>1357</v>
      </c>
      <c r="M20" s="9">
        <f t="shared" si="0"/>
        <v>57611</v>
      </c>
      <c r="O20" s="16"/>
      <c r="P20" s="16"/>
    </row>
    <row r="21" spans="1:16" x14ac:dyDescent="0.2">
      <c r="B21" s="8" t="s">
        <v>26</v>
      </c>
      <c r="C21" s="19">
        <v>51993</v>
      </c>
      <c r="D21" s="19">
        <v>338</v>
      </c>
      <c r="E21" s="19">
        <v>0</v>
      </c>
      <c r="F21" s="19">
        <v>0</v>
      </c>
      <c r="G21" s="9">
        <f t="shared" si="1"/>
        <v>52331</v>
      </c>
      <c r="H21" s="19">
        <v>0</v>
      </c>
      <c r="I21" s="19">
        <v>0</v>
      </c>
      <c r="J21" s="19">
        <v>0</v>
      </c>
      <c r="K21" s="19">
        <v>0</v>
      </c>
      <c r="L21" s="9">
        <f t="shared" si="2"/>
        <v>0</v>
      </c>
      <c r="M21" s="9">
        <f t="shared" si="0"/>
        <v>52331</v>
      </c>
      <c r="O21" s="16"/>
      <c r="P21" s="16"/>
    </row>
    <row r="22" spans="1:16" x14ac:dyDescent="0.2">
      <c r="B22" s="8" t="s">
        <v>27</v>
      </c>
      <c r="C22" s="19">
        <v>63437</v>
      </c>
      <c r="D22" s="19">
        <v>861</v>
      </c>
      <c r="E22" s="19">
        <v>0</v>
      </c>
      <c r="F22" s="19">
        <v>0</v>
      </c>
      <c r="G22" s="9">
        <f t="shared" si="1"/>
        <v>64298</v>
      </c>
      <c r="H22" s="19">
        <v>256</v>
      </c>
      <c r="I22" s="19">
        <v>0</v>
      </c>
      <c r="J22" s="19">
        <v>0</v>
      </c>
      <c r="K22" s="19">
        <v>0</v>
      </c>
      <c r="L22" s="9">
        <f t="shared" si="2"/>
        <v>256</v>
      </c>
      <c r="M22" s="9">
        <f t="shared" si="0"/>
        <v>64554</v>
      </c>
      <c r="O22" s="16"/>
      <c r="P22" s="16"/>
    </row>
    <row r="23" spans="1:16" x14ac:dyDescent="0.2">
      <c r="B23" s="8" t="s">
        <v>28</v>
      </c>
      <c r="C23" s="19">
        <v>31877</v>
      </c>
      <c r="D23" s="19">
        <v>4668</v>
      </c>
      <c r="E23" s="19">
        <v>2</v>
      </c>
      <c r="F23" s="19">
        <v>0</v>
      </c>
      <c r="G23" s="9">
        <f t="shared" si="1"/>
        <v>36547</v>
      </c>
      <c r="H23" s="19">
        <v>1927</v>
      </c>
      <c r="I23" s="19">
        <v>359</v>
      </c>
      <c r="J23" s="19">
        <v>0</v>
      </c>
      <c r="K23" s="19">
        <v>0</v>
      </c>
      <c r="L23" s="9">
        <f t="shared" si="2"/>
        <v>2286</v>
      </c>
      <c r="M23" s="9">
        <f t="shared" si="0"/>
        <v>38833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22967</v>
      </c>
      <c r="D24" s="19">
        <v>282</v>
      </c>
      <c r="E24" s="19">
        <v>0</v>
      </c>
      <c r="F24" s="19">
        <v>0</v>
      </c>
      <c r="G24" s="9">
        <f t="shared" si="1"/>
        <v>23249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23249</v>
      </c>
      <c r="O24" s="16"/>
      <c r="P24" s="16"/>
    </row>
    <row r="25" spans="1:16" x14ac:dyDescent="0.2">
      <c r="B25" s="8" t="s">
        <v>30</v>
      </c>
      <c r="C25" s="19">
        <v>29685</v>
      </c>
      <c r="D25" s="19">
        <v>2000</v>
      </c>
      <c r="E25" s="19">
        <v>13</v>
      </c>
      <c r="F25" s="19">
        <v>149</v>
      </c>
      <c r="G25" s="9">
        <f t="shared" si="1"/>
        <v>31847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31847</v>
      </c>
      <c r="O25" s="16"/>
      <c r="P25" s="16"/>
    </row>
    <row r="26" spans="1:16" x14ac:dyDescent="0.2">
      <c r="B26" s="8" t="s">
        <v>31</v>
      </c>
      <c r="C26" s="19">
        <v>120218</v>
      </c>
      <c r="D26" s="19">
        <v>3467</v>
      </c>
      <c r="E26" s="19">
        <v>0</v>
      </c>
      <c r="F26" s="19">
        <v>232</v>
      </c>
      <c r="G26" s="9">
        <f t="shared" si="1"/>
        <v>123917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123917</v>
      </c>
      <c r="O26" s="16"/>
      <c r="P26" s="16"/>
    </row>
    <row r="27" spans="1:16" x14ac:dyDescent="0.2">
      <c r="B27" s="8" t="s">
        <v>32</v>
      </c>
      <c r="C27" s="19">
        <v>20782</v>
      </c>
      <c r="D27" s="19">
        <v>29154</v>
      </c>
      <c r="E27" s="19">
        <v>0</v>
      </c>
      <c r="F27" s="19">
        <v>0</v>
      </c>
      <c r="G27" s="9">
        <f t="shared" si="1"/>
        <v>49936</v>
      </c>
      <c r="H27" s="19">
        <v>6085</v>
      </c>
      <c r="I27" s="19">
        <v>510</v>
      </c>
      <c r="J27" s="19">
        <v>0</v>
      </c>
      <c r="K27" s="19">
        <v>0</v>
      </c>
      <c r="L27" s="9">
        <f t="shared" si="2"/>
        <v>6595</v>
      </c>
      <c r="M27" s="9">
        <f t="shared" si="0"/>
        <v>56531</v>
      </c>
      <c r="O27" s="16"/>
      <c r="P27" s="16"/>
    </row>
    <row r="28" spans="1:16" x14ac:dyDescent="0.2">
      <c r="B28" s="8" t="s">
        <v>33</v>
      </c>
      <c r="C28" s="19">
        <v>17100</v>
      </c>
      <c r="D28" s="19">
        <v>463</v>
      </c>
      <c r="E28" s="19">
        <v>0</v>
      </c>
      <c r="F28" s="19">
        <v>273</v>
      </c>
      <c r="G28" s="9">
        <f t="shared" si="1"/>
        <v>17836</v>
      </c>
      <c r="H28" s="19">
        <v>0</v>
      </c>
      <c r="I28" s="19">
        <v>2</v>
      </c>
      <c r="J28" s="19">
        <v>0</v>
      </c>
      <c r="K28" s="19">
        <v>0</v>
      </c>
      <c r="L28" s="9">
        <f t="shared" si="2"/>
        <v>2</v>
      </c>
      <c r="M28" s="9">
        <f t="shared" si="0"/>
        <v>17838</v>
      </c>
      <c r="O28" s="16"/>
      <c r="P28" s="16"/>
    </row>
    <row r="29" spans="1:16" x14ac:dyDescent="0.2">
      <c r="B29" s="11" t="s">
        <v>34</v>
      </c>
      <c r="C29" s="20">
        <v>57071</v>
      </c>
      <c r="D29" s="20">
        <v>20351</v>
      </c>
      <c r="E29" s="20">
        <v>0</v>
      </c>
      <c r="F29" s="20">
        <v>0</v>
      </c>
      <c r="G29" s="12">
        <f t="shared" si="1"/>
        <v>77422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77422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1358950</v>
      </c>
      <c r="D30" s="13">
        <f t="shared" ref="D30:M30" si="3">+SUM(D6:D29)</f>
        <v>697740</v>
      </c>
      <c r="E30" s="13">
        <f t="shared" si="3"/>
        <v>15</v>
      </c>
      <c r="F30" s="13">
        <f t="shared" si="3"/>
        <v>3565</v>
      </c>
      <c r="G30" s="13">
        <f t="shared" si="3"/>
        <v>2060270</v>
      </c>
      <c r="H30" s="13">
        <f t="shared" si="3"/>
        <v>27891</v>
      </c>
      <c r="I30" s="13">
        <f t="shared" si="3"/>
        <v>2732</v>
      </c>
      <c r="J30" s="13">
        <f t="shared" si="3"/>
        <v>0</v>
      </c>
      <c r="K30" s="13">
        <f t="shared" si="3"/>
        <v>0</v>
      </c>
      <c r="L30" s="13">
        <f t="shared" si="3"/>
        <v>30623</v>
      </c>
      <c r="M30" s="13">
        <f t="shared" si="3"/>
        <v>2090893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1213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2026-10-14T17:38:19Z</dcterms:modified>
</cp:coreProperties>
</file>