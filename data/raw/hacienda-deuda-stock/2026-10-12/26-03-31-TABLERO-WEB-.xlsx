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Z:\AAA TABLERO DEUDA\NUEVO TABLERO\ACH\Informe trimestral de deuda\2026 - 03\"/>
    </mc:Choice>
  </mc:AlternateContent>
  <xr:revisionPtr revIDLastSave="0" documentId="13_ncr:1_{27622F1F-D839-47F3-ABF6-ED095122446F}" xr6:coauthVersionLast="47" xr6:coauthVersionMax="47" xr10:uidLastSave="{00000000-0000-0000-0000-000000000000}"/>
  <bookViews>
    <workbookView xWindow="-20610" yWindow="-120" windowWidth="20730" windowHeight="11040" tabRatio="954" xr2:uid="{00000000-000D-0000-FFFF-FFFF00000000}"/>
  </bookViews>
  <sheets>
    <sheet name="Servicios Deuda Anual " sheetId="1" r:id="rId1"/>
    <sheet name="Perfil Int Mensual " sheetId="2" r:id="rId2"/>
    <sheet name="Perfil Amort Mensual " sheetId="3" r:id="rId3"/>
    <sheet name="Ratios 2026" sheetId="4" r:id="rId4"/>
    <sheet name="Avales" sheetId="5" r:id="rId5"/>
    <sheet name="Evolución Deuda Total" sheetId="6" r:id="rId6"/>
    <sheet name="Gráficos" sheetId="7" r:id="rId7"/>
  </sheets>
  <externalReferences>
    <externalReference r:id="rId8"/>
  </externalReference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j">#REF!</definedName>
    <definedName name="\k">#REF!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_IMPUESTOS_SOBRE_COMBUSTIBLES_Y_GAS_NATURAL">#REF!</definedName>
    <definedName name="_._IMPUESTOS_SOBRE_ENERGIA_ELECTRICA">#REF!</definedName>
    <definedName name="_F">#REF!</definedName>
    <definedName name="_Fill" localSheetId="5" hidden="1">#REF!</definedName>
    <definedName name="_Fill" localSheetId="1" hidden="1">#REF!</definedName>
    <definedName name="_Fill" localSheetId="3" hidden="1">#REF!</definedName>
    <definedName name="_Fill" hidden="1">#REF!</definedName>
    <definedName name="_Key1" localSheetId="5" hidden="1">#REF!</definedName>
    <definedName name="_Key1" localSheetId="1" hidden="1">#REF!</definedName>
    <definedName name="_Key1" localSheetId="3" hidden="1">#REF!</definedName>
    <definedName name="_Key1" hidden="1">#REF!</definedName>
    <definedName name="_Order1" hidden="1">255</definedName>
    <definedName name="_Parse_In" localSheetId="5" hidden="1">#REF!</definedName>
    <definedName name="_Parse_In" localSheetId="1" hidden="1">#REF!</definedName>
    <definedName name="_Parse_In" localSheetId="3" hidden="1">#REF!</definedName>
    <definedName name="_Parse_In" hidden="1">#REF!</definedName>
    <definedName name="_Parse_Out" localSheetId="5" hidden="1">#REF!</definedName>
    <definedName name="_Parse_Out" localSheetId="1" hidden="1">#REF!</definedName>
    <definedName name="_Parse_Out" localSheetId="3" hidden="1">#REF!</definedName>
    <definedName name="_Parse_Out" hidden="1">#REF!</definedName>
    <definedName name="_R">#REF!</definedName>
    <definedName name="_Sort" localSheetId="5" hidden="1">#REF!</definedName>
    <definedName name="_Sort" localSheetId="1" hidden="1">#REF!</definedName>
    <definedName name="_Sort" localSheetId="3" hidden="1">#REF!</definedName>
    <definedName name="_Sort" hidden="1">#REF!</definedName>
    <definedName name="A">#REF!</definedName>
    <definedName name="Acreedor_pesos" localSheetId="2">#REF!</definedName>
    <definedName name="Acreedor_pesos" localSheetId="1">#REF!</definedName>
    <definedName name="Acreedor_pesos" localSheetId="0">#REF!</definedName>
    <definedName name="Acreedor_pesos">#REF!</definedName>
    <definedName name="Acreedor_USD" localSheetId="2">#REF!</definedName>
    <definedName name="Acreedor_USD" localSheetId="1">#REF!</definedName>
    <definedName name="Acreedor_USD" localSheetId="0">#REF!</definedName>
    <definedName name="Acreedor_USD">#REF!</definedName>
    <definedName name="Acreedor_UVA" localSheetId="2">#REF!</definedName>
    <definedName name="Acreedor_UVA" localSheetId="1">#REF!</definedName>
    <definedName name="Acreedor_UVA" localSheetId="0">#REF!</definedName>
    <definedName name="Acreedor_UVA">#REF!</definedName>
    <definedName name="ACwvu.PLA1." localSheetId="5" hidden="1">'[1]COP FED'!#REF!</definedName>
    <definedName name="ACwvu.PLA1." localSheetId="1" hidden="1">'[1]COP FED'!#REF!</definedName>
    <definedName name="ACwvu.PLA1." localSheetId="3" hidden="1">'[1]COP FED'!#REF!</definedName>
    <definedName name="ACwvu.PLA1." hidden="1">'[1]COP FED'!#REF!</definedName>
    <definedName name="ACwvu.PLA2." hidden="1">'[1]COP FED'!$A$1:$N$49</definedName>
    <definedName name="AGRO21">#REF!</definedName>
    <definedName name="_xlnm.Extract">#REF!</definedName>
    <definedName name="B">#REF!</definedName>
    <definedName name="Base_datos_IM">#REF!</definedName>
    <definedName name="_xlnm.Database">#REF!</definedName>
    <definedName name="BIDM35">#REF!</definedName>
    <definedName name="BORRAR">#REF!</definedName>
    <definedName name="C_">#REF!</definedName>
    <definedName name="caja" localSheetId="5" hidden="1">{FALSE,FALSE,-1.25,-15.5,484.5,276.75,FALSE,FALSE,TRUE,TRUE,0,12,#N/A,46,#N/A,2.93460490463215,15.35,1,FALSE,FALSE,3,TRUE,1,FALSE,100,"Swvu.PLA1.","ACwvu.PLA1.",#N/A,FALSE,FALSE,0,0,0,0,2,"","",TRUE,TRUE,FALSE,FALSE,1,60,#N/A,#N/A,FALSE,FALSE,FALSE,FALSE,FALSE,FALSE,FALSE,9,65532,65532,FALSE,FALSE,TRUE,TRUE,TRUE}</definedName>
    <definedName name="caja" localSheetId="2" hidden="1">{FALSE,FALSE,-1.25,-15.5,484.5,276.75,FALSE,FALSE,TRUE,TRUE,0,12,#N/A,46,#N/A,2.93460490463215,15.35,1,FALSE,FALSE,3,TRUE,1,FALSE,100,"Swvu.PLA1.","ACwvu.PLA1.",#N/A,FALSE,FALSE,0,0,0,0,2,"","",TRUE,TRUE,FALSE,FALSE,1,60,#N/A,#N/A,FALSE,FALSE,FALSE,FALSE,FALSE,FALSE,FALSE,9,65532,65532,FALSE,FALSE,TRUE,TRUE,TRUE}</definedName>
    <definedName name="caja" localSheetId="1" hidden="1">{FALSE,FALSE,-1.25,-15.5,484.5,276.75,FALSE,FALSE,TRUE,TRUE,0,12,#N/A,46,#N/A,2.93460490463215,15.35,1,FALSE,FALSE,3,TRUE,1,FALSE,100,"Swvu.PLA1.","ACwvu.PLA1.",#N/A,FALSE,FALSE,0,0,0,0,2,"","",TRUE,TRUE,FALSE,FALSE,1,60,#N/A,#N/A,FALSE,FALSE,FALSE,FALSE,FALSE,FALSE,FALSE,9,65532,65532,FALSE,FALSE,TRUE,TRUE,TRUE}</definedName>
    <definedName name="caja" localSheetId="3" hidden="1">{FALSE,FALSE,-1.25,-15.5,484.5,276.75,FALSE,FALSE,TRUE,TRUE,0,12,#N/A,46,#N/A,2.93460490463215,15.35,1,FALSE,FALSE,3,TRUE,1,FALSE,100,"Swvu.PLA1.","ACwvu.PLA1.",#N/A,FALSE,FALSE,0,0,0,0,2,"","",TRUE,TRUE,FALSE,FALSE,1,60,#N/A,#N/A,FALSE,FALSE,FALSE,FALSE,FALSE,FALSE,FALSE,9,65532,65532,FALSE,FALSE,TRUE,TRUE,TRUE}</definedName>
    <definedName name="caja" localSheetId="0"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ntidad_prestada">#REF!</definedName>
    <definedName name="Comisiones">#REF!</definedName>
    <definedName name="COPA">#N/A</definedName>
    <definedName name="COPARTICIPACION_FEDERAL__LEY_N__23548">#REF!</definedName>
    <definedName name="CotizDolar">#REF!</definedName>
    <definedName name="_xlnm.Criteria">#REF!</definedName>
    <definedName name="Criterios_IM">#REF!</definedName>
    <definedName name="D">#REF!</definedName>
    <definedName name="E">#REF!</definedName>
    <definedName name="EXCEDENTE_DEL_10__SEGUN_EL_TOPE_ASIGNADO_A__BUENOS_AIRES__LEY_N__23621">#REF!</definedName>
    <definedName name="Extracción_IM">#REF!</definedName>
    <definedName name="fdafafafafaf">#REF!</definedName>
    <definedName name="Fecha_primer_pago">#REF!</definedName>
    <definedName name="FONDO_COMPENSADOR_DE_DESEQUILIBRIOS_FISCALES_PROVINCIALES">#REF!</definedName>
    <definedName name="FONDO_EDUCATIVO__LEY_N__23906_ART._3_Y_4">#REF!</definedName>
    <definedName name="FONDO_ESPECIAL_DE_DESARROLLO_ELECTRICO_DEL_INTERIOR__LEYES_NROS._23966_ART._19_Y_24065">#REF!</definedName>
    <definedName name="FONDO_NACIONAL_DE_LA_VIVIENDA__LEY_N__23966_ART._18">#REF!</definedName>
    <definedName name="G">#REF!</definedName>
    <definedName name="grafacreedor" localSheetId="2">CHOOSE(#REF!,'Perfil Amort Mensual '!Acreedor_pesos,'Perfil Amort Mensual '!Acreedor_USD,'Perfil Amort Mensual '!Acreedor_UVA)</definedName>
    <definedName name="grafacreedor" localSheetId="1">CHOOSE(#REF!,'Perfil Int Mensual '!Acreedor_pesos,'Perfil Int Mensual '!Acreedor_USD,'Perfil Int Mensual '!Acreedor_UVA)</definedName>
    <definedName name="grafacreedor" localSheetId="0">CHOOSE(#REF!,'Servicios Deuda Anual '!Acreedor_pesos,'Servicios Deuda Anual '!Acreedor_USD,'Servicios Deuda Anual '!Acreedor_UVA)</definedName>
    <definedName name="grafacreedor">CHOOSE(#REF!,Acreedor_pesos,Acreedor_USD,Acreedor_UVA)</definedName>
    <definedName name="grafcomp" localSheetId="2">CHOOSE(#REF!,[0]!Por_tasa_int,[0]!Por_moneda)</definedName>
    <definedName name="grafcomp" localSheetId="1">CHOOSE(#REF!,[0]!Por_tasa_int,[0]!Por_moneda)</definedName>
    <definedName name="grafcomp" localSheetId="0">CHOOSE(#REF!,[0]!Por_tasa_int,[0]!Por_moneda)</definedName>
    <definedName name="grafcomp">CHOOSE(#REF!,Por_tasa_int,Por_moneda)</definedName>
    <definedName name="grafserv" localSheetId="2">CHOOSE(#REF!,[0]!Servicio_pesos,[0]!Servicio_USD,[0]!Servicio_UVA)</definedName>
    <definedName name="grafserv" localSheetId="1">CHOOSE(#REF!,[0]!Servicio_pesos,[0]!Servicio_USD,[0]!Servicio_UVA)</definedName>
    <definedName name="grafserv" localSheetId="0">CHOOSE(#REF!,[0]!Servicio_pesos,[0]!Servicio_USD,[0]!Servicio_UVA)</definedName>
    <definedName name="grafserv">CHOOSE(#REF!,Servicio_pesos,Servicio_USD,Servicio_UVA)</definedName>
    <definedName name="grafvto" localSheetId="2">CHOOSE(#REF!,[0]!Vto_en_pesos,[0]!Vto_en_USD,[0]!Vto_en_UVA)</definedName>
    <definedName name="grafvto" localSheetId="1">CHOOSE(#REF!,[0]!Vto_en_pesos,[0]!Vto_en_USD,[0]!Vto_en_UVA)</definedName>
    <definedName name="grafvto" localSheetId="0">CHOOSE(#REF!,[0]!Vto_en_pesos,[0]!Vto_en_USD,[0]!Vto_en_UVA)</definedName>
    <definedName name="grafvto">CHOOSE(#REF!,Vto_en_pesos,Vto_en_USD,Vto_en_UVA)</definedName>
    <definedName name="H">#REF!</definedName>
    <definedName name="I">#REF!</definedName>
    <definedName name="IMPRIMIR">#REF!</definedName>
    <definedName name="J">#REF!</definedName>
    <definedName name="K">#REF!</definedName>
    <definedName name="L_">#REF!</definedName>
    <definedName name="LL" localSheetId="5" hidden="1">{FALSE,FALSE,-1.25,-15.5,484.5,276.75,FALSE,FALSE,TRUE,TRUE,0,12,#N/A,46,#N/A,2.93460490463215,15.35,1,FALSE,FALSE,3,TRUE,1,FALSE,100,"Swvu.PLA1.","ACwvu.PLA1.",#N/A,FALSE,FALSE,0,0,0,0,2,"","",TRUE,TRUE,FALSE,FALSE,1,60,#N/A,#N/A,FALSE,FALSE,FALSE,FALSE,FALSE,FALSE,FALSE,9,65532,65532,FALSE,FALSE,TRUE,TRUE,TRUE}</definedName>
    <definedName name="LL" localSheetId="2" hidden="1">{FALSE,FALSE,-1.25,-15.5,484.5,276.75,FALSE,FALSE,TRUE,TRUE,0,12,#N/A,46,#N/A,2.93460490463215,15.35,1,FALSE,FALSE,3,TRUE,1,FALSE,100,"Swvu.PLA1.","ACwvu.PLA1.",#N/A,FALSE,FALSE,0,0,0,0,2,"","",TRUE,TRUE,FALSE,FALSE,1,60,#N/A,#N/A,FALSE,FALSE,FALSE,FALSE,FALSE,FALSE,FALSE,9,65532,65532,FALSE,FALSE,TRUE,TRUE,TRUE}</definedName>
    <definedName name="LL" localSheetId="1" hidden="1">{FALSE,FALSE,-1.25,-15.5,484.5,276.75,FALSE,FALSE,TRUE,TRUE,0,12,#N/A,46,#N/A,2.93460490463215,15.35,1,FALSE,FALSE,3,TRUE,1,FALSE,100,"Swvu.PLA1.","ACwvu.PLA1.",#N/A,FALSE,FALSE,0,0,0,0,2,"","",TRUE,TRUE,FALSE,FALSE,1,60,#N/A,#N/A,FALSE,FALSE,FALSE,FALSE,FALSE,FALSE,FALSE,9,65532,65532,FALSE,FALSE,TRUE,TRUE,TRUE}</definedName>
    <definedName name="LL" localSheetId="3" hidden="1">{FALSE,FALSE,-1.25,-15.5,484.5,276.75,FALSE,FALSE,TRUE,TRUE,0,12,#N/A,46,#N/A,2.93460490463215,15.35,1,FALSE,FALSE,3,TRUE,1,FALSE,100,"Swvu.PLA1.","ACwvu.PLA1.",#N/A,FALSE,FALSE,0,0,0,0,2,"","",TRUE,TRUE,FALSE,FALSE,1,60,#N/A,#N/A,FALSE,FALSE,FALSE,FALSE,FALSE,FALSE,FALSE,9,65532,65532,FALSE,FALSE,TRUE,TRUE,TRUE}</definedName>
    <definedName name="LL" localSheetId="0"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#REF!</definedName>
    <definedName name="N">#REF!</definedName>
    <definedName name="nu" localSheetId="5" hidden="1">'[1]COP FED'!#REF!</definedName>
    <definedName name="nu" localSheetId="1" hidden="1">'[1]COP FED'!#REF!</definedName>
    <definedName name="nu" localSheetId="3" hidden="1">'[1]COP FED'!#REF!</definedName>
    <definedName name="nu" hidden="1">'[1]COP FED'!#REF!</definedName>
    <definedName name="O">#REF!</definedName>
    <definedName name="OBRAS_DE_INFRAESTRUCTURA__LEY_N__23966_ART._19">#REF!</definedName>
    <definedName name="OBRAS_DE_INFRAESTRUCTURA_BASICA_SOCIAL_Y_NECESIDADES_BASICAS_INSATISFECHAS__LEY_N__23621">#REF!</definedName>
    <definedName name="ORGANISMOS_DE_VIALIDAD__LEY_N__23966_ART._19">#REF!</definedName>
    <definedName name="P">#REF!</definedName>
    <definedName name="pagos_por_año">#REF!</definedName>
    <definedName name="Plazo_en_años">#REF!</definedName>
    <definedName name="Por_moneda" localSheetId="2">#REF!</definedName>
    <definedName name="Por_moneda" localSheetId="1">#REF!</definedName>
    <definedName name="Por_moneda" localSheetId="0">#REF!</definedName>
    <definedName name="Por_moneda">#REF!</definedName>
    <definedName name="Por_tasa_int" localSheetId="2">#REF!</definedName>
    <definedName name="Por_tasa_int" localSheetId="1">#REF!</definedName>
    <definedName name="Por_tasa_int" localSheetId="0">#REF!</definedName>
    <definedName name="Por_tasa_int">#REF!</definedName>
    <definedName name="Prliq">#REF!</definedName>
    <definedName name="ProdEstimada">#REF!</definedName>
    <definedName name="prueba">#REF!</definedName>
    <definedName name="Q">#REF!</definedName>
    <definedName name="QUE" hidden="1">{FALSE,FALSE,-1.25,-15.5,484.5,276.75,FALSE,FALSE,TRUE,TRUE,0,12,#N/A,46,#N/A,2.93460490463215,15.35,1,FALSE,FALSE,3,TRUE,1,FALSE,100,"Swvu.PLA1.","ACwvu.PLA1.",#N/A,FALSE,FALSE,0,0,0,0,2,"","",TRUE,TRUE,FALSE,FALSE,1,60,#N/A,#N/A,FALSE,FALSE,FALSE,FALSE,FALSE,FALSE,FALSE,9,65532,65532,FALSE,FALSE,TRUE,TRUE,TRUE}</definedName>
    <definedName name="Rwvu.PLA2." localSheetId="5" hidden="1">'[1]COP FED'!#REF!</definedName>
    <definedName name="Rwvu.PLA2." localSheetId="1" hidden="1">'[1]COP FED'!#REF!</definedName>
    <definedName name="Rwvu.PLA2." localSheetId="3" hidden="1">'[1]COP FED'!#REF!</definedName>
    <definedName name="Rwvu.PLA2." hidden="1">'[1]COP FED'!#REF!</definedName>
    <definedName name="S">#REF!</definedName>
    <definedName name="SEGURIDAD_SOCIAL___BS._PERS._NO_INCORP._AL_PROCESO_ECONOMICO__LEY_N__23966__ART._30">#REF!</definedName>
    <definedName name="SEGURIDAD_SOCIAL___IVA__LEY_N__23966_ART._5_PTO._2">#REF!</definedName>
    <definedName name="Servicio_pesos" localSheetId="2">#REF!</definedName>
    <definedName name="Servicio_pesos" localSheetId="1">#REF!</definedName>
    <definedName name="Servicio_pesos" localSheetId="0">#REF!</definedName>
    <definedName name="Servicio_pesos">#REF!</definedName>
    <definedName name="Servicio_USD" localSheetId="2">#REF!</definedName>
    <definedName name="Servicio_USD" localSheetId="1">#REF!</definedName>
    <definedName name="Servicio_USD" localSheetId="0">#REF!</definedName>
    <definedName name="Servicio_USD">#REF!</definedName>
    <definedName name="Servicio_UVA" localSheetId="2">#REF!</definedName>
    <definedName name="Servicio_UVA" localSheetId="1">#REF!</definedName>
    <definedName name="Servicio_UVA" localSheetId="0">#REF!</definedName>
    <definedName name="Servicio_UVA">#REF!</definedName>
    <definedName name="SUMA_FIJA_FINANCIADA_CON__LA_COPARTICIPACION_FEDERAL_DE_NACION__LEY_N__23621_ART._1">#REF!</definedName>
    <definedName name="Swvu.PLA1." localSheetId="5" hidden="1">'[1]COP FED'!#REF!</definedName>
    <definedName name="Swvu.PLA1." localSheetId="1" hidden="1">'[1]COP FED'!#REF!</definedName>
    <definedName name="Swvu.PLA1." localSheetId="3" hidden="1">'[1]COP FED'!#REF!</definedName>
    <definedName name="Swvu.PLA1." hidden="1">'[1]COP FED'!#REF!</definedName>
    <definedName name="Swvu.PLA2." hidden="1">'[1]COP FED'!$A$1:$N$49</definedName>
    <definedName name="T">#REF!</definedName>
    <definedName name="tasa_interes_anual">#REF!</definedName>
    <definedName name="TOTAL">#REF!</definedName>
    <definedName name="TRANSFERENCIA_DE_SERVICIOS__LEY_N__24049_Y_COMPLEMENTARIAS">#REF!</definedName>
    <definedName name="U">#REF!</definedName>
    <definedName name="V">#REF!</definedName>
    <definedName name="Vto_en_pesos" localSheetId="2">#REF!</definedName>
    <definedName name="Vto_en_pesos" localSheetId="1">#REF!</definedName>
    <definedName name="Vto_en_pesos" localSheetId="0">#REF!</definedName>
    <definedName name="Vto_en_pesos">#REF!</definedName>
    <definedName name="Vto_en_USD" localSheetId="2">#REF!</definedName>
    <definedName name="Vto_en_USD" localSheetId="1">#REF!</definedName>
    <definedName name="Vto_en_USD" localSheetId="0">#REF!</definedName>
    <definedName name="Vto_en_USD">#REF!</definedName>
    <definedName name="Vto_en_UVA" localSheetId="2">#REF!</definedName>
    <definedName name="Vto_en_UVA" localSheetId="1">#REF!</definedName>
    <definedName name="Vto_en_UVA" localSheetId="0">#REF!</definedName>
    <definedName name="Vto_en_UVA">#REF!</definedName>
    <definedName name="W">#REF!</definedName>
    <definedName name="WTI">#REF!</definedName>
    <definedName name="wvu.PLA1." localSheetId="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 hidden="1">{FALSE,FALSE,-1.25,-15.5,484.5,276.75,FALSE,FALSE,TRUE,TRUE,0,12,#N/A,46,#N/A,2.93460490463215,15.35,1,FALSE,FALSE,3,TRUE,1,FALSE,100,"Swvu.PLA1.","ACwvu.PLA1.",#N/A,FALSE,FALSE,0,0,0,0,2,"","",TRUE,TRUE,FALSE,FALSE,1,60,#N/A,#N/A,FALSE,FALSE,FALSE,FALSE,FALSE,FALSE,FALSE,9,65532,65532,FALSE,FALSE,TRUE,TRUE,TRUE}</definedName>
    <definedName name="wvu.PLA1." localSheetId="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0"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5" hidden="1">{TRUE,TRUE,-1.25,-15.5,484.5,276.75,FALSE,FALSE,TRUE,TRUE,0,15,#N/A,56,#N/A,4.88636363636364,15.35,1,FALSE,FALSE,3,TRUE,1,FALSE,100,"Swvu.PLA2.","ACwvu.PLA2.",#N/A,FALSE,FALSE,0,0,0,0,2,"","",TRUE,TRUE,FALSE,FALSE,1,60,#N/A,#N/A,FALSE,FALSE,"Rwvu.PLA2.",#N/A,FALSE,FALSE,FALSE,9,65532,65532,FALSE,FALSE,TRUE,TRUE,TRUE}</definedName>
    <definedName name="wvu.PLA2." localSheetId="2" hidden="1">{TRUE,TRUE,-1.25,-15.5,484.5,276.75,FALSE,FALSE,TRUE,TRUE,0,15,#N/A,56,#N/A,4.88636363636364,15.35,1,FALSE,FALSE,3,TRUE,1,FALSE,100,"Swvu.PLA2.","ACwvu.PLA2.",#N/A,FALSE,FALSE,0,0,0,0,2,"","",TRUE,TRUE,FALSE,FALSE,1,60,#N/A,#N/A,FALSE,FALSE,"Rwvu.PLA2.",#N/A,FALSE,FALSE,FALSE,9,65532,65532,FALSE,FALSE,TRUE,TRUE,TRUE}</definedName>
    <definedName name="wvu.PLA2." localSheetId="1" hidden="1">{TRUE,TRUE,-1.25,-15.5,484.5,276.75,FALSE,FALSE,TRUE,TRUE,0,15,#N/A,56,#N/A,4.88636363636364,15.35,1,FALSE,FALSE,3,TRUE,1,FALSE,100,"Swvu.PLA2.","ACwvu.PLA2.",#N/A,FALSE,FALSE,0,0,0,0,2,"","",TRUE,TRUE,FALSE,FALSE,1,60,#N/A,#N/A,FALSE,FALSE,"Rwvu.PLA2.",#N/A,FALSE,FALSE,FALSE,9,65532,65532,FALSE,FALSE,TRUE,TRUE,TRUE}</definedName>
    <definedName name="wvu.PLA2." localSheetId="3" hidden="1">{TRUE,TRUE,-1.25,-15.5,484.5,276.75,FALSE,FALSE,TRUE,TRUE,0,15,#N/A,56,#N/A,4.88636363636364,15.35,1,FALSE,FALSE,3,TRUE,1,FALSE,100,"Swvu.PLA2.","ACwvu.PLA2.",#N/A,FALSE,FALSE,0,0,0,0,2,"","",TRUE,TRUE,FALSE,FALSE,1,60,#N/A,#N/A,FALSE,FALSE,"Rwvu.PLA2.",#N/A,FALSE,FALSE,FALSE,9,65532,65532,FALSE,FALSE,TRUE,TRUE,TRUE}</definedName>
    <definedName name="wvu.PLA2." localSheetId="0"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X">#REF!</definedName>
    <definedName name="Y">#REF!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VF</author>
  </authors>
  <commentList>
    <comment ref="A6" authorId="0" shapeId="0" xr:uid="{00000000-0006-0000-0500-000001000000}">
      <text>
        <r>
          <rPr>
            <sz val="11"/>
            <color theme="1"/>
            <rFont val="Calibri"/>
            <family val="2"/>
            <scheme val="minor"/>
          </rPr>
          <t>La información sobre DEUDA FLOTANTE se encuentra disponible en la página web del Ministerio de Hacienda - Responsabilidad Fiscal (Anexo 6)</t>
        </r>
      </text>
    </comment>
    <comment ref="A12" authorId="0" shapeId="0" xr:uid="{00000000-0006-0000-0500-000002000000}">
      <text>
        <r>
          <rPr>
            <sz val="11"/>
            <color theme="1"/>
            <rFont val="Calibri"/>
            <family val="2"/>
            <scheme val="minor"/>
          </rPr>
          <t>La información sobre DEUDA FLOTANTE se encuentra disponible en la página web del Ministerio de Hacienda - Responsabilidad Fiscal (Anexo 6)</t>
        </r>
      </text>
    </comment>
  </commentList>
</comments>
</file>

<file path=xl/sharedStrings.xml><?xml version="1.0" encoding="utf-8"?>
<sst xmlns="http://schemas.openxmlformats.org/spreadsheetml/2006/main" count="732" uniqueCount="195">
  <si>
    <t>PERFIL SERVICIOS DE LA DEUDA ANUAL POR TIPO DE MONEDA</t>
  </si>
  <si>
    <t>Servicios Deuda = Amort. + Int</t>
  </si>
  <si>
    <t>En Millones Especie</t>
  </si>
  <si>
    <t>Acreedor/Creditor</t>
  </si>
  <si>
    <t>ID</t>
  </si>
  <si>
    <t>Moneda / Currency (1)</t>
  </si>
  <si>
    <t>Saldo Millones Moneda Origen / Outstanding Millons Currency</t>
  </si>
  <si>
    <t>Saldo Millones USD / Outstanding Millons USD</t>
  </si>
  <si>
    <t>%</t>
  </si>
  <si>
    <t>Garantizado por / Secured by</t>
  </si>
  <si>
    <t>Fecha inicio / Issue date</t>
  </si>
  <si>
    <t>Cupón / Cupon</t>
  </si>
  <si>
    <t>Duración (Meses) / Maturity (Months)</t>
  </si>
  <si>
    <t>Frecuencia / Frequency</t>
  </si>
  <si>
    <t>Fecha vto. / Maturity Date</t>
  </si>
  <si>
    <t>Forma de pago / Payment method</t>
  </si>
  <si>
    <t>Promedio        2030-2050</t>
  </si>
  <si>
    <t>Pesos</t>
  </si>
  <si>
    <t>USD</t>
  </si>
  <si>
    <t>Gobierno Federal</t>
  </si>
  <si>
    <t>FFFIR Cloacas Tunuyán - Tupungato</t>
  </si>
  <si>
    <t>FFFIRS33</t>
  </si>
  <si>
    <t>Coparticipación Federal de Impuestos</t>
  </si>
  <si>
    <t>10-y Bond/LIBOR 12M (mayor) + 3,70%</t>
  </si>
  <si>
    <t>Mensual</t>
  </si>
  <si>
    <t>Automático</t>
  </si>
  <si>
    <t>FFFIR Ley 8930 - $416 MM</t>
  </si>
  <si>
    <t>FFFIRF26</t>
  </si>
  <si>
    <t>ANSES - Fideicomiso IPV VDF</t>
  </si>
  <si>
    <t>IPVO26</t>
  </si>
  <si>
    <t>Otras Transferencias Nacionales</t>
  </si>
  <si>
    <t>Badlar Públicos + 2%</t>
  </si>
  <si>
    <t>Trimestral</t>
  </si>
  <si>
    <t>FFFIR Ley 8066 Ampliación</t>
  </si>
  <si>
    <t>FFFIRE26</t>
  </si>
  <si>
    <t>Banco de la Nación Argentina</t>
  </si>
  <si>
    <t>Banco Nación - Metrotranvía Mza</t>
  </si>
  <si>
    <t>BNAY30</t>
  </si>
  <si>
    <t>Tasa TAMAR + Margen de Puntos Básicos</t>
  </si>
  <si>
    <t>Banco Nación-Refinanciación 2022</t>
  </si>
  <si>
    <t>BNAM27</t>
  </si>
  <si>
    <t>BADLAR Bancos Privados + 3%</t>
  </si>
  <si>
    <t xml:space="preserve">Bancos Nacionales e Internacionales </t>
  </si>
  <si>
    <t>Banco Santander</t>
  </si>
  <si>
    <t>SANG30</t>
  </si>
  <si>
    <t>Tasa TAMAR Corregida</t>
  </si>
  <si>
    <t xml:space="preserve">Mensual </t>
  </si>
  <si>
    <t xml:space="preserve">Automatico </t>
  </si>
  <si>
    <t>Multilateral</t>
  </si>
  <si>
    <t>1.1. B.I.D.</t>
  </si>
  <si>
    <t>4779 BID - RP82</t>
  </si>
  <si>
    <t>BIDN44</t>
  </si>
  <si>
    <t xml:space="preserve">Tasa Base Libor 3 M + Margen BID </t>
  </si>
  <si>
    <t>Semestral</t>
  </si>
  <si>
    <t>3169-BID-Programa-Mendoza-Tecnológica</t>
  </si>
  <si>
    <t>BIDF40</t>
  </si>
  <si>
    <t>2573 BID-PROSAP</t>
  </si>
  <si>
    <t>BIDD36</t>
  </si>
  <si>
    <t>1956 BID-PROSAP</t>
  </si>
  <si>
    <t>BIDA33</t>
  </si>
  <si>
    <t>3806 BID-PROSAP</t>
  </si>
  <si>
    <t>BIDY42</t>
  </si>
  <si>
    <t>4312 BID PLAN BELGRANO</t>
  </si>
  <si>
    <t>BIDE37</t>
  </si>
  <si>
    <t>Libor 6M + 1,35%</t>
  </si>
  <si>
    <t>1855 BID - MUNICIPIOS</t>
  </si>
  <si>
    <t>BIDN32</t>
  </si>
  <si>
    <t>1640 BID-Programa Mendoza Productiva</t>
  </si>
  <si>
    <t>BIDG25</t>
  </si>
  <si>
    <t>1895 BID - PROAS ENOHSA Los Barriales</t>
  </si>
  <si>
    <t>BIDS34</t>
  </si>
  <si>
    <t>1895 BID - PROAS ENOHSA PMG EPAS</t>
  </si>
  <si>
    <t>BIDS23</t>
  </si>
  <si>
    <t>1.2. B.I.R.F.</t>
  </si>
  <si>
    <t>7597 BIRF - PROSAP</t>
  </si>
  <si>
    <t>BIRS38</t>
  </si>
  <si>
    <t>9313 BIRF - AGRO21 PROSAP</t>
  </si>
  <si>
    <t>BIRJ53</t>
  </si>
  <si>
    <t>8712 BIRF - Proyecto Integral Hábitat y Vivienda (2)</t>
  </si>
  <si>
    <t>BIRF34</t>
  </si>
  <si>
    <t>8867 BIRF - GIRSAR</t>
  </si>
  <si>
    <t>BIRE50</t>
  </si>
  <si>
    <t>Tenedores de Bonos</t>
  </si>
  <si>
    <t>BONO MENDOZA 2029 (1)</t>
  </si>
  <si>
    <t>PMM29</t>
  </si>
  <si>
    <t>Sin garantía</t>
  </si>
  <si>
    <t>TGP</t>
  </si>
  <si>
    <t>Títulos de Deuda TAMAR CLASE 1</t>
  </si>
  <si>
    <t>PMJ26</t>
  </si>
  <si>
    <t>TAMAR + 4,75%</t>
  </si>
  <si>
    <t>Títulos de Deuda TAMAR CLASE 2</t>
  </si>
  <si>
    <t>PMD26</t>
  </si>
  <si>
    <t>TAMAR + 5,5%</t>
  </si>
  <si>
    <t>TÍTULOS DE DEUDA CER CLASE 2</t>
  </si>
  <si>
    <t>PMM27</t>
  </si>
  <si>
    <t>Pesos Ajustados</t>
  </si>
  <si>
    <t xml:space="preserve">CER </t>
  </si>
  <si>
    <t>Cupón Cero</t>
  </si>
  <si>
    <t>Bono de Conversión ANSES</t>
  </si>
  <si>
    <t>PMM31</t>
  </si>
  <si>
    <t>BADLAR Bcos Priv</t>
  </si>
  <si>
    <t>TOTAL DEUDA CONSOLIDADA</t>
  </si>
  <si>
    <t>(1) Tasa de Interés: desde e incluyendo el 19 de mayo de 2020 hasta y excluyendo el 19 de septiembre de 2021, 2,75%; desde e incluyendo el 19 de septiembre de 2021 hasta y excluyendo el 19 de marzo de 2023, 4,25%; desde e incluyendo el 19 de marzo de 2023 hasta y excluyendo el 19 de marzo de 2029, 5,75%.</t>
  </si>
  <si>
    <t>(2) La administración y gestión de los fondos provenientes del Préstamo es realizada por el IPV</t>
  </si>
  <si>
    <t>Tipo de Cambio Nominal ARS / USD (Fin de Período)</t>
  </si>
  <si>
    <t>BADLAR (Fin de Período)</t>
  </si>
  <si>
    <t>CER (Fin de Período)</t>
  </si>
  <si>
    <t>PERFIL DE AMORTIZACIONES ANUAL POR TIPO DE MONEDA</t>
  </si>
  <si>
    <t>Acreedor</t>
  </si>
  <si>
    <t xml:space="preserve">Pesos </t>
  </si>
  <si>
    <t xml:space="preserve">Banco Santander </t>
  </si>
  <si>
    <t>Organismos Multilaterales</t>
  </si>
  <si>
    <t>8712 BIRF - Proyecto Integral Hábitat y Vivienda</t>
  </si>
  <si>
    <t>BONO MENDOZA 2029</t>
  </si>
  <si>
    <t>TOTAL</t>
  </si>
  <si>
    <t>PERFIL DE INTERESES ANUAL POR TIPO DE MONEDA</t>
  </si>
  <si>
    <t>PERFIL DE INTERESES MENSUAL POR TIPO DE MONEDA</t>
  </si>
  <si>
    <t>DEUDA PÚBLICA EN PESOS (1)</t>
  </si>
  <si>
    <t>TOTAL INTERESES EN PESOS</t>
  </si>
  <si>
    <t>(1) Se incluye Endeudamiento con el Fondo Fiduciario Federal de Infraestructura Regional (FFFIR) ajustable por el Costo de la Construcción (ICC) con un tope máximo de 17% para 2020 y 2021.</t>
  </si>
  <si>
    <t>DEUDA PÚBLICA EN USD</t>
  </si>
  <si>
    <t>Dólar</t>
  </si>
  <si>
    <t>1134 BID - PROMEBA</t>
  </si>
  <si>
    <t>BIDO24</t>
  </si>
  <si>
    <t>TOTAL INTERESES EN USD</t>
  </si>
  <si>
    <t>PERFIL DE AMORTIZACIONES MENSUAL POR TIPO DE MONEDA</t>
  </si>
  <si>
    <t>TOTAL AMORTIZACIONES EN PESOS</t>
  </si>
  <si>
    <t>(1) Se incluye Endeudamiento con el Fondo Fiduciario Federal de Infraestructura Regional (FFFIR) ajustable por el Costo de la Construcción (ICC) con un tope máximo de 17%.</t>
  </si>
  <si>
    <t>TOTAL AMORTIZACIONES EN USD</t>
  </si>
  <si>
    <t>1er Trimestre</t>
  </si>
  <si>
    <t>Art. 21 Ley de Responsabilidad Fiscal</t>
  </si>
  <si>
    <t xml:space="preserve">SERVICIOS DEUDA </t>
  </si>
  <si>
    <t>Pertenece a la Ley N° 25.917 de Responabilidad Fiscal en su Capítulo V - "Endeudamiento":
Art 21) Los gobiernos de las provincias y de la Ciudad Autónoma de Buenos Aires tomarán las medidas necesarias para que el nivel de endeudamiento de sus jurisdicciones sea tal que en cada ejercicio fiscal los servicios de la deuda instrumentada no superen el quince por ciento (15%) de los recursos corrientes netos de transferencias por coparticipación a municipios.</t>
  </si>
  <si>
    <t>RECURSOS CORRIENTES
(Netos de Copart. a Municipios)</t>
  </si>
  <si>
    <t>SS DEUDA / REC. CTES. "&lt; 15%"</t>
  </si>
  <si>
    <t>COVENANTS BONOS</t>
  </si>
  <si>
    <t>SERVICIOS DEUDA GARANTIZADA CON COPARTICIPACIÓN SIG. 12 MESES
[1]</t>
  </si>
  <si>
    <t>Pertenece al prospecto del Bono Mendoza 2029 (PMM29)  "Compromisos - Limitación a los Gravámenes":
(e) cualquier Gravamen que garantice Deuda de la Provincia, constituido sobre el derecho de la Provincia a percibir Pagos en Coparticipación; con la salvedad que el monto de capital total de la Deuda así garantizada y pendiente de pago en cualquier momento no podrá superar un monto tal que provoque que la Relación de Deuda Garantizada por la Coparticipación Trimestral supere el 50%.</t>
  </si>
  <si>
    <t>COPARTICIPACIÓN RECIBIDA 3 MESES ANTERIORES x 4
[2]</t>
  </si>
  <si>
    <t>[1] / [2]  "&lt; 50%"</t>
  </si>
  <si>
    <t>INTERESES PAGADOS 12 MESES ANTERIORES A INCURRIR EN DEUDA
[3]</t>
  </si>
  <si>
    <t>Pertenece al prospecto del Bono Mendoza 2029 (PMM29)  "Compromisos - Compromisos de cobertura de interés":                                                                                                                                            La Provincia ha acordado que no incurrirá, asumirá o garantizará y no permitirá que ninguna Entidad Provincial incurra en ninguna Deuda, con la excepción de que, a la fecha en que se proponga incurrir, el monto de los “Gastos de Interés” incurridos durante los anteriores doce meses finalizados en el trimestre fiscales más recientes, dependiendo el caso, no exceda el 13% de los Ingresos obtenidos durante el referido período de doce meses.</t>
  </si>
  <si>
    <t>RECURSOS PERCIBIDOS 12 MESES ANTERIORES
[4]</t>
  </si>
  <si>
    <t>[3] / [4]  "&lt; 13%"</t>
  </si>
  <si>
    <t>CAPITAL PENDIENTE DE DEUDA NO GARANTIZADA CON COPARTICIP.
[5]</t>
  </si>
  <si>
    <t>Pertenece al prospecto del Bono Mendoza 2029 (PMM29)  "Compromisos - Limitación a los Gravámenes":
(h) cualquier otro gravamen, diferente de aquellos Gravámenes relacionados con el derecho de la Provincia a recibir Pagos en Coparticipación, que garanticen Deuda de la Provincia en un monto total de capital pendiente de pago que no supere en ningún momento el 10% de los Ingresos anuales de la Provincia para el período que incluye los cuatro trimestres fiscales consecutivos más recientes que finalicen antes de la fecha en que se incurra dicho Gravamen.</t>
  </si>
  <si>
    <t>RECURSOS PERCIBIDOS 12 MESES ANTERIORES
[6]</t>
  </si>
  <si>
    <t>[5] / [6]  "&lt; 10%"</t>
  </si>
  <si>
    <t>SERVICIOS DEUDA GARANTIZADA CON COPARTICIP. 4 TRIM FISCALES MÁS RECIENTES
[7]</t>
  </si>
  <si>
    <t>"Compromisos - Limitación a los Gravámenes":
(e) cualquier Gravamen que garantice Deuda de la Provincia que involucre el derecho de la Provincia a percibir Pagos en Coparticipación; con la salvedad que la Deuda así garantizada no deberá provocar que el Ratio de Deuda Garantizada por la Coparticipación supere el 50% en el trimestre fiscal más reciente que finalice antes de la fecha de cálculo.</t>
  </si>
  <si>
    <t>COPARTICIPACIÓN RECIBIDA DICHO PERÍODO
[8]</t>
  </si>
  <si>
    <t>[7] / [8]  "&lt; 50%"</t>
  </si>
  <si>
    <t>CARACTERÍSTICA DE LOS AVALES Y/O GARANTÍAS OTORGADAS</t>
  </si>
  <si>
    <t>En millones de $</t>
  </si>
  <si>
    <t>Beneficiario</t>
  </si>
  <si>
    <t>Marco Legal</t>
  </si>
  <si>
    <t>Proyecto</t>
  </si>
  <si>
    <t>Programa</t>
  </si>
  <si>
    <t>Monto del Contrato</t>
  </si>
  <si>
    <t>Moneda</t>
  </si>
  <si>
    <t>Garantía de Contraparte</t>
  </si>
  <si>
    <t>Saldo Adeudado</t>
  </si>
  <si>
    <t>Condiciones Financieras</t>
  </si>
  <si>
    <t>Plazo</t>
  </si>
  <si>
    <t>Gracia</t>
  </si>
  <si>
    <t>Tasa</t>
  </si>
  <si>
    <t>Cantidad de Cuotas</t>
  </si>
  <si>
    <t>Periodicidad</t>
  </si>
  <si>
    <t>No hay avales y/o garantías otorgados</t>
  </si>
  <si>
    <t>EVOLUCIÓN STOCK DEUDA CONSOLIDADA Y DEUDA FLOTANTE</t>
  </si>
  <si>
    <t>En Millones de Especie</t>
  </si>
  <si>
    <t>(1) Deuda Consolidada  ADMINISTRACIÓN CENTRAL</t>
  </si>
  <si>
    <t>(2) Deuda Flotante ADMINISTRACIÓN CENTRAL (a)</t>
  </si>
  <si>
    <t>(p)</t>
  </si>
  <si>
    <t>(1+2)= (3) Deuda TOTAL  ADMINISTRACIÓN CENTRAL</t>
  </si>
  <si>
    <t>(B) TIPO DE CAMBIO COMUNICACIÓN 3500 BCRA  ÚLTIMO DÍA HÁBIL CADA TRIMESTRE</t>
  </si>
  <si>
    <t>(3) / (B) Deuda TOTAL ADMINISTRACIÓN CENTRAL medida en USD</t>
  </si>
  <si>
    <t>(4) Deuda Flotante DESCENTRALIZADAS Y CUENTAS ESPECIALES</t>
  </si>
  <si>
    <t>Deuda TOTAL/PBG*</t>
  </si>
  <si>
    <t>*Nota: A partir de septiembre de 2024, este ratio no resulta directamente comparable con informes anteriores, debido al cambio de base del PBG a 2004, publicado por la DEIE el día 27/08/2024.</t>
  </si>
  <si>
    <t>(p) Dato provisrio</t>
  </si>
  <si>
    <t>(a) Neto de Fondo de Resarcimiento de los Daños de la Promoción Industrial</t>
  </si>
  <si>
    <t>GRÁFICOS</t>
  </si>
  <si>
    <t>COMPOSICIÓN DE LA DEUDA PÚBLICA POR TASA DE INTERÉS</t>
  </si>
  <si>
    <t>COMPOSICIÓN DE LA DEUDA PÚBLICA POR MONEDA</t>
  </si>
  <si>
    <t>% del Total</t>
  </si>
  <si>
    <t xml:space="preserve"> % del Total</t>
  </si>
  <si>
    <t>PERFIL DE VENCIMIENTOS DEUDA PÚBLICA EN PESOS POR TIPO DE SERVICIO</t>
  </si>
  <si>
    <t>PERFIL DE VENCIMIENTOS DEUDA PÚBLICA EN DÓLARES POR TIPO DE SERVICIO</t>
  </si>
  <si>
    <t>Millones de $. Capital e Interés como % del servicio total</t>
  </si>
  <si>
    <t>Millones de USD. Capital e Interés como % del servicio total</t>
  </si>
  <si>
    <t>COMPOSICIÓN DE LA DEUDA PÚBLICA POR ACREEDOR</t>
  </si>
  <si>
    <t>(3) x (A) = Deuda TOTAL ADMINISTRACIÓN CENTRAL medida en PESOS de Marzo de 2026</t>
  </si>
  <si>
    <t xml:space="preserve"> (A) (IPC Marzo 2026) /(IPC Periodo) </t>
  </si>
  <si>
    <t>(3+4) x (A)= Deuda TOTAL medida en PESOS de Marzo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</si>
</sst>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0">
    <numFmt numFmtId="44" formatCode="_-&quot;$&quot;\ * #,##0.00_-;\-&quot;$&quot;\ * #,##0.00_-;_-&quot;$&quot;\ * &quot;-&quot;??_-;_-@_-"/>
    <numFmt numFmtId="43" formatCode="_-* #,##0.00_-;\-* #,##0.00_-;_-* &quot;-&quot;??_-;_-@_-"/>
    <numFmt numFmtId="164" formatCode="[$ARS]\ #,##0.00"/>
    <numFmt numFmtId="165" formatCode="[$USD]\ #,##0.00"/>
    <numFmt numFmtId="166" formatCode="_ * #,##0.00_ ;_ * \-#,##0.00_ ;_ * &quot;-&quot;??_ ;_ @_ "/>
    <numFmt numFmtId="167" formatCode="[$-409]mmm\-yy;@"/>
    <numFmt numFmtId="168" formatCode="_ * #,##0_ ;_ * \-#,##0_ ;_ * &quot;-&quot;??_ ;_ @_ "/>
    <numFmt numFmtId="169" formatCode="0.000"/>
    <numFmt numFmtId="170" formatCode="&quot;$&quot;#,##0.00"/>
    <numFmt numFmtId="171" formatCode="0.0000%"/>
    <numFmt numFmtId="172" formatCode="0.0%"/>
    <numFmt numFmtId="173" formatCode="#,##0.0"/>
    <numFmt numFmtId="176" formatCode="_ * #,##0.00000000_ ;_ * \-#,##0.00000000_ ;_ * &quot;-&quot;??_ ;_ @_ "/>
    <numFmt numFmtId="177" formatCode="_ * #,##0.0_ ;_ * \-#,##0.0_ ;_ * &quot;-&quot;??_ ;_ @_ "/>
    <numFmt numFmtId="178" formatCode="[$USD]\ #,##0.000000"/>
    <numFmt numFmtId="179" formatCode="#,##0.00_ ;[Red]\-#,##0.00\ "/>
    <numFmt numFmtId="180" formatCode="mmmm\-yy"/>
    <numFmt numFmtId="181" formatCode="0.000%"/>
    <numFmt numFmtId="182" formatCode="[$USD]\ #,##0.00000000000000000000"/>
    <numFmt numFmtId="183" formatCode="[$ARS]\ #,##0.00000000000"/>
    <numFmt numFmtId="184" formatCode="[$ARS]\ #,##0.0000000000000000"/>
    <numFmt numFmtId="185" formatCode="[$ARS]\ #,##0.00000000000000000"/>
    <numFmt numFmtId="186" formatCode="[$ARS]\ #,##0.0000000000000000000"/>
    <numFmt numFmtId="187" formatCode="[$ARS]\ #,##0.00000000000000000000"/>
    <numFmt numFmtId="188" formatCode="[$ARS]\ #,##0.000000000000000000000"/>
    <numFmt numFmtId="189" formatCode="[$ARS]\ #,##0.0000000000000"/>
    <numFmt numFmtId="190" formatCode="0.00000"/>
    <numFmt numFmtId="191" formatCode="0.0"/>
    <numFmt numFmtId="201" formatCode="_-* #,##0.00\ _€_-;\-* #,##0.00\ _€_-;_-* &quot;-&quot;??\ _€_-;_-@_-"/>
    <numFmt numFmtId="202" formatCode="_-* #,##0.00\ _p_t_a_-;\-* #,##0.00\ _p_t_a_-;_-* &quot;-&quot;??\ _p_t_a_-;_-@_-"/>
  </numFmts>
  <fonts count="46" x14ac:knownFonts="1">
    <font>
      <sz val="11"/>
      <color theme="1"/>
      <name val="Calibri"/>
      <family val="2"/>
      <scheme val="minor"/>
    </font>
    <font>
      <sz val="11"/>
      <color theme="1"/>
      <name val="Arial Narrow"/>
      <family val="2"/>
    </font>
    <font>
      <sz val="11"/>
      <color theme="1"/>
      <name val="Calibri"/>
      <family val="2"/>
      <scheme val="minor"/>
    </font>
    <font>
      <sz val="12"/>
      <color theme="1"/>
      <name val="Arial Narrow"/>
      <family val="2"/>
    </font>
    <font>
      <b/>
      <sz val="12"/>
      <color theme="0"/>
      <name val="Arial Narrow"/>
      <family val="2"/>
    </font>
    <font>
      <sz val="12"/>
      <name val="Arial Narrow"/>
      <family val="2"/>
    </font>
    <font>
      <b/>
      <sz val="11"/>
      <color theme="0"/>
      <name val="Arial Narrow"/>
      <family val="2"/>
    </font>
    <font>
      <b/>
      <sz val="11"/>
      <color theme="1"/>
      <name val="Arial Narrow"/>
      <family val="2"/>
    </font>
    <font>
      <b/>
      <sz val="16"/>
      <color theme="1"/>
      <name val="Arial Narrow"/>
      <family val="2"/>
    </font>
    <font>
      <sz val="13"/>
      <color rgb="FF000099"/>
      <name val="Arial Narrow"/>
      <family val="2"/>
    </font>
    <font>
      <sz val="11"/>
      <name val="Arial Narrow"/>
      <family val="2"/>
    </font>
    <font>
      <b/>
      <sz val="11"/>
      <color theme="0"/>
      <name val="Calibri"/>
      <family val="2"/>
      <scheme val="minor"/>
    </font>
    <font>
      <sz val="11"/>
      <color theme="0"/>
      <name val="Calibri"/>
      <family val="2"/>
      <scheme val="minor"/>
    </font>
    <font>
      <sz val="11"/>
      <color theme="0"/>
      <name val="Arial Narrow"/>
      <family val="2"/>
    </font>
    <font>
      <b/>
      <sz val="11"/>
      <name val="Arial Narrow"/>
      <family val="2"/>
    </font>
    <font>
      <sz val="9"/>
      <color theme="1"/>
      <name val="Arial Narrow"/>
      <family val="2"/>
    </font>
    <font>
      <sz val="10"/>
      <name val="Arial Narrow"/>
      <family val="2"/>
    </font>
    <font>
      <b/>
      <sz val="10"/>
      <color theme="0"/>
      <name val="Arial Narrow"/>
      <family val="2"/>
    </font>
    <font>
      <b/>
      <sz val="10"/>
      <name val="Arial Narrow"/>
      <family val="2"/>
    </font>
    <font>
      <b/>
      <sz val="12"/>
      <color theme="1"/>
      <name val="Arial Narrow"/>
      <family val="2"/>
    </font>
    <font>
      <sz val="10"/>
      <color theme="1"/>
      <name val="Arial Narrow"/>
      <family val="2"/>
    </font>
    <font>
      <b/>
      <sz val="10"/>
      <color theme="1"/>
      <name val="Arial Narrow"/>
      <family val="2"/>
    </font>
    <font>
      <sz val="11"/>
      <color rgb="FFFF0000"/>
      <name val="Arial Narrow"/>
      <family val="2"/>
    </font>
    <font>
      <sz val="11"/>
      <color rgb="FFFF0000"/>
      <name val="Calibri"/>
      <family val="2"/>
      <scheme val="minor"/>
    </font>
    <font>
      <b/>
      <sz val="9"/>
      <color rgb="FF000099"/>
      <name val="Arial Narrow"/>
      <family val="2"/>
    </font>
    <font>
      <b/>
      <sz val="9"/>
      <color theme="1"/>
      <name val="Arial Narrow"/>
      <family val="2"/>
    </font>
    <font>
      <b/>
      <sz val="11"/>
      <color rgb="FFFF0000"/>
      <name val="Arial Narrow"/>
      <family val="2"/>
    </font>
    <font>
      <sz val="12"/>
      <color theme="0"/>
      <name val="Arial Narrow"/>
      <family val="2"/>
    </font>
    <font>
      <sz val="12"/>
      <color theme="1"/>
      <name val="Calibri"/>
      <family val="2"/>
      <scheme val="minor"/>
    </font>
    <font>
      <b/>
      <sz val="14"/>
      <color theme="1"/>
      <name val="Arial Narrow"/>
      <family val="2"/>
    </font>
    <font>
      <b/>
      <u/>
      <sz val="11"/>
      <color theme="1"/>
      <name val="Calibri"/>
      <family val="2"/>
      <scheme val="minor"/>
    </font>
    <font>
      <b/>
      <sz val="9"/>
      <color theme="0"/>
      <name val="Arial Narrow"/>
      <family val="2"/>
    </font>
    <font>
      <b/>
      <sz val="9"/>
      <color theme="0"/>
      <name val="Arial"/>
      <family val="2"/>
    </font>
    <font>
      <b/>
      <sz val="9"/>
      <name val="Arial"/>
      <family val="2"/>
    </font>
    <font>
      <sz val="9"/>
      <name val="Arial"/>
      <family val="2"/>
    </font>
    <font>
      <sz val="10"/>
      <color theme="1"/>
      <name val="Arial"/>
      <family val="2"/>
    </font>
    <font>
      <sz val="10"/>
      <color indexed="8"/>
      <name val="Arial"/>
      <family val="2"/>
    </font>
    <font>
      <b/>
      <sz val="16"/>
      <color theme="1"/>
      <name val="Calibri"/>
      <family val="2"/>
      <scheme val="minor"/>
    </font>
    <font>
      <b/>
      <sz val="14"/>
      <color rgb="FF000000"/>
      <name val="Arial Narrow"/>
      <family val="2"/>
    </font>
    <font>
      <sz val="13"/>
      <color rgb="FF000F9F"/>
      <name val="Arial Narrow"/>
      <family val="2"/>
    </font>
    <font>
      <sz val="12"/>
      <color rgb="FF000F9F"/>
      <name val="Arial Narrow"/>
      <family val="2"/>
    </font>
    <font>
      <vertAlign val="superscript"/>
      <sz val="11"/>
      <color theme="1"/>
      <name val="Arial Narrow"/>
      <family val="2"/>
    </font>
    <font>
      <sz val="12"/>
      <name val="Arial"/>
      <family val="2"/>
    </font>
    <font>
      <b/>
      <sz val="12"/>
      <color theme="1"/>
      <name val="Calibri"/>
      <family val="2"/>
      <scheme val="minor"/>
    </font>
    <font>
      <sz val="10"/>
      <name val="Arial"/>
      <family val="2"/>
    </font>
    <font>
      <b/>
      <sz val="8"/>
      <color theme="1"/>
      <name val="Arial"/>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0F9F"/>
        <bgColor indexed="64"/>
      </patternFill>
    </fill>
    <fill>
      <patternFill patternType="solid">
        <fgColor rgb="FF3CB4E5"/>
        <bgColor indexed="64"/>
      </patternFill>
    </fill>
    <fill>
      <patternFill patternType="solid">
        <fgColor rgb="FFC8A977"/>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s>
  <cellStyleXfs count="57">
    <xf numFmtId="0" fontId="0" fillId="0" borderId="0"/>
    <xf numFmtId="166" fontId="2" fillId="0" borderId="0"/>
    <xf numFmtId="9" fontId="2" fillId="0" borderId="0"/>
    <xf numFmtId="43" fontId="2" fillId="0" borderId="0"/>
    <xf numFmtId="0" fontId="35" fillId="0" borderId="0"/>
    <xf numFmtId="179" fontId="36" fillId="0" borderId="0"/>
    <xf numFmtId="166" fontId="2" fillId="0" borderId="0"/>
    <xf numFmtId="201" fontId="2" fillId="0" borderId="0"/>
    <xf numFmtId="44" fontId="2" fillId="0" borderId="0"/>
    <xf numFmtId="43" fontId="2" fillId="0" borderId="0"/>
    <xf numFmtId="44" fontId="2" fillId="0" borderId="0"/>
    <xf numFmtId="166" fontId="2" fillId="0" borderId="0"/>
    <xf numFmtId="0" fontId="44" fillId="0" borderId="0"/>
    <xf numFmtId="43" fontId="2" fillId="0" borderId="0"/>
    <xf numFmtId="43" fontId="2" fillId="0" borderId="0"/>
    <xf numFmtId="43" fontId="2" fillId="0" borderId="0"/>
    <xf numFmtId="202" fontId="44" fillId="0" borderId="0"/>
    <xf numFmtId="202" fontId="44" fillId="0" borderId="0"/>
    <xf numFmtId="202" fontId="44" fillId="0" borderId="0"/>
    <xf numFmtId="0" fontId="2" fillId="0" borderId="0"/>
    <xf numFmtId="9" fontId="44" fillId="0" borderId="0"/>
    <xf numFmtId="9" fontId="44" fillId="0" borderId="0"/>
    <xf numFmtId="43" fontId="2" fillId="0" borderId="0"/>
    <xf numFmtId="44" fontId="2" fillId="0" borderId="0"/>
    <xf numFmtId="43" fontId="2" fillId="0" borderId="0"/>
    <xf numFmtId="44" fontId="2" fillId="0" borderId="0"/>
    <xf numFmtId="43" fontId="2" fillId="0" borderId="0"/>
    <xf numFmtId="43" fontId="2" fillId="0" borderId="0"/>
    <xf numFmtId="43" fontId="2" fillId="0" borderId="0"/>
    <xf numFmtId="166"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179" fontId="36" fillId="0" borderId="0" applyFont="0" applyFill="0" applyBorder="0" applyAlignment="0" applyProtection="0"/>
    <xf numFmtId="166" fontId="2" fillId="0" borderId="0" applyFont="0" applyFill="0" applyBorder="0" applyAlignment="0" applyProtection="0"/>
    <xf numFmtId="201"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cellStyleXfs>
  <cellXfs count="263">
    <xf numFmtId="0" fontId="0" fillId="0" borderId="0" xfId="0"/>
    <xf numFmtId="164" fontId="3" fillId="0" borderId="0" xfId="0" applyNumberFormat="1" applyFont="1" applyAlignment="1">
      <alignment vertical="center"/>
    </xf>
    <xf numFmtId="164" fontId="5" fillId="0" borderId="0" xfId="0" applyNumberFormat="1" applyFont="1" applyAlignment="1">
      <alignment vertical="center"/>
    </xf>
    <xf numFmtId="164" fontId="9" fillId="0" borderId="0" xfId="0" applyNumberFormat="1" applyFont="1" applyAlignment="1">
      <alignment vertical="center"/>
    </xf>
    <xf numFmtId="164" fontId="8" fillId="0" borderId="0" xfId="0" applyNumberFormat="1" applyFont="1" applyAlignment="1">
      <alignment horizontal="left" vertical="center"/>
    </xf>
    <xf numFmtId="164" fontId="10" fillId="0" borderId="2" xfId="0" applyNumberFormat="1" applyFont="1" applyBorder="1" applyAlignment="1">
      <alignment vertical="center"/>
    </xf>
    <xf numFmtId="164" fontId="10" fillId="0" borderId="2" xfId="0" applyNumberFormat="1" applyFont="1" applyBorder="1" applyAlignment="1">
      <alignment horizontal="center" vertical="center"/>
    </xf>
    <xf numFmtId="0" fontId="1" fillId="0" borderId="0" xfId="0" applyFont="1" applyAlignment="1">
      <alignment vertical="center"/>
    </xf>
    <xf numFmtId="165" fontId="10" fillId="0" borderId="2" xfId="0" applyNumberFormat="1" applyFont="1" applyBorder="1" applyAlignment="1">
      <alignment horizontal="center" vertical="center"/>
    </xf>
    <xf numFmtId="164" fontId="10" fillId="0" borderId="0" xfId="0" applyNumberFormat="1" applyFont="1" applyAlignment="1">
      <alignment vertical="center"/>
    </xf>
    <xf numFmtId="0" fontId="1" fillId="0" borderId="0" xfId="0" applyFont="1"/>
    <xf numFmtId="164" fontId="10" fillId="2" borderId="0" xfId="0" applyNumberFormat="1" applyFont="1" applyFill="1" applyAlignment="1">
      <alignment vertical="center"/>
    </xf>
    <xf numFmtId="166" fontId="1" fillId="0" borderId="0" xfId="1" applyFont="1" applyAlignment="1">
      <alignment horizontal="center"/>
    </xf>
    <xf numFmtId="0" fontId="13" fillId="0" borderId="0" xfId="0" applyFont="1"/>
    <xf numFmtId="0" fontId="12" fillId="0" borderId="0" xfId="0" applyFont="1" applyAlignment="1">
      <alignment horizontal="center" vertical="center"/>
    </xf>
    <xf numFmtId="43" fontId="0" fillId="0" borderId="0" xfId="0" applyNumberFormat="1"/>
    <xf numFmtId="167" fontId="10" fillId="2" borderId="2" xfId="0" applyNumberFormat="1" applyFont="1" applyFill="1" applyBorder="1" applyAlignment="1">
      <alignment horizontal="center" vertical="center"/>
    </xf>
    <xf numFmtId="3" fontId="10" fillId="0" borderId="2" xfId="0" applyNumberFormat="1" applyFont="1" applyBorder="1" applyAlignment="1">
      <alignment horizontal="center" vertical="center"/>
    </xf>
    <xf numFmtId="0" fontId="6" fillId="0" borderId="0" xfId="0" applyFont="1" applyAlignment="1">
      <alignment horizontal="center" vertical="center"/>
    </xf>
    <xf numFmtId="164" fontId="6" fillId="0" borderId="0" xfId="0" applyNumberFormat="1" applyFont="1" applyAlignment="1">
      <alignment vertical="center"/>
    </xf>
    <xf numFmtId="164" fontId="14" fillId="0" borderId="0" xfId="0" applyNumberFormat="1" applyFont="1" applyAlignment="1">
      <alignment vertical="center"/>
    </xf>
    <xf numFmtId="164" fontId="6" fillId="0" borderId="0" xfId="0" applyNumberFormat="1" applyFont="1" applyAlignment="1">
      <alignment horizontal="left" vertical="center" wrapText="1"/>
    </xf>
    <xf numFmtId="165" fontId="14" fillId="0" borderId="2" xfId="0" applyNumberFormat="1" applyFont="1" applyBorder="1" applyAlignment="1">
      <alignment horizontal="center" vertical="center"/>
    </xf>
    <xf numFmtId="0" fontId="15" fillId="0" borderId="0" xfId="0" applyFont="1" applyAlignment="1">
      <alignment horizontal="left"/>
    </xf>
    <xf numFmtId="164" fontId="16" fillId="0" borderId="2" xfId="0" applyNumberFormat="1" applyFont="1" applyBorder="1" applyAlignment="1">
      <alignment horizontal="center" vertical="center" wrapText="1"/>
    </xf>
    <xf numFmtId="10" fontId="16" fillId="0" borderId="2" xfId="2" applyNumberFormat="1" applyFont="1" applyBorder="1" applyAlignment="1">
      <alignment horizontal="center" vertical="center" wrapText="1"/>
    </xf>
    <xf numFmtId="164" fontId="10" fillId="0" borderId="0" xfId="0" applyNumberFormat="1" applyFont="1" applyAlignment="1">
      <alignment horizontal="center" vertical="center"/>
    </xf>
    <xf numFmtId="166" fontId="15" fillId="0" borderId="0" xfId="1" applyFont="1" applyAlignment="1">
      <alignment horizontal="left"/>
    </xf>
    <xf numFmtId="166" fontId="1" fillId="0" borderId="0" xfId="1" applyFont="1" applyAlignment="1">
      <alignment vertical="center"/>
    </xf>
    <xf numFmtId="166" fontId="0" fillId="0" borderId="0" xfId="1" applyFont="1"/>
    <xf numFmtId="168" fontId="1" fillId="0" borderId="0" xfId="1" applyNumberFormat="1" applyFont="1" applyAlignment="1">
      <alignment vertical="center"/>
    </xf>
    <xf numFmtId="0" fontId="15" fillId="0" borderId="7" xfId="0" applyFont="1" applyBorder="1"/>
    <xf numFmtId="0" fontId="15" fillId="0" borderId="0" xfId="0" applyFont="1"/>
    <xf numFmtId="0" fontId="20" fillId="0" borderId="0" xfId="0" applyFont="1" applyAlignment="1">
      <alignment wrapText="1"/>
    </xf>
    <xf numFmtId="4" fontId="20" fillId="0" borderId="2" xfId="0" applyNumberFormat="1" applyFont="1" applyBorder="1" applyAlignment="1">
      <alignment horizontal="center" vertical="center"/>
    </xf>
    <xf numFmtId="169" fontId="20" fillId="0" borderId="2" xfId="0" applyNumberFormat="1" applyFont="1" applyBorder="1" applyAlignment="1">
      <alignment horizontal="center" vertical="center"/>
    </xf>
    <xf numFmtId="0" fontId="1" fillId="0" borderId="0" xfId="0" applyFont="1" applyAlignment="1">
      <alignment wrapText="1"/>
    </xf>
    <xf numFmtId="168" fontId="1" fillId="0" borderId="0" xfId="1" applyNumberFormat="1" applyFont="1"/>
    <xf numFmtId="166" fontId="1" fillId="0" borderId="0" xfId="1" applyFont="1" applyAlignment="1">
      <alignment wrapText="1"/>
    </xf>
    <xf numFmtId="0" fontId="1" fillId="0" borderId="0" xfId="0" applyFont="1" applyAlignment="1">
      <alignment horizontal="left"/>
    </xf>
    <xf numFmtId="4" fontId="20" fillId="0" borderId="2" xfId="3" applyNumberFormat="1" applyFont="1" applyBorder="1" applyAlignment="1">
      <alignment horizontal="center" vertical="center"/>
    </xf>
    <xf numFmtId="170" fontId="15" fillId="0" borderId="0" xfId="0" applyNumberFormat="1" applyFont="1" applyAlignment="1">
      <alignment horizontal="left"/>
    </xf>
    <xf numFmtId="4" fontId="21" fillId="0" borderId="2" xfId="0" applyNumberFormat="1" applyFont="1" applyBorder="1" applyAlignment="1">
      <alignment horizontal="center" vertical="center"/>
    </xf>
    <xf numFmtId="171" fontId="1" fillId="0" borderId="0" xfId="2" applyNumberFormat="1" applyFont="1" applyAlignment="1">
      <alignment vertical="center"/>
    </xf>
    <xf numFmtId="166" fontId="1" fillId="0" borderId="0" xfId="1" applyFont="1"/>
    <xf numFmtId="0" fontId="22" fillId="0" borderId="0" xfId="0" applyFont="1"/>
    <xf numFmtId="4" fontId="1" fillId="0" borderId="0" xfId="0" applyNumberFormat="1" applyFont="1"/>
    <xf numFmtId="172" fontId="1" fillId="0" borderId="0" xfId="2" applyNumberFormat="1" applyFont="1"/>
    <xf numFmtId="10" fontId="1" fillId="0" borderId="0" xfId="0" applyNumberFormat="1" applyFont="1"/>
    <xf numFmtId="172" fontId="20" fillId="0" borderId="2" xfId="2" applyNumberFormat="1" applyFont="1" applyBorder="1" applyAlignment="1">
      <alignment horizontal="center" vertical="center"/>
    </xf>
    <xf numFmtId="173" fontId="1" fillId="0" borderId="2" xfId="1" applyNumberFormat="1" applyFont="1" applyBorder="1" applyAlignment="1">
      <alignment horizontal="center" vertical="center"/>
    </xf>
    <xf numFmtId="173" fontId="0" fillId="0" borderId="0" xfId="0" applyNumberFormat="1"/>
    <xf numFmtId="173" fontId="10" fillId="0" borderId="0" xfId="0" applyNumberFormat="1" applyFont="1" applyAlignment="1">
      <alignment horizontal="center" vertical="center"/>
    </xf>
    <xf numFmtId="0" fontId="15" fillId="0" borderId="0" xfId="0" applyFont="1" applyAlignment="1">
      <alignment horizontal="left" vertical="center" wrapText="1"/>
    </xf>
    <xf numFmtId="166" fontId="24" fillId="0" borderId="0" xfId="1" applyFont="1" applyAlignment="1">
      <alignment horizontal="left"/>
    </xf>
    <xf numFmtId="0" fontId="24" fillId="0" borderId="0" xfId="0" applyFont="1" applyAlignment="1">
      <alignment horizontal="left"/>
    </xf>
    <xf numFmtId="0" fontId="23" fillId="0" borderId="0" xfId="0" applyFont="1" applyAlignment="1">
      <alignment horizontal="center" vertical="center"/>
    </xf>
    <xf numFmtId="166" fontId="25" fillId="0" borderId="7" xfId="1" applyFont="1" applyBorder="1" applyAlignment="1">
      <alignment horizontal="center"/>
    </xf>
    <xf numFmtId="173" fontId="20" fillId="0" borderId="2" xfId="0" applyNumberFormat="1" applyFont="1" applyBorder="1" applyAlignment="1">
      <alignment horizontal="center" vertical="center"/>
    </xf>
    <xf numFmtId="164" fontId="26" fillId="0" borderId="0" xfId="0" applyNumberFormat="1" applyFont="1" applyAlignment="1">
      <alignment horizontal="left" vertical="center" wrapText="1"/>
    </xf>
    <xf numFmtId="166" fontId="25" fillId="0" borderId="0" xfId="1" applyFont="1" applyAlignment="1">
      <alignment horizontal="center"/>
    </xf>
    <xf numFmtId="173" fontId="1" fillId="0" borderId="0" xfId="1" applyNumberFormat="1" applyFont="1" applyAlignment="1">
      <alignment horizontal="center" vertical="center"/>
    </xf>
    <xf numFmtId="173" fontId="7" fillId="0" borderId="0" xfId="1" applyNumberFormat="1" applyFont="1" applyAlignment="1">
      <alignment horizontal="center" vertical="center"/>
    </xf>
    <xf numFmtId="173" fontId="11" fillId="0" borderId="0" xfId="1" applyNumberFormat="1"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wrapText="1"/>
    </xf>
    <xf numFmtId="173" fontId="6" fillId="0" borderId="0" xfId="0" applyNumberFormat="1" applyFont="1" applyAlignment="1">
      <alignment horizontal="center" vertical="center"/>
    </xf>
    <xf numFmtId="4" fontId="0" fillId="0" borderId="0" xfId="0" applyNumberFormat="1"/>
    <xf numFmtId="173" fontId="14" fillId="0" borderId="0" xfId="0" applyNumberFormat="1" applyFont="1" applyAlignment="1">
      <alignment horizontal="center" vertical="center"/>
    </xf>
    <xf numFmtId="176" fontId="15" fillId="0" borderId="0" xfId="1" applyNumberFormat="1" applyFont="1" applyAlignment="1">
      <alignment horizontal="left"/>
    </xf>
    <xf numFmtId="165" fontId="15" fillId="0" borderId="0" xfId="0" applyNumberFormat="1" applyFont="1" applyAlignment="1">
      <alignment horizontal="left"/>
    </xf>
    <xf numFmtId="0" fontId="27" fillId="0" borderId="0" xfId="0" applyFont="1"/>
    <xf numFmtId="0" fontId="3" fillId="0" borderId="0" xfId="0" applyFont="1"/>
    <xf numFmtId="177" fontId="3" fillId="0" borderId="0" xfId="0" applyNumberFormat="1" applyFont="1"/>
    <xf numFmtId="43" fontId="3" fillId="0" borderId="0" xfId="0" applyNumberFormat="1" applyFont="1"/>
    <xf numFmtId="43" fontId="3" fillId="0" borderId="0" xfId="1" applyNumberFormat="1" applyFont="1" applyAlignment="1">
      <alignment horizontal="center"/>
    </xf>
    <xf numFmtId="0" fontId="28" fillId="0" borderId="0" xfId="0" applyFont="1"/>
    <xf numFmtId="0" fontId="3" fillId="0" borderId="0" xfId="0" applyFont="1" applyAlignment="1">
      <alignment horizontal="left" vertical="center" wrapText="1"/>
    </xf>
    <xf numFmtId="178" fontId="3" fillId="0" borderId="0" xfId="0" applyNumberFormat="1" applyFont="1"/>
    <xf numFmtId="164" fontId="5" fillId="2" borderId="0" xfId="0" applyNumberFormat="1" applyFont="1" applyFill="1" applyAlignment="1">
      <alignment vertical="center"/>
    </xf>
    <xf numFmtId="43" fontId="3" fillId="0" borderId="0" xfId="0" applyNumberFormat="1" applyFont="1" applyAlignment="1">
      <alignment vertical="center"/>
    </xf>
    <xf numFmtId="165" fontId="8" fillId="0" borderId="0" xfId="0" applyNumberFormat="1" applyFont="1" applyAlignment="1">
      <alignment horizontal="left" vertical="center"/>
    </xf>
    <xf numFmtId="165" fontId="3" fillId="0" borderId="0" xfId="0" applyNumberFormat="1" applyFont="1" applyAlignment="1">
      <alignment vertical="center"/>
    </xf>
    <xf numFmtId="165" fontId="10" fillId="0" borderId="0" xfId="0" applyNumberFormat="1" applyFont="1" applyAlignment="1">
      <alignment vertical="center"/>
    </xf>
    <xf numFmtId="165" fontId="0" fillId="0" borderId="0" xfId="0" applyNumberFormat="1"/>
    <xf numFmtId="165" fontId="25" fillId="0" borderId="7" xfId="1" applyNumberFormat="1" applyFont="1" applyBorder="1" applyAlignment="1">
      <alignment horizontal="center"/>
    </xf>
    <xf numFmtId="165" fontId="15" fillId="0" borderId="0" xfId="0" applyNumberFormat="1" applyFont="1"/>
    <xf numFmtId="9" fontId="1" fillId="0" borderId="0" xfId="2" applyFont="1"/>
    <xf numFmtId="0" fontId="30" fillId="0" borderId="0" xfId="0" applyFont="1"/>
    <xf numFmtId="0" fontId="33" fillId="0" borderId="16" xfId="0" applyFont="1" applyBorder="1"/>
    <xf numFmtId="179" fontId="33" fillId="0" borderId="2" xfId="0" applyNumberFormat="1" applyFont="1" applyBorder="1" applyAlignment="1">
      <alignment horizontal="right"/>
    </xf>
    <xf numFmtId="179" fontId="33" fillId="0" borderId="2" xfId="0" applyNumberFormat="1" applyFont="1" applyBorder="1"/>
    <xf numFmtId="0" fontId="34" fillId="0" borderId="2" xfId="0" applyFont="1" applyBorder="1" applyAlignment="1">
      <alignment horizontal="center"/>
    </xf>
    <xf numFmtId="180" fontId="34" fillId="0" borderId="2" xfId="0" applyNumberFormat="1" applyFont="1" applyBorder="1" applyAlignment="1">
      <alignment horizontal="center"/>
    </xf>
    <xf numFmtId="0" fontId="34" fillId="0" borderId="18" xfId="0" applyFont="1" applyBorder="1" applyAlignment="1">
      <alignment horizontal="center"/>
    </xf>
    <xf numFmtId="0" fontId="34" fillId="0" borderId="19" xfId="0" applyFont="1" applyBorder="1"/>
    <xf numFmtId="179" fontId="34" fillId="0" borderId="20" xfId="0" applyNumberFormat="1" applyFont="1" applyBorder="1"/>
    <xf numFmtId="4" fontId="34" fillId="0" borderId="20" xfId="0" applyNumberFormat="1" applyFont="1" applyBorder="1"/>
    <xf numFmtId="0" fontId="34" fillId="0" borderId="20" xfId="0" applyFont="1" applyBorder="1" applyAlignment="1">
      <alignment horizontal="center"/>
    </xf>
    <xf numFmtId="180" fontId="34" fillId="0" borderId="20" xfId="0" applyNumberFormat="1" applyFont="1" applyBorder="1" applyAlignment="1">
      <alignment horizontal="center"/>
    </xf>
    <xf numFmtId="1" fontId="34" fillId="0" borderId="20" xfId="0" applyNumberFormat="1" applyFont="1" applyBorder="1" applyAlignment="1">
      <alignment horizontal="center"/>
    </xf>
    <xf numFmtId="0" fontId="34" fillId="0" borderId="21" xfId="0" applyFont="1" applyBorder="1" applyAlignment="1">
      <alignment horizontal="center"/>
    </xf>
    <xf numFmtId="164" fontId="10" fillId="2" borderId="2" xfId="0" applyNumberFormat="1" applyFont="1" applyFill="1" applyBorder="1" applyAlignment="1">
      <alignment vertical="center"/>
    </xf>
    <xf numFmtId="9" fontId="1" fillId="0" borderId="0" xfId="0" applyNumberFormat="1" applyFont="1"/>
    <xf numFmtId="0" fontId="37" fillId="0" borderId="0" xfId="0" applyFont="1"/>
    <xf numFmtId="0" fontId="38" fillId="0" borderId="0" xfId="0" applyFont="1" applyAlignment="1">
      <alignment horizontal="left" vertical="center" indent="1" readingOrder="1"/>
    </xf>
    <xf numFmtId="167" fontId="10" fillId="0" borderId="2" xfId="0" applyNumberFormat="1" applyFont="1" applyBorder="1" applyAlignment="1">
      <alignment horizontal="center" vertical="center"/>
    </xf>
    <xf numFmtId="164" fontId="39" fillId="0" borderId="0" xfId="0" applyNumberFormat="1" applyFont="1" applyAlignment="1">
      <alignment vertical="center"/>
    </xf>
    <xf numFmtId="0" fontId="6" fillId="4" borderId="2" xfId="0" applyFont="1" applyFill="1" applyBorder="1" applyAlignment="1">
      <alignment horizontal="center" vertical="center"/>
    </xf>
    <xf numFmtId="0" fontId="6" fillId="4" borderId="2" xfId="0" applyFont="1" applyFill="1" applyBorder="1" applyAlignment="1">
      <alignment horizontal="center" vertical="center" wrapText="1"/>
    </xf>
    <xf numFmtId="14" fontId="6" fillId="4" borderId="5" xfId="0" applyNumberFormat="1" applyFont="1" applyFill="1" applyBorder="1" applyAlignment="1">
      <alignment horizontal="center" vertical="center"/>
    </xf>
    <xf numFmtId="164" fontId="6" fillId="5" borderId="2" xfId="0" applyNumberFormat="1" applyFont="1" applyFill="1" applyBorder="1" applyAlignment="1">
      <alignment vertical="center"/>
    </xf>
    <xf numFmtId="165" fontId="6" fillId="5" borderId="2" xfId="0" applyNumberFormat="1" applyFont="1" applyFill="1" applyBorder="1" applyAlignment="1">
      <alignment horizontal="center" vertical="center"/>
    </xf>
    <xf numFmtId="10" fontId="6" fillId="5" borderId="2" xfId="2" applyNumberFormat="1" applyFont="1" applyFill="1" applyBorder="1" applyAlignment="1">
      <alignment horizontal="center" vertical="center"/>
    </xf>
    <xf numFmtId="164" fontId="17" fillId="5" borderId="2" xfId="0" applyNumberFormat="1" applyFont="1" applyFill="1" applyBorder="1" applyAlignment="1">
      <alignment horizontal="center" vertical="center" wrapText="1"/>
    </xf>
    <xf numFmtId="164" fontId="17" fillId="5" borderId="2" xfId="0" applyNumberFormat="1" applyFont="1" applyFill="1" applyBorder="1" applyAlignment="1">
      <alignment vertical="center" wrapText="1"/>
    </xf>
    <xf numFmtId="164" fontId="14" fillId="6" borderId="2" xfId="0" applyNumberFormat="1" applyFont="1" applyFill="1" applyBorder="1" applyAlignment="1">
      <alignment vertical="center"/>
    </xf>
    <xf numFmtId="165" fontId="7" fillId="6" borderId="2" xfId="0" applyNumberFormat="1" applyFont="1" applyFill="1" applyBorder="1" applyAlignment="1">
      <alignment horizontal="center" vertical="center"/>
    </xf>
    <xf numFmtId="164" fontId="18" fillId="6" borderId="2" xfId="0" applyNumberFormat="1" applyFont="1" applyFill="1" applyBorder="1" applyAlignment="1">
      <alignment horizontal="center" vertical="center" wrapText="1"/>
    </xf>
    <xf numFmtId="164" fontId="18" fillId="6" borderId="2" xfId="0" applyNumberFormat="1" applyFont="1" applyFill="1" applyBorder="1" applyAlignment="1">
      <alignment vertical="center" wrapText="1"/>
    </xf>
    <xf numFmtId="164" fontId="6" fillId="4" borderId="2" xfId="1" applyNumberFormat="1" applyFont="1" applyFill="1" applyBorder="1" applyAlignment="1">
      <alignment vertical="center"/>
    </xf>
    <xf numFmtId="0" fontId="11" fillId="4" borderId="2" xfId="0" applyFont="1" applyFill="1" applyBorder="1" applyAlignment="1">
      <alignment horizontal="center" vertical="center"/>
    </xf>
    <xf numFmtId="0" fontId="11" fillId="4" borderId="2" xfId="0" applyFont="1" applyFill="1" applyBorder="1" applyAlignment="1">
      <alignment horizontal="center" vertical="center" wrapText="1"/>
    </xf>
    <xf numFmtId="0" fontId="6" fillId="4" borderId="9" xfId="0" applyFont="1" applyFill="1" applyBorder="1" applyAlignment="1">
      <alignment horizontal="center" vertical="center"/>
    </xf>
    <xf numFmtId="173" fontId="6" fillId="5" borderId="2" xfId="0" applyNumberFormat="1" applyFont="1" applyFill="1" applyBorder="1" applyAlignment="1">
      <alignment horizontal="center" vertical="center"/>
    </xf>
    <xf numFmtId="173" fontId="11" fillId="5" borderId="2" xfId="1" applyNumberFormat="1" applyFont="1" applyFill="1" applyBorder="1" applyAlignment="1">
      <alignment horizontal="center" vertical="center"/>
    </xf>
    <xf numFmtId="173" fontId="7" fillId="6" borderId="2" xfId="1" applyNumberFormat="1" applyFont="1" applyFill="1" applyBorder="1" applyAlignment="1">
      <alignment horizontal="center" vertical="center"/>
    </xf>
    <xf numFmtId="173" fontId="14" fillId="6" borderId="2" xfId="0" applyNumberFormat="1" applyFont="1" applyFill="1" applyBorder="1" applyAlignment="1">
      <alignment horizontal="center" vertical="center"/>
    </xf>
    <xf numFmtId="164" fontId="40" fillId="0" borderId="0" xfId="0" applyNumberFormat="1" applyFont="1" applyAlignment="1">
      <alignment vertical="center"/>
    </xf>
    <xf numFmtId="166" fontId="4" fillId="5" borderId="0" xfId="0" applyNumberFormat="1" applyFont="1" applyFill="1" applyAlignment="1">
      <alignment horizontal="center" vertical="center"/>
    </xf>
    <xf numFmtId="0" fontId="4" fillId="4" borderId="0" xfId="0" applyFont="1" applyFill="1" applyAlignment="1">
      <alignment horizontal="center"/>
    </xf>
    <xf numFmtId="166" fontId="6" fillId="5" borderId="0" xfId="0" applyNumberFormat="1" applyFont="1" applyFill="1" applyAlignment="1">
      <alignment horizontal="center" vertical="center"/>
    </xf>
    <xf numFmtId="0" fontId="6" fillId="4" borderId="0" xfId="0" applyFont="1" applyFill="1" applyAlignment="1">
      <alignment horizontal="center"/>
    </xf>
    <xf numFmtId="17" fontId="17" fillId="5" borderId="2" xfId="0" applyNumberFormat="1" applyFont="1" applyFill="1" applyBorder="1" applyAlignment="1">
      <alignment horizontal="center" vertical="center"/>
    </xf>
    <xf numFmtId="0" fontId="17" fillId="4" borderId="2" xfId="0" applyFont="1" applyFill="1" applyBorder="1" applyAlignment="1">
      <alignment horizontal="left" vertical="center" wrapText="1"/>
    </xf>
    <xf numFmtId="4" fontId="20" fillId="6" borderId="2" xfId="0" applyNumberFormat="1" applyFont="1" applyFill="1" applyBorder="1" applyAlignment="1">
      <alignment horizontal="center" vertical="center"/>
    </xf>
    <xf numFmtId="0" fontId="6" fillId="5" borderId="2" xfId="0" applyFont="1" applyFill="1" applyBorder="1" applyAlignment="1">
      <alignment horizontal="center" vertical="center" wrapText="1"/>
    </xf>
    <xf numFmtId="0" fontId="40" fillId="0" borderId="0" xfId="0" applyFont="1" applyAlignment="1">
      <alignment horizontal="left" vertical="center" indent="1" readingOrder="1"/>
    </xf>
    <xf numFmtId="173" fontId="10" fillId="2" borderId="2" xfId="0" applyNumberFormat="1" applyFont="1" applyFill="1" applyBorder="1" applyAlignment="1">
      <alignment horizontal="center" vertical="center"/>
    </xf>
    <xf numFmtId="164" fontId="10" fillId="2" borderId="2" xfId="0" applyNumberFormat="1" applyFont="1" applyFill="1" applyBorder="1" applyAlignment="1">
      <alignment horizontal="center" vertical="center"/>
    </xf>
    <xf numFmtId="165" fontId="10" fillId="2" borderId="2" xfId="0" applyNumberFormat="1" applyFont="1" applyFill="1" applyBorder="1" applyAlignment="1">
      <alignment horizontal="center" vertical="center"/>
    </xf>
    <xf numFmtId="169" fontId="7" fillId="2" borderId="2" xfId="0" applyNumberFormat="1" applyFont="1" applyFill="1" applyBorder="1" applyAlignment="1">
      <alignment horizontal="center"/>
    </xf>
    <xf numFmtId="181" fontId="7" fillId="2" borderId="2" xfId="2" applyNumberFormat="1" applyFont="1" applyFill="1" applyBorder="1" applyAlignment="1">
      <alignment horizontal="center"/>
    </xf>
    <xf numFmtId="164" fontId="5" fillId="2" borderId="2" xfId="0" applyNumberFormat="1" applyFont="1" applyFill="1" applyBorder="1" applyAlignment="1">
      <alignment vertical="center"/>
    </xf>
    <xf numFmtId="182" fontId="15" fillId="0" borderId="0" xfId="0" applyNumberFormat="1" applyFont="1" applyAlignment="1">
      <alignment horizontal="left"/>
    </xf>
    <xf numFmtId="183" fontId="10" fillId="0" borderId="2" xfId="0" applyNumberFormat="1" applyFont="1" applyBorder="1" applyAlignment="1">
      <alignment vertical="center"/>
    </xf>
    <xf numFmtId="184" fontId="10" fillId="0" borderId="2" xfId="0" applyNumberFormat="1" applyFont="1" applyBorder="1" applyAlignment="1">
      <alignment vertical="center"/>
    </xf>
    <xf numFmtId="185" fontId="10" fillId="0" borderId="2" xfId="0" applyNumberFormat="1" applyFont="1" applyBorder="1" applyAlignment="1">
      <alignment vertical="center"/>
    </xf>
    <xf numFmtId="186" fontId="10" fillId="0" borderId="2" xfId="0" applyNumberFormat="1" applyFont="1" applyBorder="1" applyAlignment="1">
      <alignment vertical="center"/>
    </xf>
    <xf numFmtId="187" fontId="10" fillId="0" borderId="2" xfId="0" applyNumberFormat="1" applyFont="1" applyBorder="1" applyAlignment="1">
      <alignment vertical="center"/>
    </xf>
    <xf numFmtId="188" fontId="10" fillId="0" borderId="2" xfId="0" applyNumberFormat="1" applyFont="1" applyBorder="1" applyAlignment="1">
      <alignment vertical="center"/>
    </xf>
    <xf numFmtId="189" fontId="10" fillId="2" borderId="2" xfId="0" applyNumberFormat="1" applyFont="1" applyFill="1" applyBorder="1" applyAlignment="1">
      <alignment vertical="center"/>
    </xf>
    <xf numFmtId="164" fontId="16" fillId="2" borderId="2" xfId="0" applyNumberFormat="1" applyFont="1" applyFill="1" applyBorder="1" applyAlignment="1">
      <alignment horizontal="center" vertical="center" wrapText="1"/>
    </xf>
    <xf numFmtId="10" fontId="16" fillId="2" borderId="2" xfId="2" applyNumberFormat="1" applyFont="1" applyFill="1" applyBorder="1" applyAlignment="1">
      <alignment horizontal="center" vertical="center" wrapText="1"/>
    </xf>
    <xf numFmtId="3" fontId="10" fillId="2" borderId="2" xfId="0" applyNumberFormat="1" applyFont="1" applyFill="1" applyBorder="1" applyAlignment="1">
      <alignment horizontal="center" vertical="center"/>
    </xf>
    <xf numFmtId="166" fontId="3" fillId="2" borderId="2" xfId="1" applyFont="1" applyFill="1" applyBorder="1" applyAlignment="1">
      <alignment horizontal="center" vertical="center"/>
    </xf>
    <xf numFmtId="164" fontId="5" fillId="0" borderId="2" xfId="0" applyNumberFormat="1" applyFont="1" applyBorder="1" applyAlignment="1">
      <alignment vertical="center"/>
    </xf>
    <xf numFmtId="44" fontId="1" fillId="0" borderId="0" xfId="8" applyFont="1"/>
    <xf numFmtId="2" fontId="1" fillId="0" borderId="0" xfId="8" applyNumberFormat="1" applyFont="1"/>
    <xf numFmtId="10" fontId="1" fillId="0" borderId="0" xfId="2" applyNumberFormat="1" applyFont="1"/>
    <xf numFmtId="0" fontId="12" fillId="2" borderId="0" xfId="0" applyFont="1" applyFill="1" applyAlignment="1">
      <alignment horizontal="center" vertical="center"/>
    </xf>
    <xf numFmtId="4" fontId="20" fillId="0" borderId="9" xfId="0" applyNumberFormat="1" applyFont="1" applyBorder="1" applyAlignment="1">
      <alignment horizontal="center" vertical="center"/>
    </xf>
    <xf numFmtId="4" fontId="21" fillId="0" borderId="9" xfId="0" applyNumberFormat="1" applyFont="1" applyBorder="1" applyAlignment="1">
      <alignment horizontal="center" vertical="center"/>
    </xf>
    <xf numFmtId="4" fontId="20" fillId="6" borderId="9" xfId="0" applyNumberFormat="1" applyFont="1" applyFill="1" applyBorder="1" applyAlignment="1">
      <alignment horizontal="center" vertical="center"/>
    </xf>
    <xf numFmtId="10" fontId="20" fillId="6" borderId="4" xfId="2" applyNumberFormat="1" applyFont="1" applyFill="1" applyBorder="1" applyAlignment="1">
      <alignment horizontal="center" vertical="center"/>
    </xf>
    <xf numFmtId="0" fontId="1" fillId="0" borderId="0" xfId="0" quotePrefix="1" applyFont="1" applyAlignment="1">
      <alignment horizontal="left"/>
    </xf>
    <xf numFmtId="17" fontId="17" fillId="5" borderId="4" xfId="0" applyNumberFormat="1" applyFont="1" applyFill="1" applyBorder="1" applyAlignment="1">
      <alignment horizontal="centerContinuous" vertical="center"/>
    </xf>
    <xf numFmtId="17" fontId="17" fillId="5" borderId="9" xfId="0" applyNumberFormat="1" applyFont="1" applyFill="1" applyBorder="1" applyAlignment="1">
      <alignment horizontal="centerContinuous" vertical="center"/>
    </xf>
    <xf numFmtId="190" fontId="7" fillId="2" borderId="2" xfId="0" applyNumberFormat="1" applyFont="1" applyFill="1" applyBorder="1" applyAlignment="1">
      <alignment horizontal="center"/>
    </xf>
    <xf numFmtId="173" fontId="6" fillId="2" borderId="0" xfId="0" applyNumberFormat="1" applyFont="1" applyFill="1" applyAlignment="1">
      <alignment horizontal="center" vertical="center"/>
    </xf>
    <xf numFmtId="166" fontId="25" fillId="2" borderId="0" xfId="1" applyFont="1" applyFill="1" applyAlignment="1">
      <alignment horizontal="center"/>
    </xf>
    <xf numFmtId="2" fontId="15" fillId="2" borderId="0" xfId="0" applyNumberFormat="1" applyFont="1" applyFill="1"/>
    <xf numFmtId="0" fontId="15" fillId="2" borderId="0" xfId="0" applyFont="1" applyFill="1"/>
    <xf numFmtId="4" fontId="20" fillId="0" borderId="4" xfId="0" applyNumberFormat="1" applyFont="1" applyBorder="1" applyAlignment="1">
      <alignment horizontal="center" vertical="center"/>
    </xf>
    <xf numFmtId="173" fontId="20" fillId="0" borderId="4" xfId="0" applyNumberFormat="1" applyFont="1" applyBorder="1" applyAlignment="1">
      <alignment horizontal="center" vertical="center"/>
    </xf>
    <xf numFmtId="4" fontId="21" fillId="0" borderId="4" xfId="0" applyNumberFormat="1" applyFont="1" applyBorder="1" applyAlignment="1">
      <alignment horizontal="center" vertical="center"/>
    </xf>
    <xf numFmtId="169" fontId="20" fillId="0" borderId="4" xfId="0" applyNumberFormat="1" applyFont="1" applyBorder="1" applyAlignment="1">
      <alignment horizontal="center" vertical="center"/>
    </xf>
    <xf numFmtId="4" fontId="20" fillId="6" borderId="4" xfId="0" applyNumberFormat="1" applyFont="1" applyFill="1" applyBorder="1" applyAlignment="1">
      <alignment horizontal="center" vertical="center"/>
    </xf>
    <xf numFmtId="173" fontId="41" fillId="0" borderId="9" xfId="0" quotePrefix="1" applyNumberFormat="1" applyFont="1" applyBorder="1" applyAlignment="1">
      <alignment horizontal="center" vertical="center" wrapText="1"/>
    </xf>
    <xf numFmtId="0" fontId="38" fillId="7" borderId="0" xfId="0" applyFont="1" applyFill="1" applyAlignment="1">
      <alignment horizontal="left" vertical="center" indent="1" readingOrder="1"/>
    </xf>
    <xf numFmtId="0" fontId="0" fillId="7" borderId="0" xfId="0" applyFill="1"/>
    <xf numFmtId="0" fontId="23" fillId="2" borderId="0" xfId="0" applyFont="1" applyFill="1" applyAlignment="1">
      <alignment horizontal="center" vertical="center"/>
    </xf>
    <xf numFmtId="164" fontId="42" fillId="2" borderId="0" xfId="0" applyNumberFormat="1" applyFont="1" applyFill="1" applyAlignment="1">
      <alignment vertical="center"/>
    </xf>
    <xf numFmtId="164" fontId="42" fillId="0" borderId="0" xfId="0" applyNumberFormat="1" applyFont="1" applyAlignment="1">
      <alignment vertical="center"/>
    </xf>
    <xf numFmtId="166" fontId="3" fillId="0" borderId="2" xfId="1" applyFont="1" applyBorder="1" applyAlignment="1">
      <alignment horizontal="center" vertical="center"/>
    </xf>
    <xf numFmtId="2" fontId="15" fillId="0" borderId="0" xfId="2" applyNumberFormat="1" applyFont="1" applyAlignment="1">
      <alignment horizontal="left"/>
    </xf>
    <xf numFmtId="0" fontId="43" fillId="0" borderId="0" xfId="0" applyFont="1"/>
    <xf numFmtId="2" fontId="6" fillId="5" borderId="2" xfId="0" applyNumberFormat="1" applyFont="1" applyFill="1" applyBorder="1" applyAlignment="1">
      <alignment horizontal="center" vertical="center"/>
    </xf>
    <xf numFmtId="166" fontId="1" fillId="2" borderId="0" xfId="1" applyFont="1" applyFill="1"/>
    <xf numFmtId="0" fontId="1" fillId="2" borderId="0" xfId="0" applyFont="1" applyFill="1"/>
    <xf numFmtId="0" fontId="1" fillId="3" borderId="0" xfId="0" applyFont="1" applyFill="1"/>
    <xf numFmtId="43" fontId="1" fillId="0" borderId="0" xfId="0" applyNumberFormat="1" applyFont="1"/>
    <xf numFmtId="177" fontId="1" fillId="0" borderId="0" xfId="0" applyNumberFormat="1" applyFont="1"/>
    <xf numFmtId="191" fontId="6" fillId="5" borderId="2" xfId="0" applyNumberFormat="1" applyFont="1" applyFill="1" applyBorder="1" applyAlignment="1">
      <alignment horizontal="center" vertical="center"/>
    </xf>
    <xf numFmtId="9" fontId="10" fillId="0" borderId="2" xfId="2" applyFont="1" applyBorder="1" applyAlignment="1">
      <alignment vertical="center"/>
    </xf>
    <xf numFmtId="4" fontId="20" fillId="2" borderId="4" xfId="0" applyNumberFormat="1" applyFont="1" applyFill="1" applyBorder="1" applyAlignment="1">
      <alignment horizontal="center" vertical="center"/>
    </xf>
    <xf numFmtId="4" fontId="21" fillId="2" borderId="4" xfId="0" applyNumberFormat="1" applyFont="1" applyFill="1" applyBorder="1" applyAlignment="1">
      <alignment horizontal="center" vertical="center"/>
    </xf>
    <xf numFmtId="173" fontId="20" fillId="2" borderId="4" xfId="0" applyNumberFormat="1" applyFont="1" applyFill="1" applyBorder="1" applyAlignment="1">
      <alignment horizontal="center" vertical="center"/>
    </xf>
    <xf numFmtId="169" fontId="20" fillId="2" borderId="9" xfId="0" applyNumberFormat="1" applyFont="1" applyFill="1" applyBorder="1" applyAlignment="1">
      <alignment horizontal="center" vertical="center"/>
    </xf>
    <xf numFmtId="17" fontId="17" fillId="5" borderId="2" xfId="0" applyNumberFormat="1" applyFont="1" applyFill="1" applyBorder="1" applyAlignment="1">
      <alignment horizontal="centerContinuous" vertical="center"/>
    </xf>
    <xf numFmtId="191" fontId="45" fillId="0" borderId="0" xfId="0" applyNumberFormat="1" applyFont="1"/>
    <xf numFmtId="10" fontId="20" fillId="6" borderId="8" xfId="2" applyNumberFormat="1" applyFont="1" applyFill="1" applyBorder="1" applyAlignment="1">
      <alignment horizontal="center" vertical="center"/>
    </xf>
    <xf numFmtId="10" fontId="20" fillId="6" borderId="10" xfId="2" applyNumberFormat="1" applyFont="1" applyFill="1" applyBorder="1" applyAlignment="1">
      <alignment horizontal="center" vertical="center"/>
    </xf>
    <xf numFmtId="173" fontId="41" fillId="0" borderId="9" xfId="0" quotePrefix="1" applyNumberFormat="1" applyFont="1" applyBorder="1" applyAlignment="1">
      <alignment horizontal="center" vertical="center"/>
    </xf>
    <xf numFmtId="169" fontId="20" fillId="0" borderId="9" xfId="0" applyNumberFormat="1" applyFont="1" applyBorder="1" applyAlignment="1">
      <alignment horizontal="center" vertical="center"/>
    </xf>
    <xf numFmtId="4" fontId="20" fillId="6" borderId="8" xfId="0" applyNumberFormat="1" applyFont="1" applyFill="1" applyBorder="1" applyAlignment="1">
      <alignment horizontal="center" vertical="center"/>
    </xf>
    <xf numFmtId="4" fontId="20" fillId="6" borderId="10" xfId="0" applyNumberFormat="1" applyFont="1" applyFill="1" applyBorder="1" applyAlignment="1">
      <alignment horizontal="center" vertical="center"/>
    </xf>
    <xf numFmtId="181" fontId="7" fillId="0" borderId="2" xfId="2" applyNumberFormat="1" applyFont="1" applyBorder="1" applyAlignment="1">
      <alignment horizontal="center" vertical="center" wrapText="1"/>
    </xf>
    <xf numFmtId="3" fontId="1" fillId="0" borderId="2" xfId="0" applyNumberFormat="1" applyFont="1" applyBorder="1" applyAlignment="1">
      <alignment horizontal="center" vertical="center" wrapText="1"/>
    </xf>
    <xf numFmtId="172" fontId="7" fillId="0" borderId="2" xfId="2" applyNumberFormat="1" applyFont="1" applyBorder="1" applyAlignment="1">
      <alignment horizontal="center" vertical="center" wrapText="1"/>
    </xf>
    <xf numFmtId="4" fontId="1" fillId="0" borderId="2" xfId="0" applyNumberFormat="1" applyFont="1" applyBorder="1" applyAlignment="1">
      <alignment horizontal="center" vertical="center" wrapText="1"/>
    </xf>
    <xf numFmtId="164" fontId="8" fillId="0" borderId="0" xfId="0" applyNumberFormat="1" applyFont="1" applyAlignment="1">
      <alignment horizontal="left" vertical="center"/>
    </xf>
    <xf numFmtId="0" fontId="0" fillId="0" borderId="0" xfId="0"/>
    <xf numFmtId="165" fontId="0" fillId="0" borderId="0" xfId="0" applyNumberFormat="1"/>
    <xf numFmtId="0" fontId="6" fillId="4" borderId="1" xfId="0" applyFont="1" applyFill="1" applyBorder="1" applyAlignment="1">
      <alignment horizontal="center" vertical="center" wrapText="1"/>
    </xf>
    <xf numFmtId="0" fontId="0" fillId="0" borderId="3" xfId="0" applyBorder="1"/>
    <xf numFmtId="0" fontId="6" fillId="4" borderId="2" xfId="0" applyFont="1" applyFill="1" applyBorder="1" applyAlignment="1">
      <alignment horizontal="center" vertical="center"/>
    </xf>
    <xf numFmtId="0" fontId="0" fillId="0" borderId="5" xfId="0" applyBorder="1"/>
    <xf numFmtId="0" fontId="6" fillId="4" borderId="2" xfId="0"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5" fontId="6" fillId="4" borderId="1" xfId="0" applyNumberFormat="1" applyFont="1" applyFill="1" applyBorder="1" applyAlignment="1">
      <alignment horizontal="center" vertical="center" wrapText="1"/>
    </xf>
    <xf numFmtId="164" fontId="6" fillId="5" borderId="3" xfId="0" applyNumberFormat="1" applyFont="1" applyFill="1" applyBorder="1" applyAlignment="1">
      <alignment horizontal="center" vertical="center" wrapText="1"/>
    </xf>
    <xf numFmtId="0" fontId="0" fillId="0" borderId="12" xfId="0" applyBorder="1"/>
    <xf numFmtId="0" fontId="15" fillId="0" borderId="0" xfId="0" applyFont="1" applyAlignment="1">
      <alignment horizontal="left"/>
    </xf>
    <xf numFmtId="164" fontId="6" fillId="5" borderId="5" xfId="0" applyNumberFormat="1" applyFont="1" applyFill="1" applyBorder="1" applyAlignment="1">
      <alignment horizontal="center" vertical="center" wrapText="1"/>
    </xf>
    <xf numFmtId="0" fontId="0" fillId="0" borderId="6" xfId="0" applyBorder="1"/>
    <xf numFmtId="0" fontId="0" fillId="0" borderId="10" xfId="0" applyBorder="1"/>
    <xf numFmtId="164" fontId="6" fillId="5" borderId="8" xfId="0" applyNumberFormat="1" applyFont="1" applyFill="1" applyBorder="1" applyAlignment="1">
      <alignment horizontal="center" vertical="center" wrapText="1"/>
    </xf>
    <xf numFmtId="164" fontId="3" fillId="0" borderId="0" xfId="0" applyNumberFormat="1" applyFont="1" applyAlignment="1">
      <alignment vertical="center"/>
    </xf>
    <xf numFmtId="0" fontId="1" fillId="0" borderId="0" xfId="0" applyFont="1"/>
    <xf numFmtId="0" fontId="6" fillId="5" borderId="0" xfId="0" applyFont="1" applyFill="1" applyAlignment="1">
      <alignment horizontal="center" vertical="center"/>
    </xf>
    <xf numFmtId="0" fontId="15" fillId="0" borderId="0" xfId="0" applyFont="1" applyAlignment="1">
      <alignment horizontal="left" vertical="center" wrapText="1"/>
    </xf>
    <xf numFmtId="164" fontId="4" fillId="5" borderId="6" xfId="0" applyNumberFormat="1" applyFont="1" applyFill="1" applyBorder="1" applyAlignment="1">
      <alignment horizontal="left" vertical="center"/>
    </xf>
    <xf numFmtId="164" fontId="4" fillId="4" borderId="1" xfId="0" applyNumberFormat="1" applyFont="1" applyFill="1" applyBorder="1" applyAlignment="1">
      <alignment horizontal="center" vertical="center" wrapText="1"/>
    </xf>
    <xf numFmtId="164" fontId="4" fillId="5" borderId="2" xfId="0" applyNumberFormat="1" applyFont="1" applyFill="1" applyBorder="1" applyAlignment="1">
      <alignment horizontal="left" vertical="center"/>
    </xf>
    <xf numFmtId="0" fontId="0" fillId="0" borderId="22" xfId="0" applyBorder="1"/>
    <xf numFmtId="0" fontId="0" fillId="0" borderId="9" xfId="0" applyBorder="1"/>
    <xf numFmtId="164" fontId="4" fillId="4" borderId="1"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wrapText="1"/>
    </xf>
    <xf numFmtId="164" fontId="19" fillId="0" borderId="0" xfId="0" applyNumberFormat="1" applyFont="1" applyAlignment="1">
      <alignment horizontal="left" vertical="center"/>
    </xf>
    <xf numFmtId="0" fontId="3" fillId="0" borderId="0" xfId="0" applyFont="1"/>
    <xf numFmtId="0" fontId="4" fillId="5" borderId="0" xfId="0" applyFont="1" applyFill="1" applyAlignment="1">
      <alignment horizontal="center" vertical="center"/>
    </xf>
    <xf numFmtId="0" fontId="3" fillId="0" borderId="0" xfId="0" applyFont="1" applyAlignment="1">
      <alignment horizontal="left" vertical="center" wrapText="1"/>
    </xf>
    <xf numFmtId="164" fontId="4" fillId="5" borderId="6" xfId="0" applyNumberFormat="1" applyFont="1" applyFill="1" applyBorder="1" applyAlignment="1">
      <alignment horizontal="center" vertical="center"/>
    </xf>
    <xf numFmtId="0" fontId="7" fillId="0" borderId="2" xfId="0" applyFont="1" applyBorder="1" applyAlignment="1">
      <alignment horizontal="left" vertical="center" wrapText="1"/>
    </xf>
    <xf numFmtId="0" fontId="0" fillId="0" borderId="7" xfId="0" applyBorder="1"/>
    <xf numFmtId="0" fontId="0" fillId="0" borderId="23" xfId="0" applyBorder="1"/>
    <xf numFmtId="0" fontId="0" fillId="0" borderId="11" xfId="0" applyBorder="1"/>
    <xf numFmtId="0" fontId="0" fillId="0" borderId="8" xfId="0" applyBorder="1"/>
    <xf numFmtId="0" fontId="6" fillId="5" borderId="2" xfId="0" applyFont="1" applyFill="1" applyBorder="1" applyAlignment="1">
      <alignment horizontal="center" vertical="center" wrapText="1"/>
    </xf>
    <xf numFmtId="164" fontId="29" fillId="0" borderId="0" xfId="0" applyNumberFormat="1" applyFont="1" applyAlignment="1">
      <alignment horizontal="left" vertical="center"/>
    </xf>
    <xf numFmtId="0" fontId="32" fillId="4" borderId="14"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32" fillId="4" borderId="18" xfId="0" applyFont="1" applyFill="1" applyBorder="1" applyAlignment="1">
      <alignment horizontal="center" vertical="center" wrapText="1"/>
    </xf>
    <xf numFmtId="0" fontId="0" fillId="0" borderId="17" xfId="0" applyBorder="1"/>
    <xf numFmtId="0" fontId="31" fillId="4" borderId="13" xfId="0" applyFont="1" applyFill="1" applyBorder="1" applyAlignment="1">
      <alignment horizontal="center" vertical="center"/>
    </xf>
    <xf numFmtId="0" fontId="0" fillId="0" borderId="24" xfId="0" applyBorder="1"/>
    <xf numFmtId="0" fontId="0" fillId="0" borderId="25" xfId="0" applyBorder="1"/>
    <xf numFmtId="0" fontId="32" fillId="4" borderId="15" xfId="0" applyFont="1" applyFill="1" applyBorder="1" applyAlignment="1">
      <alignment horizontal="center" vertical="center" wrapText="1"/>
    </xf>
    <xf numFmtId="0" fontId="0" fillId="0" borderId="26" xfId="0" applyBorder="1"/>
    <xf numFmtId="0" fontId="0" fillId="0" borderId="27" xfId="0" applyBorder="1"/>
    <xf numFmtId="0" fontId="19" fillId="0" borderId="0" xfId="0" applyFont="1" applyAlignment="1">
      <alignment horizontal="left" vertical="center" wrapText="1"/>
    </xf>
  </cellXfs>
  <cellStyles count="57">
    <cellStyle name="Millares" xfId="1" builtinId="3"/>
    <cellStyle name="Millares 10" xfId="3" xr:uid="{00000000-0005-0000-0000-000003000000}"/>
    <cellStyle name="Millares 10 2" xfId="9" xr:uid="{00000000-0005-0000-0000-000009000000}"/>
    <cellStyle name="Millares 10 2 2" xfId="24" xr:uid="{00000000-0005-0000-0000-000018000000}"/>
    <cellStyle name="Millares 10 2 2 2" xfId="49" xr:uid="{EF403010-B012-4FBA-9C0F-61959B6A9DFE}"/>
    <cellStyle name="Millares 10 2 3" xfId="36" xr:uid="{0E49FBD6-4A24-4E0F-B82E-229BCA4A62EE}"/>
    <cellStyle name="Millares 10 3" xfId="15" xr:uid="{00000000-0005-0000-0000-00000F000000}"/>
    <cellStyle name="Millares 10 3 2" xfId="28" xr:uid="{00000000-0005-0000-0000-00001C000000}"/>
    <cellStyle name="Millares 10 3 2 2" xfId="53" xr:uid="{E40DD0B9-3DA6-4EAD-A7ED-D034D34710A8}"/>
    <cellStyle name="Millares 10 3 3" xfId="41" xr:uid="{308BB9FB-14AC-47D3-A5C3-490C70A82768}"/>
    <cellStyle name="Millares 10 4" xfId="7" xr:uid="{00000000-0005-0000-0000-000007000000}"/>
    <cellStyle name="Millares 10 4 2" xfId="34" xr:uid="{ADAD6221-50B7-4863-AD2E-3BCB602D2708}"/>
    <cellStyle name="Millares 10 5" xfId="22" xr:uid="{00000000-0005-0000-0000-000016000000}"/>
    <cellStyle name="Millares 10 5 2" xfId="47" xr:uid="{C6B01F79-0093-41F2-B3EC-3EE62BB2DD61}"/>
    <cellStyle name="Millares 10 6" xfId="31" xr:uid="{7EF34AC6-6929-40CE-AFF9-6A58D6946791}"/>
    <cellStyle name="Millares 10 7" xfId="56" xr:uid="{F45A397E-25DC-492B-87EE-F80D7369B0E7}"/>
    <cellStyle name="Millares 2" xfId="13" xr:uid="{00000000-0005-0000-0000-00000D000000}"/>
    <cellStyle name="Millares 2 2" xfId="6" xr:uid="{00000000-0005-0000-0000-000006000000}"/>
    <cellStyle name="Millares 2 2 2" xfId="33" xr:uid="{E16FE7E9-F0D8-489B-961A-F13347CD6091}"/>
    <cellStyle name="Millares 2 3" xfId="17" xr:uid="{00000000-0005-0000-0000-000011000000}"/>
    <cellStyle name="Millares 2 3 2" xfId="43" xr:uid="{2DFC4F66-E2B7-474D-9C7B-F6AD9B7627B8}"/>
    <cellStyle name="Millares 2 4" xfId="26" xr:uid="{00000000-0005-0000-0000-00001A000000}"/>
    <cellStyle name="Millares 2 4 2" xfId="51" xr:uid="{B9EC7937-840C-4815-AED1-743DC5F9B6C5}"/>
    <cellStyle name="Millares 2 5" xfId="39" xr:uid="{ADE1BE4C-822D-46B8-BF80-F40D88A71C4C}"/>
    <cellStyle name="Millares 2 6" xfId="54" xr:uid="{7A56D51E-2584-4F7C-97BB-260AC1E29A73}"/>
    <cellStyle name="Millares 3" xfId="11" xr:uid="{00000000-0005-0000-0000-00000B000000}"/>
    <cellStyle name="Millares 3 2" xfId="18" xr:uid="{00000000-0005-0000-0000-000012000000}"/>
    <cellStyle name="Millares 3 2 2" xfId="44" xr:uid="{F9F6A5EA-D385-4D75-AB61-5B59FAFAA5E2}"/>
    <cellStyle name="Millares 3 3" xfId="38" xr:uid="{B89CE7C9-303C-43AC-9316-0644B0581FC4}"/>
    <cellStyle name="Millares 4" xfId="14" xr:uid="{00000000-0005-0000-0000-00000E000000}"/>
    <cellStyle name="Millares 4 2" xfId="27" xr:uid="{00000000-0005-0000-0000-00001B000000}"/>
    <cellStyle name="Millares 4 2 2" xfId="52" xr:uid="{9C314902-A857-4985-AEE6-E5F1F96D6A07}"/>
    <cellStyle name="Millares 4 3" xfId="40" xr:uid="{254F60EC-509A-4BE5-BE92-423F7BD05347}"/>
    <cellStyle name="Millares 5" xfId="16" xr:uid="{00000000-0005-0000-0000-000010000000}"/>
    <cellStyle name="Millares 5 2" xfId="42" xr:uid="{6536FD42-5EB3-4AE7-A60E-53FC29AFEC8D}"/>
    <cellStyle name="Millares 6" xfId="29" xr:uid="{9958C4ED-6DF6-45B9-A32B-746F80D351A7}"/>
    <cellStyle name="Millares 7" xfId="55" xr:uid="{F2264FA3-3908-4FA1-88C2-DA7341FAA8C7}"/>
    <cellStyle name="Millares 8" xfId="5" xr:uid="{00000000-0005-0000-0000-000005000000}"/>
    <cellStyle name="Millares 8 2" xfId="32" xr:uid="{5CC1AEC5-CF21-49E4-BD84-FC24C4C2CC7A}"/>
    <cellStyle name="Moneda" xfId="8" builtinId="4"/>
    <cellStyle name="Moneda 2" xfId="10" xr:uid="{00000000-0005-0000-0000-00000A000000}"/>
    <cellStyle name="Moneda 2 2" xfId="25" xr:uid="{00000000-0005-0000-0000-000019000000}"/>
    <cellStyle name="Moneda 2 2 2" xfId="50" xr:uid="{7630ABB3-3AA8-4FBB-9CB0-662EC2E96920}"/>
    <cellStyle name="Moneda 2 3" xfId="37" xr:uid="{76C3D9F0-94B8-4D38-AE4E-2DA3C9C163D6}"/>
    <cellStyle name="Moneda 3" xfId="23" xr:uid="{00000000-0005-0000-0000-000017000000}"/>
    <cellStyle name="Moneda 3 2" xfId="48" xr:uid="{829EC5CC-3D81-4DB9-A6F1-D0AC4B0CE52B}"/>
    <cellStyle name="Moneda 4" xfId="35" xr:uid="{81B24C0C-F735-43EB-B8D6-A83CC1259E79}"/>
    <cellStyle name="Normal" xfId="0" builtinId="0"/>
    <cellStyle name="Normal 2" xfId="12" xr:uid="{00000000-0005-0000-0000-00000C000000}"/>
    <cellStyle name="Normal 3" xfId="4" xr:uid="{00000000-0005-0000-0000-000004000000}"/>
    <cellStyle name="Normal 3 2" xfId="19" xr:uid="{00000000-0005-0000-0000-000013000000}"/>
    <cellStyle name="Porcentaje" xfId="2" builtinId="5"/>
    <cellStyle name="Porcentaje 2" xfId="21" xr:uid="{00000000-0005-0000-0000-000015000000}"/>
    <cellStyle name="Porcentaje 2 2" xfId="46" xr:uid="{05D31BC7-68EB-4E28-80BB-86A758CCEE9E}"/>
    <cellStyle name="Porcentaje 3" xfId="20" xr:uid="{00000000-0005-0000-0000-000014000000}"/>
    <cellStyle name="Porcentaje 3 2" xfId="45" xr:uid="{9635D626-B15F-4068-B604-573ACC85723C}"/>
    <cellStyle name="Porcentaje 4" xfId="30" xr:uid="{AB7DA806-EF08-46DF-A281-06115B3C0904}"/>
  </cellStyles>
  <dxfs count="0"/>
  <tableStyles count="1" defaultTableStyle="TableStyleMedium2" defaultPivotStyle="PivotStyleLight16">
    <tableStyle name="Invisible" pivot="0" table="0" count="0" xr9:uid="{00000000-0011-0000-FFFF-FFFF00000000}"/>
  </tableStyles>
  <colors>
    <mruColors>
      <color rgb="FF3CB4E5"/>
      <color rgb="FF000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spcFirstLastPara="1" vertOverflow="ellipsis" vert="horz" wrap="square" anchor="ctr" anchorCtr="1"/>
          <a:lstStyle/>
          <a:p>
            <a:pPr algn="l">
              <a:defRPr sz="1400" b="0" i="0" strike="noStrike" kern="1200" spc="0" baseline="0">
                <a:solidFill>
                  <a:schemeClr val="tx1">
                    <a:lumMod val="65000"/>
                    <a:lumOff val="35000"/>
                  </a:schemeClr>
                </a:solidFill>
                <a:latin typeface="+mn-lt"/>
                <a:ea typeface="+mn-ea"/>
                <a:cs typeface="+mn-cs"/>
              </a:defRPr>
            </a:pPr>
            <a:r>
              <a:rPr lang="es-AR" sz="1400" b="1" i="0" baseline="0">
                <a:solidFill>
                  <a:schemeClr val="tx1"/>
                </a:solidFill>
                <a:latin typeface="Arial Narrow" panose="020B0606020202030204" pitchFamily="34" charset="0"/>
              </a:rPr>
              <a:t>DEUDA TOTAL ADMINISTRACIÓN CENTRAL MEDIDA EN TÉRMINOS REALES Y EN DÓLARES</a:t>
            </a:r>
            <a:endParaRPr lang="es-AR" sz="1400">
              <a:solidFill>
                <a:schemeClr val="tx1"/>
              </a:solidFill>
              <a:latin typeface="Arial Narrow" panose="020B0606020202030204" pitchFamily="34" charset="0"/>
            </a:endParaRPr>
          </a:p>
          <a:p>
            <a:pPr algn="l">
              <a:defRPr sz="1400" b="0" i="0" strike="noStrike" kern="1200" spc="0" baseline="0">
                <a:solidFill>
                  <a:schemeClr val="tx1">
                    <a:lumMod val="65000"/>
                    <a:lumOff val="35000"/>
                  </a:schemeClr>
                </a:solidFill>
                <a:latin typeface="+mn-lt"/>
                <a:ea typeface="+mn-ea"/>
                <a:cs typeface="+mn-cs"/>
              </a:defRPr>
            </a:pPr>
            <a:r>
              <a:rPr lang="es-AR" sz="1200" b="0" i="0" baseline="0">
                <a:solidFill>
                  <a:srgbClr val="000F9F"/>
                </a:solidFill>
                <a:latin typeface="Arial Narrow" panose="020B0606020202030204" pitchFamily="34" charset="0"/>
              </a:rPr>
              <a:t>Deuda en Millones de $ de Mar-26 (Eje Izq.) y en Millones de USD (Eje Der.)</a:t>
            </a:r>
            <a:endParaRPr lang="es-AR" sz="1200">
              <a:solidFill>
                <a:srgbClr val="000F9F"/>
              </a:solidFill>
              <a:latin typeface="Arial Narrow" panose="020B0606020202030204" pitchFamily="34" charset="0"/>
            </a:endParaRPr>
          </a:p>
          <a:p>
            <a:pPr algn="l">
              <a:defRPr sz="1400" b="0" i="0" strike="noStrike" kern="1200" spc="0" baseline="0">
                <a:solidFill>
                  <a:schemeClr val="tx1">
                    <a:lumMod val="65000"/>
                    <a:lumOff val="35000"/>
                  </a:schemeClr>
                </a:solidFill>
                <a:latin typeface="+mn-lt"/>
                <a:ea typeface="+mn-ea"/>
                <a:cs typeface="+mn-cs"/>
              </a:defRPr>
            </a:pPr>
            <a:r>
              <a:rPr lang="es-AR" sz="1200" b="0" i="0" baseline="0">
                <a:solidFill>
                  <a:srgbClr val="000F9F"/>
                </a:solidFill>
                <a:latin typeface="Arial Narrow" panose="020B0606020202030204" pitchFamily="34" charset="0"/>
              </a:rPr>
              <a:t>Fuente: DGCSP, BCRA, DEIE</a:t>
            </a:r>
            <a:endParaRPr lang="es-AR" sz="1200">
              <a:solidFill>
                <a:srgbClr val="000F9F"/>
              </a:solidFill>
              <a:latin typeface="Arial Narrow" panose="020B0606020202030204" pitchFamily="34" charset="0"/>
            </a:endParaRPr>
          </a:p>
        </c:rich>
      </c:tx>
      <c:layout>
        <c:manualLayout>
          <c:xMode val="edge"/>
          <c:yMode val="edge"/>
          <c:x val="1.2628787878787859E-2"/>
          <c:y val="2.5656565656565659E-2"/>
        </c:manualLayout>
      </c:layout>
      <c:overlay val="0"/>
      <c:spPr>
        <a:noFill/>
        <a:ln>
          <a:noFill/>
          <a:prstDash val="solid"/>
        </a:ln>
      </c:spPr>
    </c:title>
    <c:autoTitleDeleted val="0"/>
    <c:plotArea>
      <c:layout>
        <c:manualLayout>
          <c:layoutTarget val="inner"/>
          <c:xMode val="edge"/>
          <c:yMode val="edge"/>
          <c:x val="0.1024730399348055"/>
          <c:y val="0.22714874010695399"/>
          <c:w val="0.82580079359459535"/>
          <c:h val="0.56070151515151512"/>
        </c:manualLayout>
      </c:layout>
      <c:lineChart>
        <c:grouping val="standard"/>
        <c:varyColors val="0"/>
        <c:ser>
          <c:idx val="0"/>
          <c:order val="0"/>
          <c:tx>
            <c:v>Deuda Total Adm Central en $ Mar-26</c:v>
          </c:tx>
          <c:spPr>
            <a:ln w="19050" cap="rnd">
              <a:solidFill>
                <a:srgbClr val="000F9F"/>
              </a:solidFill>
              <a:prstDash val="solid"/>
              <a:round/>
            </a:ln>
          </c:spPr>
          <c:marker>
            <c:symbol val="none"/>
          </c:marker>
          <c:cat>
            <c:numRef>
              <c:f>'Evolución Deuda Total'!$B$4:$AX$4</c:f>
              <c:numCache>
                <c:formatCode>mmm\-yy</c:formatCode>
                <c:ptCount val="49"/>
                <c:pt idx="0">
                  <c:v>41729</c:v>
                </c:pt>
                <c:pt idx="1">
                  <c:v>41820</c:v>
                </c:pt>
                <c:pt idx="2">
                  <c:v>41912</c:v>
                </c:pt>
                <c:pt idx="3">
                  <c:v>42004</c:v>
                </c:pt>
                <c:pt idx="4">
                  <c:v>42094</c:v>
                </c:pt>
                <c:pt idx="5">
                  <c:v>42185</c:v>
                </c:pt>
                <c:pt idx="6">
                  <c:v>42277</c:v>
                </c:pt>
                <c:pt idx="7">
                  <c:v>42369</c:v>
                </c:pt>
                <c:pt idx="8">
                  <c:v>42460</c:v>
                </c:pt>
                <c:pt idx="9">
                  <c:v>42551</c:v>
                </c:pt>
                <c:pt idx="10">
                  <c:v>42643</c:v>
                </c:pt>
                <c:pt idx="11">
                  <c:v>42735</c:v>
                </c:pt>
                <c:pt idx="12">
                  <c:v>42825</c:v>
                </c:pt>
                <c:pt idx="13">
                  <c:v>42916</c:v>
                </c:pt>
                <c:pt idx="14">
                  <c:v>43008</c:v>
                </c:pt>
                <c:pt idx="15">
                  <c:v>43100</c:v>
                </c:pt>
                <c:pt idx="16">
                  <c:v>43190</c:v>
                </c:pt>
                <c:pt idx="17">
                  <c:v>43281</c:v>
                </c:pt>
                <c:pt idx="18">
                  <c:v>43373</c:v>
                </c:pt>
                <c:pt idx="19">
                  <c:v>43465</c:v>
                </c:pt>
                <c:pt idx="20">
                  <c:v>43555</c:v>
                </c:pt>
                <c:pt idx="21">
                  <c:v>43646</c:v>
                </c:pt>
                <c:pt idx="22">
                  <c:v>43738</c:v>
                </c:pt>
                <c:pt idx="23">
                  <c:v>43830</c:v>
                </c:pt>
                <c:pt idx="24">
                  <c:v>43921</c:v>
                </c:pt>
                <c:pt idx="25">
                  <c:v>44012</c:v>
                </c:pt>
                <c:pt idx="26">
                  <c:v>44104</c:v>
                </c:pt>
                <c:pt idx="27">
                  <c:v>44196</c:v>
                </c:pt>
                <c:pt idx="28">
                  <c:v>44286</c:v>
                </c:pt>
                <c:pt idx="29">
                  <c:v>44377</c:v>
                </c:pt>
                <c:pt idx="30">
                  <c:v>44469</c:v>
                </c:pt>
                <c:pt idx="31">
                  <c:v>44561</c:v>
                </c:pt>
                <c:pt idx="32">
                  <c:v>44651</c:v>
                </c:pt>
                <c:pt idx="33">
                  <c:v>44742</c:v>
                </c:pt>
                <c:pt idx="34">
                  <c:v>44834</c:v>
                </c:pt>
                <c:pt idx="35">
                  <c:v>44926</c:v>
                </c:pt>
                <c:pt idx="36">
                  <c:v>45016</c:v>
                </c:pt>
                <c:pt idx="37">
                  <c:v>45107</c:v>
                </c:pt>
                <c:pt idx="38">
                  <c:v>45199</c:v>
                </c:pt>
                <c:pt idx="39">
                  <c:v>45291</c:v>
                </c:pt>
                <c:pt idx="40">
                  <c:v>45382</c:v>
                </c:pt>
                <c:pt idx="41">
                  <c:v>45473</c:v>
                </c:pt>
                <c:pt idx="42">
                  <c:v>45565</c:v>
                </c:pt>
                <c:pt idx="43">
                  <c:v>45657</c:v>
                </c:pt>
                <c:pt idx="44">
                  <c:v>45747</c:v>
                </c:pt>
                <c:pt idx="45">
                  <c:v>45838</c:v>
                </c:pt>
                <c:pt idx="46">
                  <c:v>45930</c:v>
                </c:pt>
                <c:pt idx="47">
                  <c:v>45992</c:v>
                </c:pt>
                <c:pt idx="48">
                  <c:v>46112</c:v>
                </c:pt>
              </c:numCache>
            </c:numRef>
          </c:cat>
          <c:val>
            <c:numRef>
              <c:f>'Evolución Deuda Total'!$B$9:$AX$9</c:f>
              <c:numCache>
                <c:formatCode>#,##0.00</c:formatCode>
                <c:ptCount val="49"/>
                <c:pt idx="0">
                  <c:v>2263775.5619568294</c:v>
                </c:pt>
                <c:pt idx="1">
                  <c:v>2179119.8045992912</c:v>
                </c:pt>
                <c:pt idx="2">
                  <c:v>2093260.2720722349</c:v>
                </c:pt>
                <c:pt idx="3">
                  <c:v>2175096.3091501626</c:v>
                </c:pt>
                <c:pt idx="4">
                  <c:v>1874794.0850228714</c:v>
                </c:pt>
                <c:pt idx="5">
                  <c:v>2015973.689946881</c:v>
                </c:pt>
                <c:pt idx="6">
                  <c:v>2001488.2365323766</c:v>
                </c:pt>
                <c:pt idx="7">
                  <c:v>2966331.9741708953</c:v>
                </c:pt>
                <c:pt idx="8">
                  <c:v>2328422.4792274423</c:v>
                </c:pt>
                <c:pt idx="9">
                  <c:v>3052838.1937463442</c:v>
                </c:pt>
                <c:pt idx="10">
                  <c:v>3133937.8375392021</c:v>
                </c:pt>
                <c:pt idx="11">
                  <c:v>3189318.1816430707</c:v>
                </c:pt>
                <c:pt idx="12">
                  <c:v>2893902.2541193441</c:v>
                </c:pt>
                <c:pt idx="13">
                  <c:v>3428066.3245647475</c:v>
                </c:pt>
                <c:pt idx="14">
                  <c:v>3301901.4367838739</c:v>
                </c:pt>
                <c:pt idx="15">
                  <c:v>3197979.2830907842</c:v>
                </c:pt>
                <c:pt idx="16">
                  <c:v>3189208.9648626712</c:v>
                </c:pt>
                <c:pt idx="17">
                  <c:v>3442061.3368609175</c:v>
                </c:pt>
                <c:pt idx="18">
                  <c:v>3491011.411768924</c:v>
                </c:pt>
                <c:pt idx="19">
                  <c:v>3236732.3415736868</c:v>
                </c:pt>
                <c:pt idx="20">
                  <c:v>3080263.8897202257</c:v>
                </c:pt>
                <c:pt idx="21">
                  <c:v>3027562.7669809489</c:v>
                </c:pt>
                <c:pt idx="22">
                  <c:v>3253191.1875461913</c:v>
                </c:pt>
                <c:pt idx="23">
                  <c:v>3213882.9819655921</c:v>
                </c:pt>
                <c:pt idx="24">
                  <c:v>2911361.347011474</c:v>
                </c:pt>
                <c:pt idx="25">
                  <c:v>3024102.5047458266</c:v>
                </c:pt>
                <c:pt idx="26">
                  <c:v>3026710.0685807876</c:v>
                </c:pt>
                <c:pt idx="27">
                  <c:v>3260350.2995060184</c:v>
                </c:pt>
                <c:pt idx="28">
                  <c:v>2794990.6982343514</c:v>
                </c:pt>
                <c:pt idx="29">
                  <c:v>2566794.236915254</c:v>
                </c:pt>
                <c:pt idx="30">
                  <c:v>2552675.6820334219</c:v>
                </c:pt>
                <c:pt idx="31">
                  <c:v>2748617.4690744611</c:v>
                </c:pt>
                <c:pt idx="32">
                  <c:v>2164428.0448309062</c:v>
                </c:pt>
                <c:pt idx="33">
                  <c:v>2075471.0178075484</c:v>
                </c:pt>
                <c:pt idx="34">
                  <c:v>1907903.3829530615</c:v>
                </c:pt>
                <c:pt idx="35">
                  <c:v>2190814.1023358982</c:v>
                </c:pt>
                <c:pt idx="36">
                  <c:v>1603725.5134410779</c:v>
                </c:pt>
                <c:pt idx="37">
                  <c:v>1578255.8406510926</c:v>
                </c:pt>
                <c:pt idx="38">
                  <c:v>1579868.9214473227</c:v>
                </c:pt>
                <c:pt idx="39">
                  <c:v>1956301.6973908672</c:v>
                </c:pt>
                <c:pt idx="40">
                  <c:v>1314726.6163279498</c:v>
                </c:pt>
                <c:pt idx="41">
                  <c:v>1188527.4737543014</c:v>
                </c:pt>
                <c:pt idx="42">
                  <c:v>1067499.3246285354</c:v>
                </c:pt>
                <c:pt idx="43">
                  <c:v>1243419.2784334631</c:v>
                </c:pt>
                <c:pt idx="44">
                  <c:v>1007820.2959547716</c:v>
                </c:pt>
                <c:pt idx="45">
                  <c:v>1166101.5622836144</c:v>
                </c:pt>
                <c:pt idx="46">
                  <c:v>1145705.250296694</c:v>
                </c:pt>
                <c:pt idx="47">
                  <c:v>1290266.7851987784</c:v>
                </c:pt>
                <c:pt idx="48">
                  <c:v>930234.49911237694</c:v>
                </c:pt>
              </c:numCache>
            </c:numRef>
          </c:val>
          <c:smooth val="0"/>
          <c:extLst>
            <c:ext xmlns:c16="http://schemas.microsoft.com/office/drawing/2014/chart" uri="{C3380CC4-5D6E-409C-BE32-E72D297353CC}">
              <c16:uniqueId val="{00000000-AC17-45C2-BB89-CD58CA170BEF}"/>
            </c:ext>
          </c:extLst>
        </c:ser>
        <c:dLbls>
          <c:showLegendKey val="0"/>
          <c:showVal val="0"/>
          <c:showCatName val="0"/>
          <c:showSerName val="0"/>
          <c:showPercent val="0"/>
          <c:showBubbleSize val="0"/>
        </c:dLbls>
        <c:marker val="1"/>
        <c:smooth val="0"/>
        <c:axId val="-303967920"/>
        <c:axId val="-303969008"/>
      </c:lineChart>
      <c:lineChart>
        <c:grouping val="standard"/>
        <c:varyColors val="0"/>
        <c:ser>
          <c:idx val="1"/>
          <c:order val="1"/>
          <c:tx>
            <c:v>Deuda Total Adm Central en USD (Eje Der)</c:v>
          </c:tx>
          <c:spPr>
            <a:ln w="19050" cap="rnd">
              <a:solidFill>
                <a:srgbClr val="3CB4E5"/>
              </a:solidFill>
              <a:prstDash val="solid"/>
              <a:round/>
            </a:ln>
          </c:spPr>
          <c:marker>
            <c:symbol val="none"/>
          </c:marker>
          <c:cat>
            <c:numRef>
              <c:f>'Evolución Deuda Total'!$B$4:$AX$4</c:f>
              <c:numCache>
                <c:formatCode>mmm\-yy</c:formatCode>
                <c:ptCount val="49"/>
                <c:pt idx="0">
                  <c:v>41729</c:v>
                </c:pt>
                <c:pt idx="1">
                  <c:v>41820</c:v>
                </c:pt>
                <c:pt idx="2">
                  <c:v>41912</c:v>
                </c:pt>
                <c:pt idx="3">
                  <c:v>42004</c:v>
                </c:pt>
                <c:pt idx="4">
                  <c:v>42094</c:v>
                </c:pt>
                <c:pt idx="5">
                  <c:v>42185</c:v>
                </c:pt>
                <c:pt idx="6">
                  <c:v>42277</c:v>
                </c:pt>
                <c:pt idx="7">
                  <c:v>42369</c:v>
                </c:pt>
                <c:pt idx="8">
                  <c:v>42460</c:v>
                </c:pt>
                <c:pt idx="9">
                  <c:v>42551</c:v>
                </c:pt>
                <c:pt idx="10">
                  <c:v>42643</c:v>
                </c:pt>
                <c:pt idx="11">
                  <c:v>42735</c:v>
                </c:pt>
                <c:pt idx="12">
                  <c:v>42825</c:v>
                </c:pt>
                <c:pt idx="13">
                  <c:v>42916</c:v>
                </c:pt>
                <c:pt idx="14">
                  <c:v>43008</c:v>
                </c:pt>
                <c:pt idx="15">
                  <c:v>43100</c:v>
                </c:pt>
                <c:pt idx="16">
                  <c:v>43190</c:v>
                </c:pt>
                <c:pt idx="17">
                  <c:v>43281</c:v>
                </c:pt>
                <c:pt idx="18">
                  <c:v>43373</c:v>
                </c:pt>
                <c:pt idx="19">
                  <c:v>43465</c:v>
                </c:pt>
                <c:pt idx="20">
                  <c:v>43555</c:v>
                </c:pt>
                <c:pt idx="21">
                  <c:v>43646</c:v>
                </c:pt>
                <c:pt idx="22">
                  <c:v>43738</c:v>
                </c:pt>
                <c:pt idx="23">
                  <c:v>43830</c:v>
                </c:pt>
                <c:pt idx="24">
                  <c:v>43921</c:v>
                </c:pt>
                <c:pt idx="25">
                  <c:v>44012</c:v>
                </c:pt>
                <c:pt idx="26">
                  <c:v>44104</c:v>
                </c:pt>
                <c:pt idx="27">
                  <c:v>44196</c:v>
                </c:pt>
                <c:pt idx="28">
                  <c:v>44286</c:v>
                </c:pt>
                <c:pt idx="29">
                  <c:v>44377</c:v>
                </c:pt>
                <c:pt idx="30">
                  <c:v>44469</c:v>
                </c:pt>
                <c:pt idx="31">
                  <c:v>44561</c:v>
                </c:pt>
                <c:pt idx="32">
                  <c:v>44651</c:v>
                </c:pt>
                <c:pt idx="33">
                  <c:v>44742</c:v>
                </c:pt>
                <c:pt idx="34">
                  <c:v>44834</c:v>
                </c:pt>
                <c:pt idx="35">
                  <c:v>44926</c:v>
                </c:pt>
                <c:pt idx="36">
                  <c:v>45016</c:v>
                </c:pt>
                <c:pt idx="37">
                  <c:v>45107</c:v>
                </c:pt>
                <c:pt idx="38">
                  <c:v>45199</c:v>
                </c:pt>
                <c:pt idx="39">
                  <c:v>45291</c:v>
                </c:pt>
                <c:pt idx="40">
                  <c:v>45382</c:v>
                </c:pt>
                <c:pt idx="41">
                  <c:v>45473</c:v>
                </c:pt>
                <c:pt idx="42">
                  <c:v>45565</c:v>
                </c:pt>
                <c:pt idx="43">
                  <c:v>45657</c:v>
                </c:pt>
                <c:pt idx="44">
                  <c:v>45747</c:v>
                </c:pt>
                <c:pt idx="45">
                  <c:v>45838</c:v>
                </c:pt>
                <c:pt idx="46">
                  <c:v>45930</c:v>
                </c:pt>
                <c:pt idx="47">
                  <c:v>45992</c:v>
                </c:pt>
                <c:pt idx="48">
                  <c:v>46112</c:v>
                </c:pt>
              </c:numCache>
            </c:numRef>
          </c:cat>
          <c:val>
            <c:numRef>
              <c:f>'Evolución Deuda Total'!$B$11:$AX$11</c:f>
              <c:numCache>
                <c:formatCode>#,##0.00</c:formatCode>
                <c:ptCount val="49"/>
                <c:pt idx="0">
                  <c:v>1198.0060980561311</c:v>
                </c:pt>
                <c:pt idx="1">
                  <c:v>1236.2989741438882</c:v>
                </c:pt>
                <c:pt idx="2">
                  <c:v>1214.2376852143709</c:v>
                </c:pt>
                <c:pt idx="3">
                  <c:v>1322.6856137114128</c:v>
                </c:pt>
                <c:pt idx="4">
                  <c:v>1161.440776354071</c:v>
                </c:pt>
                <c:pt idx="5">
                  <c:v>1284.3857329323723</c:v>
                </c:pt>
                <c:pt idx="6">
                  <c:v>1296.7956207809582</c:v>
                </c:pt>
                <c:pt idx="7">
                  <c:v>1487.2257882157555</c:v>
                </c:pt>
                <c:pt idx="8">
                  <c:v>1186.5068563914324</c:v>
                </c:pt>
                <c:pt idx="9">
                  <c:v>1686.5652731506366</c:v>
                </c:pt>
                <c:pt idx="10">
                  <c:v>1767.2638008660335</c:v>
                </c:pt>
                <c:pt idx="11">
                  <c:v>1820.5741236959532</c:v>
                </c:pt>
                <c:pt idx="12">
                  <c:v>1808.1787795455843</c:v>
                </c:pt>
                <c:pt idx="13">
                  <c:v>2091.8664489172725</c:v>
                </c:pt>
                <c:pt idx="14">
                  <c:v>2029.2965637817033</c:v>
                </c:pt>
                <c:pt idx="15">
                  <c:v>1923.8160416107328</c:v>
                </c:pt>
                <c:pt idx="16">
                  <c:v>1906.8874457626971</c:v>
                </c:pt>
                <c:pt idx="17">
                  <c:v>1561.8680580314178</c:v>
                </c:pt>
                <c:pt idx="18">
                  <c:v>1275.3649271383476</c:v>
                </c:pt>
                <c:pt idx="19">
                  <c:v>1427.4429920198836</c:v>
                </c:pt>
                <c:pt idx="20">
                  <c:v>1324.8426762725608</c:v>
                </c:pt>
                <c:pt idx="21">
                  <c:v>1456.06595329073</c:v>
                </c:pt>
                <c:pt idx="22">
                  <c:v>1298.7633279145018</c:v>
                </c:pt>
                <c:pt idx="23">
                  <c:v>1377.625793813218</c:v>
                </c:pt>
                <c:pt idx="24">
                  <c:v>1249.7074659407217</c:v>
                </c:pt>
                <c:pt idx="25">
                  <c:v>1250.6493763069705</c:v>
                </c:pt>
                <c:pt idx="26">
                  <c:v>1245.5093239823298</c:v>
                </c:pt>
                <c:pt idx="27">
                  <c:v>1353.1157961328599</c:v>
                </c:pt>
                <c:pt idx="28">
                  <c:v>1198.165322817955</c:v>
                </c:pt>
                <c:pt idx="29">
                  <c:v>1173.3892580683216</c:v>
                </c:pt>
                <c:pt idx="30">
                  <c:v>1236.2607775559195</c:v>
                </c:pt>
                <c:pt idx="31">
                  <c:v>1408.5738472361975</c:v>
                </c:pt>
                <c:pt idx="32">
                  <c:v>1192.0072095918158</c:v>
                </c:pt>
                <c:pt idx="33">
                  <c:v>1188.4230466792108</c:v>
                </c:pt>
                <c:pt idx="34">
                  <c:v>1133.268281659588</c:v>
                </c:pt>
                <c:pt idx="35">
                  <c:v>1268.3887105130582</c:v>
                </c:pt>
                <c:pt idx="36">
                  <c:v>957.68267949680569</c:v>
                </c:pt>
                <c:pt idx="37">
                  <c:v>950.52011217489428</c:v>
                </c:pt>
                <c:pt idx="38">
                  <c:v>939.57982004744997</c:v>
                </c:pt>
                <c:pt idx="39">
                  <c:v>772.21285700382805</c:v>
                </c:pt>
                <c:pt idx="40">
                  <c:v>741.53641085319362</c:v>
                </c:pt>
                <c:pt idx="41">
                  <c:v>747.56802170814649</c:v>
                </c:pt>
                <c:pt idx="42">
                  <c:v>707.20334820747019</c:v>
                </c:pt>
                <c:pt idx="43">
                  <c:v>836.61770355451813</c:v>
                </c:pt>
                <c:pt idx="44">
                  <c:v>707.55220884096832</c:v>
                </c:pt>
                <c:pt idx="45">
                  <c:v>780.51946922466345</c:v>
                </c:pt>
                <c:pt idx="46">
                  <c:v>710.38354324679744</c:v>
                </c:pt>
                <c:pt idx="47">
                  <c:v>807.51187516250525</c:v>
                </c:pt>
                <c:pt idx="48">
                  <c:v>672.73856572161583</c:v>
                </c:pt>
              </c:numCache>
            </c:numRef>
          </c:val>
          <c:smooth val="0"/>
          <c:extLst>
            <c:ext xmlns:c16="http://schemas.microsoft.com/office/drawing/2014/chart" uri="{C3380CC4-5D6E-409C-BE32-E72D297353CC}">
              <c16:uniqueId val="{00000001-AC17-45C2-BB89-CD58CA170BEF}"/>
            </c:ext>
          </c:extLst>
        </c:ser>
        <c:dLbls>
          <c:showLegendKey val="0"/>
          <c:showVal val="0"/>
          <c:showCatName val="0"/>
          <c:showSerName val="0"/>
          <c:showPercent val="0"/>
          <c:showBubbleSize val="0"/>
        </c:dLbls>
        <c:marker val="1"/>
        <c:smooth val="0"/>
        <c:axId val="-303978800"/>
        <c:axId val="-303979888"/>
      </c:lineChart>
      <c:dateAx>
        <c:axId val="-303967920"/>
        <c:scaling>
          <c:orientation val="minMax"/>
        </c:scaling>
        <c:delete val="0"/>
        <c:axPos val="b"/>
        <c:numFmt formatCode="mmm\-yy" sourceLinked="1"/>
        <c:majorTickMark val="in"/>
        <c:minorTickMark val="none"/>
        <c:tickLblPos val="nextTo"/>
        <c:spPr>
          <a:noFill/>
          <a:ln w="9525" cap="flat" cmpd="sng" algn="ctr">
            <a:solidFill>
              <a:schemeClr val="tx1"/>
            </a:solidFill>
            <a:prstDash val="solid"/>
            <a:round/>
          </a:ln>
        </c:spPr>
        <c:txPr>
          <a:bodyPr rot="-5400000" spcFirstLastPara="1" vertOverflow="ellipsis" wrap="square" anchor="ctr" anchorCtr="1"/>
          <a:lstStyle/>
          <a:p>
            <a:pPr>
              <a:defRPr sz="1100" b="0" i="0" strike="noStrike" kern="1200" baseline="0">
                <a:solidFill>
                  <a:schemeClr val="tx1"/>
                </a:solidFill>
                <a:latin typeface="Arial Narrow" panose="020B0606020202030204" pitchFamily="34" charset="0"/>
                <a:ea typeface="+mn-ea"/>
                <a:cs typeface="+mn-cs"/>
              </a:defRPr>
            </a:pPr>
            <a:endParaRPr lang="es-AR"/>
          </a:p>
        </c:txPr>
        <c:crossAx val="-303969008"/>
        <c:crosses val="autoZero"/>
        <c:auto val="1"/>
        <c:lblOffset val="100"/>
        <c:baseTimeUnit val="months"/>
        <c:majorUnit val="3"/>
        <c:majorTimeUnit val="months"/>
      </c:dateAx>
      <c:valAx>
        <c:axId val="-303969008"/>
        <c:scaling>
          <c:orientation val="minMax"/>
        </c:scaling>
        <c:delete val="0"/>
        <c:axPos val="l"/>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s-AR" sz="1100" b="0">
                    <a:solidFill>
                      <a:schemeClr val="tx1"/>
                    </a:solidFill>
                    <a:latin typeface="Arial Narrow" panose="020B0606020202030204" pitchFamily="34" charset="0"/>
                  </a:rPr>
                  <a:t>Millones de Pesos</a:t>
                </a:r>
                <a:r>
                  <a:rPr lang="es-AR" sz="1100" b="0" baseline="0">
                    <a:solidFill>
                      <a:schemeClr val="tx1"/>
                    </a:solidFill>
                    <a:latin typeface="Arial Narrow" panose="020B0606020202030204" pitchFamily="34" charset="0"/>
                  </a:rPr>
                  <a:t> Mar - 26</a:t>
                </a:r>
                <a:endParaRPr lang="es-AR" sz="1100" b="0">
                  <a:solidFill>
                    <a:schemeClr val="tx1"/>
                  </a:solidFill>
                  <a:latin typeface="Arial Narrow" panose="020B0606020202030204" pitchFamily="34" charset="0"/>
                </a:endParaRPr>
              </a:p>
            </c:rich>
          </c:tx>
          <c:layout>
            <c:manualLayout>
              <c:xMode val="edge"/>
              <c:yMode val="edge"/>
              <c:x val="7.1891835016835021E-3"/>
              <c:y val="0.31143510101010102"/>
            </c:manualLayout>
          </c:layout>
          <c:overlay val="0"/>
          <c:spPr>
            <a:noFill/>
            <a:ln>
              <a:noFill/>
              <a:prstDash val="solid"/>
            </a:ln>
          </c:spPr>
        </c:title>
        <c:numFmt formatCode="#,##0" sourceLinked="0"/>
        <c:majorTickMark val="out"/>
        <c:minorTickMark val="none"/>
        <c:tickLblPos val="nextTo"/>
        <c:spPr>
          <a:noFill/>
          <a:ln>
            <a:solidFill>
              <a:schemeClr val="tx1"/>
            </a:solidFill>
            <a:prstDash val="solid"/>
          </a:ln>
        </c:spPr>
        <c:txPr>
          <a:bodyPr rot="-60000000" spcFirstLastPara="1" vertOverflow="ellipsis" vert="horz" wrap="square" anchor="ctr" anchorCtr="1"/>
          <a:lstStyle/>
          <a:p>
            <a:pPr>
              <a:defRPr sz="1100" b="0" i="0" strike="noStrike" kern="1200" baseline="0">
                <a:solidFill>
                  <a:schemeClr val="tx1"/>
                </a:solidFill>
                <a:latin typeface="Arial Narrow" panose="020B0606020202030204" pitchFamily="34" charset="0"/>
                <a:ea typeface="+mn-ea"/>
                <a:cs typeface="+mn-cs"/>
              </a:defRPr>
            </a:pPr>
            <a:endParaRPr lang="es-AR"/>
          </a:p>
        </c:txPr>
        <c:crossAx val="-303967920"/>
        <c:crosses val="autoZero"/>
        <c:crossBetween val="between"/>
      </c:valAx>
      <c:dateAx>
        <c:axId val="-303978800"/>
        <c:scaling>
          <c:orientation val="minMax"/>
        </c:scaling>
        <c:delete val="1"/>
        <c:axPos val="b"/>
        <c:numFmt formatCode="mmm\-yy" sourceLinked="1"/>
        <c:majorTickMark val="out"/>
        <c:minorTickMark val="none"/>
        <c:tickLblPos val="nextTo"/>
        <c:crossAx val="-303979888"/>
        <c:crosses val="autoZero"/>
        <c:auto val="1"/>
        <c:lblOffset val="100"/>
        <c:baseTimeUnit val="months"/>
      </c:dateAx>
      <c:valAx>
        <c:axId val="-303979888"/>
        <c:scaling>
          <c:orientation val="minMax"/>
          <c:max val="2500"/>
        </c:scaling>
        <c:delete val="0"/>
        <c:axPos val="r"/>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s-AR" sz="1100" b="0">
                    <a:solidFill>
                      <a:schemeClr val="tx1"/>
                    </a:solidFill>
                    <a:latin typeface="Arial Narrow" panose="020B0606020202030204" pitchFamily="34" charset="0"/>
                  </a:rPr>
                  <a:t>Millones de USD</a:t>
                </a:r>
              </a:p>
            </c:rich>
          </c:tx>
          <c:layout>
            <c:manualLayout>
              <c:xMode val="edge"/>
              <c:yMode val="edge"/>
              <c:x val="0.96926557239057243"/>
              <c:y val="0.34206262626262629"/>
            </c:manualLayout>
          </c:layout>
          <c:overlay val="0"/>
          <c:spPr>
            <a:noFill/>
            <a:ln>
              <a:noFill/>
              <a:prstDash val="solid"/>
            </a:ln>
          </c:spPr>
        </c:title>
        <c:numFmt formatCode="#,##0" sourceLinked="0"/>
        <c:majorTickMark val="out"/>
        <c:minorTickMark val="none"/>
        <c:tickLblPos val="nextTo"/>
        <c:spPr>
          <a:noFill/>
          <a:ln>
            <a:solidFill>
              <a:schemeClr val="tx1"/>
            </a:solidFill>
            <a:prstDash val="solid"/>
          </a:ln>
        </c:spPr>
        <c:txPr>
          <a:bodyPr rot="-60000000" spcFirstLastPara="1" vertOverflow="ellipsis" vert="horz" wrap="square" anchor="ctr" anchorCtr="1"/>
          <a:lstStyle/>
          <a:p>
            <a:pPr>
              <a:defRPr sz="1100" b="0" i="0" strike="noStrike" kern="1200" baseline="0">
                <a:solidFill>
                  <a:schemeClr val="tx1"/>
                </a:solidFill>
                <a:latin typeface="Arial Narrow" panose="020B0606020202030204" pitchFamily="34" charset="0"/>
                <a:ea typeface="+mn-ea"/>
                <a:cs typeface="+mn-cs"/>
              </a:defRPr>
            </a:pPr>
            <a:endParaRPr lang="es-AR"/>
          </a:p>
        </c:txPr>
        <c:crossAx val="-303978800"/>
        <c:crosses val="max"/>
        <c:crossBetween val="between"/>
      </c:valAx>
    </c:plotArea>
    <c:legend>
      <c:legendPos val="b"/>
      <c:layout>
        <c:manualLayout>
          <c:xMode val="edge"/>
          <c:yMode val="edge"/>
          <c:x val="0.19972327441077439"/>
          <c:y val="0.92197045454545457"/>
          <c:w val="0.60589846380471379"/>
          <c:h val="5.8787121212121207E-2"/>
        </c:manualLayout>
      </c:layout>
      <c:overlay val="0"/>
      <c:spPr>
        <a:noFill/>
        <a:ln>
          <a:noFill/>
          <a:prstDash val="solid"/>
        </a:ln>
      </c:spPr>
      <c:txPr>
        <a:bodyPr rot="0" spcFirstLastPara="1" vertOverflow="ellipsis" vert="horz" wrap="square" anchor="ctr" anchorCtr="1"/>
        <a:lstStyle/>
        <a:p>
          <a:pPr>
            <a:defRPr sz="1100" b="0" i="0" strike="noStrike" kern="1200" baseline="0">
              <a:solidFill>
                <a:schemeClr val="tx1"/>
              </a:solidFill>
              <a:latin typeface="Arial Narrow" panose="020B0606020202030204" pitchFamily="34" charset="0"/>
              <a:ea typeface="+mn-ea"/>
              <a:cs typeface="+mn-cs"/>
            </a:defRPr>
          </a:pPr>
          <a:endParaRPr lang="es-AR"/>
        </a:p>
      </c:txPr>
    </c:legend>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304800</xdr:colOff>
      <xdr:row>18</xdr:row>
      <xdr:rowOff>119061</xdr:rowOff>
    </xdr:from>
    <xdr:to>
      <xdr:col>10</xdr:col>
      <xdr:colOff>381000</xdr:colOff>
      <xdr:row>37</xdr:row>
      <xdr:rowOff>92849</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68033</xdr:colOff>
      <xdr:row>35</xdr:row>
      <xdr:rowOff>179364</xdr:rowOff>
    </xdr:from>
    <xdr:to>
      <xdr:col>21</xdr:col>
      <xdr:colOff>585106</xdr:colOff>
      <xdr:row>62</xdr:row>
      <xdr:rowOff>80095</xdr:rowOff>
    </xdr:to>
    <xdr:pic>
      <xdr:nvPicPr>
        <xdr:cNvPr id="16" name="Imagen 15">
          <a:extLst>
            <a:ext uri="{FF2B5EF4-FFF2-40B4-BE49-F238E27FC236}">
              <a16:creationId xmlns:a16="http://schemas.microsoft.com/office/drawing/2014/main" id="{31996A88-2922-A055-464C-CBBE66EBB863}"/>
            </a:ext>
          </a:extLst>
        </xdr:cNvPr>
        <xdr:cNvPicPr>
          <a:picLocks noChangeAspect="1"/>
        </xdr:cNvPicPr>
      </xdr:nvPicPr>
      <xdr:blipFill>
        <a:blip xmlns:r="http://schemas.openxmlformats.org/officeDocument/2006/relationships" r:embed="rId1"/>
        <a:stretch>
          <a:fillRect/>
        </a:stretch>
      </xdr:blipFill>
      <xdr:spPr>
        <a:xfrm>
          <a:off x="9974033" y="7119007"/>
          <a:ext cx="6613073" cy="5044231"/>
        </a:xfrm>
        <a:prstGeom prst="rect">
          <a:avLst/>
        </a:prstGeom>
      </xdr:spPr>
    </xdr:pic>
    <xdr:clientData/>
  </xdr:twoCellAnchor>
  <xdr:twoCellAnchor editAs="oneCell">
    <xdr:from>
      <xdr:col>0</xdr:col>
      <xdr:colOff>571500</xdr:colOff>
      <xdr:row>4</xdr:row>
      <xdr:rowOff>176893</xdr:rowOff>
    </xdr:from>
    <xdr:to>
      <xdr:col>8</xdr:col>
      <xdr:colOff>370843</xdr:colOff>
      <xdr:row>24</xdr:row>
      <xdr:rowOff>30907</xdr:rowOff>
    </xdr:to>
    <xdr:pic>
      <xdr:nvPicPr>
        <xdr:cNvPr id="5" name="Imagen 4">
          <a:extLst>
            <a:ext uri="{FF2B5EF4-FFF2-40B4-BE49-F238E27FC236}">
              <a16:creationId xmlns:a16="http://schemas.microsoft.com/office/drawing/2014/main" id="{4BD66AB0-2882-1FFD-C19C-69F2CD068C64}"/>
            </a:ext>
          </a:extLst>
        </xdr:cNvPr>
        <xdr:cNvPicPr>
          <a:picLocks noChangeAspect="1"/>
        </xdr:cNvPicPr>
      </xdr:nvPicPr>
      <xdr:blipFill>
        <a:blip xmlns:r="http://schemas.openxmlformats.org/officeDocument/2006/relationships" r:embed="rId2"/>
        <a:stretch>
          <a:fillRect/>
        </a:stretch>
      </xdr:blipFill>
      <xdr:spPr>
        <a:xfrm>
          <a:off x="571500" y="1156607"/>
          <a:ext cx="5895343" cy="3664014"/>
        </a:xfrm>
        <a:prstGeom prst="rect">
          <a:avLst/>
        </a:prstGeom>
      </xdr:spPr>
    </xdr:pic>
    <xdr:clientData/>
  </xdr:twoCellAnchor>
  <xdr:twoCellAnchor editAs="oneCell">
    <xdr:from>
      <xdr:col>11</xdr:col>
      <xdr:colOff>0</xdr:colOff>
      <xdr:row>5</xdr:row>
      <xdr:rowOff>0</xdr:rowOff>
    </xdr:from>
    <xdr:to>
      <xdr:col>18</xdr:col>
      <xdr:colOff>43138</xdr:colOff>
      <xdr:row>22</xdr:row>
      <xdr:rowOff>169459</xdr:rowOff>
    </xdr:to>
    <xdr:pic>
      <xdr:nvPicPr>
        <xdr:cNvPr id="6" name="Imagen 5">
          <a:extLst>
            <a:ext uri="{FF2B5EF4-FFF2-40B4-BE49-F238E27FC236}">
              <a16:creationId xmlns:a16="http://schemas.microsoft.com/office/drawing/2014/main" id="{7068B515-8644-F6A0-3363-A9EF2434B090}"/>
            </a:ext>
          </a:extLst>
        </xdr:cNvPr>
        <xdr:cNvPicPr>
          <a:picLocks noChangeAspect="1"/>
        </xdr:cNvPicPr>
      </xdr:nvPicPr>
      <xdr:blipFill>
        <a:blip xmlns:r="http://schemas.openxmlformats.org/officeDocument/2006/relationships" r:embed="rId3"/>
        <a:stretch>
          <a:fillRect/>
        </a:stretch>
      </xdr:blipFill>
      <xdr:spPr>
        <a:xfrm>
          <a:off x="8382000" y="1170214"/>
          <a:ext cx="5377138" cy="3407959"/>
        </a:xfrm>
        <a:prstGeom prst="rect">
          <a:avLst/>
        </a:prstGeom>
      </xdr:spPr>
    </xdr:pic>
    <xdr:clientData/>
  </xdr:twoCellAnchor>
  <xdr:twoCellAnchor editAs="oneCell">
    <xdr:from>
      <xdr:col>21</xdr:col>
      <xdr:colOff>0</xdr:colOff>
      <xdr:row>5</xdr:row>
      <xdr:rowOff>0</xdr:rowOff>
    </xdr:from>
    <xdr:to>
      <xdr:col>28</xdr:col>
      <xdr:colOff>561343</xdr:colOff>
      <xdr:row>24</xdr:row>
      <xdr:rowOff>32321</xdr:rowOff>
    </xdr:to>
    <xdr:pic>
      <xdr:nvPicPr>
        <xdr:cNvPr id="8" name="Imagen 7">
          <a:extLst>
            <a:ext uri="{FF2B5EF4-FFF2-40B4-BE49-F238E27FC236}">
              <a16:creationId xmlns:a16="http://schemas.microsoft.com/office/drawing/2014/main" id="{FF9EAAEE-D966-4382-D53C-AFF863F90374}"/>
            </a:ext>
          </a:extLst>
        </xdr:cNvPr>
        <xdr:cNvPicPr>
          <a:picLocks noChangeAspect="1"/>
        </xdr:cNvPicPr>
      </xdr:nvPicPr>
      <xdr:blipFill>
        <a:blip xmlns:r="http://schemas.openxmlformats.org/officeDocument/2006/relationships" r:embed="rId4"/>
        <a:stretch>
          <a:fillRect/>
        </a:stretch>
      </xdr:blipFill>
      <xdr:spPr>
        <a:xfrm>
          <a:off x="16002000" y="1170214"/>
          <a:ext cx="5895343" cy="3651821"/>
        </a:xfrm>
        <a:prstGeom prst="rect">
          <a:avLst/>
        </a:prstGeom>
      </xdr:spPr>
    </xdr:pic>
    <xdr:clientData/>
  </xdr:twoCellAnchor>
  <xdr:twoCellAnchor editAs="oneCell">
    <xdr:from>
      <xdr:col>0</xdr:col>
      <xdr:colOff>0</xdr:colOff>
      <xdr:row>36</xdr:row>
      <xdr:rowOff>0</xdr:rowOff>
    </xdr:from>
    <xdr:to>
      <xdr:col>10</xdr:col>
      <xdr:colOff>250618</xdr:colOff>
      <xdr:row>60</xdr:row>
      <xdr:rowOff>36975</xdr:rowOff>
    </xdr:to>
    <xdr:pic>
      <xdr:nvPicPr>
        <xdr:cNvPr id="10" name="Imagen 9">
          <a:extLst>
            <a:ext uri="{FF2B5EF4-FFF2-40B4-BE49-F238E27FC236}">
              <a16:creationId xmlns:a16="http://schemas.microsoft.com/office/drawing/2014/main" id="{623FCACD-E356-237F-AA65-B051A7764F91}"/>
            </a:ext>
          </a:extLst>
        </xdr:cNvPr>
        <xdr:cNvPicPr>
          <a:picLocks noChangeAspect="1"/>
        </xdr:cNvPicPr>
      </xdr:nvPicPr>
      <xdr:blipFill>
        <a:blip xmlns:r="http://schemas.openxmlformats.org/officeDocument/2006/relationships" r:embed="rId5"/>
        <a:stretch>
          <a:fillRect/>
        </a:stretch>
      </xdr:blipFill>
      <xdr:spPr>
        <a:xfrm>
          <a:off x="0" y="7130143"/>
          <a:ext cx="7870618" cy="46089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ncfp01\direccion\DNCFP\Recursos\Proyrena\Anual\2002\Alt4_Proy20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Alt4_Proy2002"/>
      <sheetName val="Fto__a_partir_del_impuesto4"/>
      <sheetName val="COP_FED2"/>
      <sheetName val="22_PCIAS2"/>
      <sheetName val="Tesoro_Nacional2"/>
      <sheetName val="Fondo_ATN2"/>
      <sheetName val="Coop__Eléct_2"/>
      <sheetName val="C_F_E_E_2"/>
      <sheetName val="Fto__a_partir_del_impuesto5"/>
      <sheetName val="[Alt4_Proy2002_x䕬䍘䱅䔮"/>
      <sheetName val="Stock 30-06-19"/>
      <sheetName val="Stock 31-12-18"/>
      <sheetName val="Gráfico 2"/>
      <sheetName val="Stock 30-09-19"/>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131"/>
  <sheetViews>
    <sheetView showGridLines="0" tabSelected="1" zoomScale="70" zoomScaleNormal="70" workbookViewId="0">
      <pane xSplit="2" ySplit="8" topLeftCell="C38" activePane="bottomRight" state="frozen"/>
      <selection pane="topRight" activeCell="C1" sqref="C1"/>
      <selection pane="bottomLeft" activeCell="A9" sqref="A9"/>
      <selection pane="bottomRight" activeCell="F41" sqref="F41"/>
    </sheetView>
  </sheetViews>
  <sheetFormatPr baseColWidth="10" defaultRowHeight="16.5" x14ac:dyDescent="0.3"/>
  <cols>
    <col min="1" max="1" width="5.28515625" style="13" customWidth="1"/>
    <col min="2" max="2" width="64.140625" customWidth="1"/>
    <col min="3" max="3" width="17.140625" bestFit="1" customWidth="1"/>
    <col min="4" max="4" width="15.140625" customWidth="1"/>
    <col min="5" max="5" width="29.140625" customWidth="1"/>
    <col min="6" max="6" width="22.28515625" style="84" customWidth="1"/>
    <col min="7" max="7" width="15.85546875" customWidth="1"/>
    <col min="8" max="8" width="23.28515625" customWidth="1"/>
    <col min="9" max="9" width="16.7109375" customWidth="1"/>
    <col min="10" max="10" width="20.140625" customWidth="1"/>
    <col min="11" max="13" width="16.7109375" customWidth="1"/>
    <col min="14" max="14" width="22" customWidth="1"/>
    <col min="15" max="16" width="16.7109375" customWidth="1"/>
    <col min="17" max="17" width="17.7109375" bestFit="1" customWidth="1"/>
    <col min="18" max="18" width="18.85546875" bestFit="1" customWidth="1"/>
    <col min="19" max="19" width="17.42578125" bestFit="1" customWidth="1"/>
    <col min="20" max="20" width="16.7109375" customWidth="1"/>
    <col min="21" max="21" width="17.42578125" bestFit="1" customWidth="1"/>
    <col min="22" max="94" width="16.7109375" customWidth="1"/>
  </cols>
  <sheetData>
    <row r="1" spans="1:78" x14ac:dyDescent="0.3">
      <c r="B1" s="186"/>
    </row>
    <row r="2" spans="1:78" ht="20.25" customHeight="1" x14ac:dyDescent="0.3">
      <c r="B2" s="211" t="s">
        <v>0</v>
      </c>
      <c r="C2" s="212"/>
      <c r="D2" s="212"/>
      <c r="E2" s="212"/>
      <c r="F2" s="213"/>
      <c r="G2" s="212"/>
      <c r="H2" s="212"/>
      <c r="I2" s="212"/>
      <c r="J2" s="212"/>
      <c r="K2" s="212"/>
      <c r="L2" s="212"/>
      <c r="M2" s="212"/>
      <c r="N2" s="212"/>
      <c r="O2" s="212"/>
      <c r="P2" s="212"/>
      <c r="Q2" s="212"/>
      <c r="R2" s="212"/>
      <c r="S2" s="212"/>
    </row>
    <row r="3" spans="1:78" ht="20.25" customHeight="1" x14ac:dyDescent="0.3">
      <c r="B3" s="107" t="s">
        <v>1</v>
      </c>
      <c r="C3" s="4"/>
      <c r="D3" s="4"/>
      <c r="E3" s="4"/>
      <c r="F3" s="81"/>
      <c r="G3" s="4"/>
      <c r="H3" s="4"/>
      <c r="I3" s="4"/>
      <c r="J3" s="4"/>
      <c r="K3" s="4"/>
      <c r="L3" s="4"/>
      <c r="M3" s="4"/>
      <c r="N3" s="4"/>
      <c r="O3" s="4"/>
      <c r="P3" s="4"/>
      <c r="Q3" s="4"/>
      <c r="R3" s="4"/>
      <c r="S3" s="4"/>
    </row>
    <row r="4" spans="1:78" ht="17.25" customHeight="1" x14ac:dyDescent="0.3">
      <c r="B4" s="107" t="s">
        <v>2</v>
      </c>
      <c r="C4" s="1"/>
      <c r="D4" s="1"/>
      <c r="E4" s="1"/>
      <c r="F4" s="82"/>
      <c r="G4" s="1">
        <v>1000000</v>
      </c>
      <c r="H4" s="1"/>
      <c r="I4" s="1"/>
      <c r="J4" s="1"/>
      <c r="K4" s="1"/>
      <c r="L4" s="1"/>
      <c r="M4" s="1"/>
      <c r="N4" s="1"/>
      <c r="O4" s="1"/>
      <c r="P4" s="10"/>
    </row>
    <row r="5" spans="1:78" ht="17.25" customHeight="1" x14ac:dyDescent="0.3">
      <c r="B5" s="3"/>
      <c r="C5" s="1"/>
      <c r="D5" s="1"/>
      <c r="E5" s="1"/>
      <c r="F5" s="82"/>
      <c r="G5" s="1"/>
      <c r="H5" s="1"/>
      <c r="I5" s="1"/>
      <c r="J5" s="1"/>
      <c r="K5" s="1"/>
      <c r="L5" s="1"/>
      <c r="M5" s="1"/>
      <c r="N5" s="1"/>
      <c r="O5" s="1"/>
      <c r="P5" s="10"/>
    </row>
    <row r="6" spans="1:78" ht="30" customHeight="1" x14ac:dyDescent="0.3">
      <c r="B6" s="216" t="s">
        <v>3</v>
      </c>
      <c r="C6" s="216" t="s">
        <v>4</v>
      </c>
      <c r="D6" s="218" t="s">
        <v>5</v>
      </c>
      <c r="E6" s="214" t="s">
        <v>6</v>
      </c>
      <c r="F6" s="220" t="s">
        <v>7</v>
      </c>
      <c r="G6" s="216" t="s">
        <v>8</v>
      </c>
      <c r="H6" s="219" t="s">
        <v>9</v>
      </c>
      <c r="I6" s="219" t="s">
        <v>10</v>
      </c>
      <c r="J6" s="216" t="s">
        <v>11</v>
      </c>
      <c r="K6" s="219" t="s">
        <v>12</v>
      </c>
      <c r="L6" s="219" t="s">
        <v>13</v>
      </c>
      <c r="M6" s="219" t="s">
        <v>14</v>
      </c>
      <c r="N6" s="219" t="s">
        <v>15</v>
      </c>
      <c r="O6" s="1"/>
      <c r="P6" s="10"/>
    </row>
    <row r="7" spans="1:78" ht="32.25" customHeight="1" x14ac:dyDescent="0.3">
      <c r="B7" s="215"/>
      <c r="C7" s="215"/>
      <c r="D7" s="215"/>
      <c r="E7" s="215"/>
      <c r="F7" s="215"/>
      <c r="G7" s="215"/>
      <c r="H7" s="215"/>
      <c r="I7" s="215"/>
      <c r="J7" s="215"/>
      <c r="K7" s="215"/>
      <c r="L7" s="215"/>
      <c r="M7" s="215"/>
      <c r="N7" s="215"/>
      <c r="P7" s="121">
        <v>2026</v>
      </c>
      <c r="Q7" s="121">
        <v>2026</v>
      </c>
      <c r="R7" s="121">
        <v>2027</v>
      </c>
      <c r="S7" s="121">
        <v>2027</v>
      </c>
      <c r="T7" s="121">
        <v>2028</v>
      </c>
      <c r="U7" s="121">
        <v>2028</v>
      </c>
      <c r="V7" s="121">
        <v>2029</v>
      </c>
      <c r="W7" s="121">
        <v>2029</v>
      </c>
      <c r="X7" s="122" t="s">
        <v>16</v>
      </c>
      <c r="Y7" s="122" t="s">
        <v>16</v>
      </c>
      <c r="Z7" s="64"/>
      <c r="AC7" s="65"/>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64"/>
      <c r="BY7" s="64"/>
      <c r="BZ7" s="64"/>
    </row>
    <row r="8" spans="1:78" ht="21" customHeight="1" x14ac:dyDescent="0.3">
      <c r="B8" s="217"/>
      <c r="C8" s="217"/>
      <c r="D8" s="217"/>
      <c r="E8" s="110">
        <v>46112</v>
      </c>
      <c r="F8" s="110">
        <v>46112</v>
      </c>
      <c r="G8" s="217"/>
      <c r="H8" s="217"/>
      <c r="I8" s="217"/>
      <c r="J8" s="217"/>
      <c r="K8" s="217"/>
      <c r="L8" s="217"/>
      <c r="M8" s="217"/>
      <c r="N8" s="217"/>
      <c r="O8" s="18"/>
      <c r="P8" s="108" t="s">
        <v>17</v>
      </c>
      <c r="Q8" s="123" t="s">
        <v>18</v>
      </c>
      <c r="R8" s="108" t="s">
        <v>17</v>
      </c>
      <c r="S8" s="123" t="s">
        <v>18</v>
      </c>
      <c r="T8" s="108" t="s">
        <v>17</v>
      </c>
      <c r="U8" s="123" t="s">
        <v>18</v>
      </c>
      <c r="V8" s="108" t="s">
        <v>17</v>
      </c>
      <c r="W8" s="123" t="s">
        <v>18</v>
      </c>
      <c r="X8" s="108" t="s">
        <v>17</v>
      </c>
      <c r="Y8" s="108" t="s">
        <v>18</v>
      </c>
      <c r="Z8" s="18"/>
      <c r="AC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row>
    <row r="9" spans="1:78" ht="27.95" customHeight="1" x14ac:dyDescent="0.3">
      <c r="B9" s="111" t="s">
        <v>19</v>
      </c>
      <c r="C9" s="111"/>
      <c r="D9" s="111"/>
      <c r="E9" s="112"/>
      <c r="F9" s="112">
        <v>1.4296722770900296</v>
      </c>
      <c r="G9" s="113">
        <v>2.2190568706833445E-3</v>
      </c>
      <c r="H9" s="111"/>
      <c r="I9" s="111"/>
      <c r="J9" s="111"/>
      <c r="K9" s="111"/>
      <c r="L9" s="111"/>
      <c r="M9" s="111"/>
      <c r="N9" s="111"/>
      <c r="O9" s="19"/>
      <c r="P9" s="124">
        <v>472.68689250753732</v>
      </c>
      <c r="Q9" s="124">
        <v>0</v>
      </c>
      <c r="R9" s="124">
        <v>394.72713478621483</v>
      </c>
      <c r="S9" s="124">
        <v>0</v>
      </c>
      <c r="T9" s="124">
        <v>371.24279267548945</v>
      </c>
      <c r="U9" s="124">
        <v>0</v>
      </c>
      <c r="V9" s="124">
        <v>348.16341126978767</v>
      </c>
      <c r="W9" s="124">
        <v>0</v>
      </c>
      <c r="X9" s="124">
        <v>280.94403987940581</v>
      </c>
      <c r="Y9" s="124">
        <v>0</v>
      </c>
      <c r="Z9" s="66"/>
      <c r="AC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row>
    <row r="10" spans="1:78" ht="27.95" customHeight="1" x14ac:dyDescent="0.3">
      <c r="A10" s="45"/>
      <c r="B10" s="5" t="s">
        <v>20</v>
      </c>
      <c r="C10" s="5" t="s">
        <v>21</v>
      </c>
      <c r="D10" s="5" t="s">
        <v>17</v>
      </c>
      <c r="E10" s="139">
        <v>1964.0531134400001</v>
      </c>
      <c r="F10" s="8">
        <v>1.420388381421533</v>
      </c>
      <c r="G10" s="149"/>
      <c r="H10" s="24" t="s">
        <v>22</v>
      </c>
      <c r="I10" s="16">
        <v>45176</v>
      </c>
      <c r="J10" s="25" t="s">
        <v>23</v>
      </c>
      <c r="K10" s="17">
        <v>120</v>
      </c>
      <c r="L10" s="6" t="s">
        <v>24</v>
      </c>
      <c r="M10" s="16">
        <v>48845</v>
      </c>
      <c r="N10" s="6" t="s">
        <v>25</v>
      </c>
      <c r="O10" s="9"/>
      <c r="P10" s="50">
        <v>417.41091632187351</v>
      </c>
      <c r="Q10" s="50">
        <v>0</v>
      </c>
      <c r="R10" s="50">
        <v>394.72713478621483</v>
      </c>
      <c r="S10" s="50">
        <v>0</v>
      </c>
      <c r="T10" s="50">
        <v>371.24279267548945</v>
      </c>
      <c r="U10" s="50">
        <v>0</v>
      </c>
      <c r="V10" s="50">
        <v>348.16341126978767</v>
      </c>
      <c r="W10" s="50">
        <v>0</v>
      </c>
      <c r="X10" s="50">
        <v>280.94403987940581</v>
      </c>
      <c r="Y10" s="50">
        <v>0</v>
      </c>
      <c r="Z10" s="61"/>
      <c r="AC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row>
    <row r="11" spans="1:78" ht="27.95" customHeight="1" x14ac:dyDescent="0.3">
      <c r="A11" s="45"/>
      <c r="B11" s="5" t="s">
        <v>28</v>
      </c>
      <c r="C11" s="5" t="s">
        <v>29</v>
      </c>
      <c r="D11" s="5" t="s">
        <v>17</v>
      </c>
      <c r="E11" s="139">
        <v>12.839046890000001</v>
      </c>
      <c r="F11" s="8">
        <v>9.2851017654718704E-3</v>
      </c>
      <c r="G11" s="146"/>
      <c r="H11" s="24" t="s">
        <v>30</v>
      </c>
      <c r="I11" s="16">
        <v>40603</v>
      </c>
      <c r="J11" s="25" t="s">
        <v>31</v>
      </c>
      <c r="K11" s="17">
        <v>187</v>
      </c>
      <c r="L11" s="6" t="s">
        <v>32</v>
      </c>
      <c r="M11" s="16">
        <v>46296</v>
      </c>
      <c r="N11" s="6" t="s">
        <v>25</v>
      </c>
      <c r="O11" s="9"/>
      <c r="P11" s="50">
        <v>23.180294709999998</v>
      </c>
      <c r="Q11" s="50">
        <v>0</v>
      </c>
      <c r="R11" s="50">
        <v>0</v>
      </c>
      <c r="S11" s="50">
        <v>0</v>
      </c>
      <c r="T11" s="50">
        <v>0</v>
      </c>
      <c r="U11" s="50">
        <v>0</v>
      </c>
      <c r="V11" s="50">
        <v>0</v>
      </c>
      <c r="W11" s="50">
        <v>0</v>
      </c>
      <c r="X11" s="50">
        <v>0</v>
      </c>
      <c r="Y11" s="50">
        <v>0</v>
      </c>
      <c r="Z11" s="61"/>
      <c r="AC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row>
    <row r="12" spans="1:78" ht="27.95" customHeight="1" x14ac:dyDescent="0.3">
      <c r="A12" s="45"/>
      <c r="B12" s="5" t="s">
        <v>26</v>
      </c>
      <c r="C12" s="5" t="s">
        <v>27</v>
      </c>
      <c r="D12" s="5" t="s">
        <v>17</v>
      </c>
      <c r="E12" s="139">
        <v>-2.2000000000000001E-7</v>
      </c>
      <c r="F12" s="140">
        <v>-1.5910233881884448E-10</v>
      </c>
      <c r="G12" s="149"/>
      <c r="H12" s="24" t="s">
        <v>22</v>
      </c>
      <c r="I12" s="16">
        <v>43158</v>
      </c>
      <c r="J12" s="25" t="s">
        <v>23</v>
      </c>
      <c r="K12" s="17">
        <v>96</v>
      </c>
      <c r="L12" s="6" t="s">
        <v>24</v>
      </c>
      <c r="M12" s="16">
        <v>46080</v>
      </c>
      <c r="N12" s="6" t="s">
        <v>25</v>
      </c>
      <c r="O12" s="9"/>
      <c r="P12" s="50">
        <v>30.466595040000005</v>
      </c>
      <c r="Q12" s="50">
        <v>0</v>
      </c>
      <c r="R12" s="50">
        <v>0</v>
      </c>
      <c r="S12" s="50">
        <v>0</v>
      </c>
      <c r="T12" s="50">
        <v>0</v>
      </c>
      <c r="U12" s="50">
        <v>0</v>
      </c>
      <c r="V12" s="50">
        <v>0</v>
      </c>
      <c r="W12" s="50">
        <v>0</v>
      </c>
      <c r="X12" s="50">
        <v>0</v>
      </c>
      <c r="Y12" s="50">
        <v>0</v>
      </c>
      <c r="Z12" s="61"/>
      <c r="AC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row>
    <row r="13" spans="1:78" ht="27.95" customHeight="1" x14ac:dyDescent="0.3">
      <c r="A13" s="45"/>
      <c r="B13" s="5" t="s">
        <v>33</v>
      </c>
      <c r="C13" s="5" t="s">
        <v>34</v>
      </c>
      <c r="D13" s="5" t="s">
        <v>17</v>
      </c>
      <c r="E13" s="139">
        <v>-1.66752E-3</v>
      </c>
      <c r="F13" s="8">
        <v>-1.205937872850907E-6</v>
      </c>
      <c r="G13" s="147"/>
      <c r="H13" s="24" t="s">
        <v>22</v>
      </c>
      <c r="I13" s="16">
        <v>43104</v>
      </c>
      <c r="J13" s="25" t="s">
        <v>23</v>
      </c>
      <c r="K13" s="17">
        <v>96</v>
      </c>
      <c r="L13" s="6" t="s">
        <v>24</v>
      </c>
      <c r="M13" s="16">
        <v>46026</v>
      </c>
      <c r="N13" s="6" t="s">
        <v>25</v>
      </c>
      <c r="O13" s="9"/>
      <c r="P13" s="50">
        <v>1.6290864356638146</v>
      </c>
      <c r="Q13" s="50">
        <v>0</v>
      </c>
      <c r="R13" s="50">
        <v>0</v>
      </c>
      <c r="S13" s="50">
        <v>0</v>
      </c>
      <c r="T13" s="50">
        <v>0</v>
      </c>
      <c r="U13" s="50">
        <v>0</v>
      </c>
      <c r="V13" s="50">
        <v>0</v>
      </c>
      <c r="W13" s="50">
        <v>0</v>
      </c>
      <c r="X13" s="50">
        <v>0</v>
      </c>
      <c r="Y13" s="50">
        <v>0</v>
      </c>
      <c r="Z13" s="61"/>
      <c r="AC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row>
    <row r="14" spans="1:78" ht="27.95" customHeight="1" x14ac:dyDescent="0.3">
      <c r="A14" s="45"/>
      <c r="B14" s="111" t="s">
        <v>35</v>
      </c>
      <c r="C14" s="111"/>
      <c r="D14" s="111"/>
      <c r="E14" s="111"/>
      <c r="F14" s="112">
        <v>23.241796156053478</v>
      </c>
      <c r="G14" s="113">
        <v>3.6074608337575281E-2</v>
      </c>
      <c r="H14" s="114"/>
      <c r="I14" s="111"/>
      <c r="J14" s="115"/>
      <c r="K14" s="111"/>
      <c r="L14" s="111"/>
      <c r="M14" s="111"/>
      <c r="N14" s="111"/>
      <c r="O14" s="19"/>
      <c r="P14" s="124">
        <v>20966.683952833177</v>
      </c>
      <c r="Q14" s="124">
        <v>0</v>
      </c>
      <c r="R14" s="124">
        <v>14136.059947056105</v>
      </c>
      <c r="S14" s="124">
        <v>0</v>
      </c>
      <c r="T14" s="124">
        <v>6640.4444444444462</v>
      </c>
      <c r="U14" s="124">
        <v>0</v>
      </c>
      <c r="V14" s="124">
        <v>0</v>
      </c>
      <c r="W14" s="124">
        <v>0</v>
      </c>
      <c r="X14" s="124">
        <v>0</v>
      </c>
      <c r="Y14" s="124">
        <v>0</v>
      </c>
      <c r="Z14" s="66"/>
      <c r="AC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row>
    <row r="15" spans="1:78" ht="27.95" customHeight="1" x14ac:dyDescent="0.3">
      <c r="A15" s="45"/>
      <c r="B15" s="5" t="s">
        <v>36</v>
      </c>
      <c r="C15" s="5" t="s">
        <v>37</v>
      </c>
      <c r="D15" s="5" t="s">
        <v>17</v>
      </c>
      <c r="E15" s="139">
        <v>27112.962962962967</v>
      </c>
      <c r="F15" s="140">
        <v>19.607890089618706</v>
      </c>
      <c r="G15" s="147"/>
      <c r="H15" s="152" t="s">
        <v>22</v>
      </c>
      <c r="I15" s="16">
        <v>45717</v>
      </c>
      <c r="J15" s="25" t="s">
        <v>38</v>
      </c>
      <c r="K15" s="17">
        <v>60</v>
      </c>
      <c r="L15" s="6" t="s">
        <v>24</v>
      </c>
      <c r="M15" s="16">
        <v>11018</v>
      </c>
      <c r="N15" s="6" t="s">
        <v>25</v>
      </c>
      <c r="O15" s="9"/>
      <c r="P15" s="50">
        <v>15402.194416641632</v>
      </c>
      <c r="Q15" s="50">
        <v>0</v>
      </c>
      <c r="R15" s="50">
        <v>12230.892928210435</v>
      </c>
      <c r="S15" s="50">
        <v>0</v>
      </c>
      <c r="T15" s="50">
        <v>6640.4444444444462</v>
      </c>
      <c r="U15" s="50">
        <v>0</v>
      </c>
      <c r="V15" s="50">
        <v>0</v>
      </c>
      <c r="W15" s="50">
        <v>0</v>
      </c>
      <c r="X15" s="50">
        <v>0</v>
      </c>
      <c r="Y15" s="50">
        <v>0</v>
      </c>
      <c r="Z15" s="61"/>
      <c r="AC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row>
    <row r="16" spans="1:78" ht="27.95" customHeight="1" x14ac:dyDescent="0.3">
      <c r="A16" s="45"/>
      <c r="B16" s="102" t="s">
        <v>39</v>
      </c>
      <c r="C16" s="102" t="s">
        <v>40</v>
      </c>
      <c r="D16" s="102" t="s">
        <v>17</v>
      </c>
      <c r="E16" s="139">
        <v>5024.8119578300002</v>
      </c>
      <c r="F16" s="140">
        <v>3.6339060664347724</v>
      </c>
      <c r="G16" s="151"/>
      <c r="H16" s="152" t="s">
        <v>22</v>
      </c>
      <c r="I16" s="16">
        <v>44684</v>
      </c>
      <c r="J16" s="153" t="s">
        <v>41</v>
      </c>
      <c r="K16" s="154">
        <v>60</v>
      </c>
      <c r="L16" s="139" t="s">
        <v>24</v>
      </c>
      <c r="M16" s="16">
        <v>46510</v>
      </c>
      <c r="N16" s="139" t="s">
        <v>25</v>
      </c>
      <c r="O16" s="9"/>
      <c r="P16" s="50">
        <v>5564.4895361915424</v>
      </c>
      <c r="Q16" s="50">
        <v>0</v>
      </c>
      <c r="R16" s="50">
        <v>1905.1670188456699</v>
      </c>
      <c r="S16" s="50">
        <v>0</v>
      </c>
      <c r="T16" s="50">
        <v>0</v>
      </c>
      <c r="U16" s="50">
        <v>0</v>
      </c>
      <c r="V16" s="50">
        <v>0</v>
      </c>
      <c r="W16" s="50">
        <v>0</v>
      </c>
      <c r="X16" s="50">
        <v>0</v>
      </c>
      <c r="Y16" s="50">
        <v>0</v>
      </c>
      <c r="Z16" s="61"/>
      <c r="AC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row>
    <row r="17" spans="1:92" ht="27.95" customHeight="1" x14ac:dyDescent="0.3">
      <c r="A17" s="45"/>
      <c r="B17" s="111" t="s">
        <v>42</v>
      </c>
      <c r="C17" s="111"/>
      <c r="D17" s="111"/>
      <c r="E17" s="111"/>
      <c r="F17" s="112">
        <v>16.659447821592472</v>
      </c>
      <c r="G17" s="113">
        <v>2.5857857596246498E-2</v>
      </c>
      <c r="H17" s="111"/>
      <c r="I17" s="111"/>
      <c r="J17" s="111"/>
      <c r="K17" s="111"/>
      <c r="L17" s="111"/>
      <c r="M17" s="111"/>
      <c r="N17" s="111"/>
      <c r="O17" s="9"/>
      <c r="P17" s="124">
        <v>9876.3085432575663</v>
      </c>
      <c r="Q17" s="124">
        <v>0</v>
      </c>
      <c r="R17" s="124">
        <v>11727.516333607688</v>
      </c>
      <c r="S17" s="124">
        <v>0</v>
      </c>
      <c r="T17" s="124">
        <v>10571.04442520554</v>
      </c>
      <c r="U17" s="124">
        <v>0</v>
      </c>
      <c r="V17" s="124">
        <v>8672.9041107554804</v>
      </c>
      <c r="W17" s="124">
        <v>0</v>
      </c>
      <c r="X17" s="124">
        <v>5558.81086676411</v>
      </c>
      <c r="Y17" s="124">
        <v>0</v>
      </c>
      <c r="Z17" s="61"/>
      <c r="AC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row>
    <row r="18" spans="1:92" ht="27.95" customHeight="1" x14ac:dyDescent="0.3">
      <c r="A18" s="45"/>
      <c r="B18" s="102" t="s">
        <v>43</v>
      </c>
      <c r="C18" s="102" t="s">
        <v>44</v>
      </c>
      <c r="D18" s="102" t="s">
        <v>17</v>
      </c>
      <c r="E18" s="139">
        <v>23035.981419</v>
      </c>
      <c r="F18" s="140">
        <v>16.659447821592472</v>
      </c>
      <c r="G18" s="151"/>
      <c r="H18" s="152" t="s">
        <v>22</v>
      </c>
      <c r="I18" s="16">
        <v>45870</v>
      </c>
      <c r="J18" s="153" t="s">
        <v>45</v>
      </c>
      <c r="K18" s="154">
        <v>96</v>
      </c>
      <c r="L18" s="139" t="s">
        <v>46</v>
      </c>
      <c r="M18" s="16">
        <v>11171</v>
      </c>
      <c r="N18" s="139" t="s">
        <v>47</v>
      </c>
      <c r="O18" s="9"/>
      <c r="P18" s="50">
        <v>9876.3085432575663</v>
      </c>
      <c r="Q18" s="50">
        <v>0</v>
      </c>
      <c r="R18" s="50">
        <v>11727.516333607688</v>
      </c>
      <c r="S18" s="50">
        <v>0</v>
      </c>
      <c r="T18" s="50">
        <v>10571.04442520554</v>
      </c>
      <c r="U18" s="50">
        <v>0</v>
      </c>
      <c r="V18" s="50">
        <v>8672.9041107554804</v>
      </c>
      <c r="W18" s="50">
        <v>0</v>
      </c>
      <c r="X18" s="50">
        <v>5558.81086676411</v>
      </c>
      <c r="Y18" s="50">
        <v>0</v>
      </c>
      <c r="Z18" s="61"/>
      <c r="AC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row>
    <row r="19" spans="1:92" ht="27.95" customHeight="1" x14ac:dyDescent="0.3">
      <c r="A19" s="45"/>
      <c r="B19" s="111" t="s">
        <v>48</v>
      </c>
      <c r="C19" s="111"/>
      <c r="D19" s="111"/>
      <c r="E19" s="111"/>
      <c r="F19" s="112">
        <v>183.60550656999999</v>
      </c>
      <c r="G19" s="113">
        <v>0.2849821370802153</v>
      </c>
      <c r="H19" s="114"/>
      <c r="I19" s="111"/>
      <c r="J19" s="115"/>
      <c r="K19" s="111"/>
      <c r="L19" s="111"/>
      <c r="M19" s="111"/>
      <c r="N19" s="111"/>
      <c r="O19" s="19"/>
      <c r="P19" s="124">
        <v>0</v>
      </c>
      <c r="Q19" s="124">
        <v>23.142284811413369</v>
      </c>
      <c r="R19" s="124">
        <v>0</v>
      </c>
      <c r="S19" s="124">
        <v>22.25674406244017</v>
      </c>
      <c r="T19" s="124">
        <v>0</v>
      </c>
      <c r="U19" s="124">
        <v>20.900695666887188</v>
      </c>
      <c r="V19" s="124">
        <v>0</v>
      </c>
      <c r="W19" s="124">
        <v>19.457677090279198</v>
      </c>
      <c r="X19" s="124">
        <v>0</v>
      </c>
      <c r="Y19" s="124">
        <v>8.0365826527192237</v>
      </c>
      <c r="Z19" s="66"/>
      <c r="AC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row>
    <row r="20" spans="1:92" ht="27.95" customHeight="1" x14ac:dyDescent="0.3">
      <c r="A20" s="45"/>
      <c r="B20" s="116" t="s">
        <v>49</v>
      </c>
      <c r="C20" s="116"/>
      <c r="D20" s="116"/>
      <c r="E20" s="116"/>
      <c r="F20" s="117">
        <v>153.76965020999998</v>
      </c>
      <c r="G20" s="116"/>
      <c r="H20" s="118"/>
      <c r="I20" s="116"/>
      <c r="J20" s="119"/>
      <c r="K20" s="116"/>
      <c r="L20" s="116"/>
      <c r="M20" s="116"/>
      <c r="N20" s="116"/>
      <c r="O20" s="20"/>
      <c r="P20" s="126">
        <v>0</v>
      </c>
      <c r="Q20" s="126">
        <v>19.578987513760698</v>
      </c>
      <c r="R20" s="126">
        <v>0</v>
      </c>
      <c r="S20" s="126">
        <v>18.816415574016059</v>
      </c>
      <c r="T20" s="126">
        <v>0</v>
      </c>
      <c r="U20" s="126">
        <v>17.568940816019335</v>
      </c>
      <c r="V20" s="126">
        <v>0</v>
      </c>
      <c r="W20" s="126">
        <v>16.221920276286216</v>
      </c>
      <c r="X20" s="126">
        <v>0</v>
      </c>
      <c r="Y20" s="126">
        <v>7.1333712109580025</v>
      </c>
      <c r="Z20" s="62"/>
      <c r="AC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c r="BV20" s="62"/>
      <c r="BW20" s="62"/>
      <c r="BX20" s="62"/>
      <c r="BY20" s="62"/>
      <c r="BZ20" s="62"/>
    </row>
    <row r="21" spans="1:92" ht="27.95" customHeight="1" x14ac:dyDescent="0.3">
      <c r="A21" s="45"/>
      <c r="B21" s="5" t="s">
        <v>50</v>
      </c>
      <c r="C21" s="5" t="s">
        <v>51</v>
      </c>
      <c r="D21" s="5" t="s">
        <v>18</v>
      </c>
      <c r="E21" s="8">
        <v>43.896117949999997</v>
      </c>
      <c r="F21" s="8">
        <v>43.896117949999997</v>
      </c>
      <c r="G21" s="5"/>
      <c r="H21" s="24" t="s">
        <v>22</v>
      </c>
      <c r="I21" s="16">
        <v>44313</v>
      </c>
      <c r="J21" s="25" t="s">
        <v>52</v>
      </c>
      <c r="K21" s="17">
        <v>283</v>
      </c>
      <c r="L21" s="6" t="s">
        <v>53</v>
      </c>
      <c r="M21" s="16">
        <v>52916</v>
      </c>
      <c r="N21" s="6" t="s">
        <v>25</v>
      </c>
      <c r="O21" s="9"/>
      <c r="P21" s="50">
        <v>0</v>
      </c>
      <c r="Q21" s="50">
        <v>4.3572498026699202</v>
      </c>
      <c r="R21" s="50">
        <v>0</v>
      </c>
      <c r="S21" s="50">
        <v>4.1880485461224932</v>
      </c>
      <c r="T21" s="50">
        <v>0</v>
      </c>
      <c r="U21" s="50">
        <v>3.8625532930896052</v>
      </c>
      <c r="V21" s="50">
        <v>0</v>
      </c>
      <c r="W21" s="50">
        <v>3.5157024362575569</v>
      </c>
      <c r="X21" s="50">
        <v>0</v>
      </c>
      <c r="Y21" s="50">
        <v>1.4949647624308704</v>
      </c>
      <c r="Z21" s="61"/>
      <c r="AC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M21" s="67"/>
      <c r="CN21" s="29"/>
    </row>
    <row r="22" spans="1:92" ht="27.95" customHeight="1" x14ac:dyDescent="0.3">
      <c r="A22" s="45"/>
      <c r="B22" s="5" t="s">
        <v>54</v>
      </c>
      <c r="C22" s="5" t="s">
        <v>55</v>
      </c>
      <c r="D22" s="5" t="s">
        <v>18</v>
      </c>
      <c r="E22" s="8">
        <v>35.576528690000004</v>
      </c>
      <c r="F22" s="8">
        <v>35.576528690000004</v>
      </c>
      <c r="G22" s="145"/>
      <c r="H22" s="24" t="s">
        <v>22</v>
      </c>
      <c r="I22" s="16">
        <v>42050</v>
      </c>
      <c r="J22" s="25" t="s">
        <v>52</v>
      </c>
      <c r="K22" s="17">
        <v>300</v>
      </c>
      <c r="L22" s="6" t="s">
        <v>53</v>
      </c>
      <c r="M22" s="16">
        <v>51181</v>
      </c>
      <c r="N22" s="6" t="s">
        <v>25</v>
      </c>
      <c r="O22" s="9"/>
      <c r="P22" s="50">
        <v>0</v>
      </c>
      <c r="Q22" s="50">
        <v>4.3956915967213588</v>
      </c>
      <c r="R22" s="50">
        <v>0</v>
      </c>
      <c r="S22" s="50">
        <v>4.1110948563847076</v>
      </c>
      <c r="T22" s="50">
        <v>0</v>
      </c>
      <c r="U22" s="50">
        <v>3.8576340201723971</v>
      </c>
      <c r="V22" s="50">
        <v>0</v>
      </c>
      <c r="W22" s="50">
        <v>3.5117389572438689</v>
      </c>
      <c r="X22" s="50">
        <v>0</v>
      </c>
      <c r="Y22" s="50">
        <v>0</v>
      </c>
      <c r="Z22" s="61"/>
      <c r="AC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M22" s="67"/>
      <c r="CN22" s="29"/>
    </row>
    <row r="23" spans="1:92" ht="27.95" customHeight="1" x14ac:dyDescent="0.3">
      <c r="A23" s="45"/>
      <c r="B23" s="5" t="s">
        <v>56</v>
      </c>
      <c r="C23" s="5" t="s">
        <v>57</v>
      </c>
      <c r="D23" s="5" t="s">
        <v>18</v>
      </c>
      <c r="E23" s="8">
        <v>31.366853039999999</v>
      </c>
      <c r="F23" s="8">
        <v>31.366853039999999</v>
      </c>
      <c r="G23" s="5"/>
      <c r="H23" s="24" t="s">
        <v>22</v>
      </c>
      <c r="I23" s="16">
        <v>39557</v>
      </c>
      <c r="J23" s="25" t="s">
        <v>52</v>
      </c>
      <c r="K23" s="17">
        <v>344</v>
      </c>
      <c r="L23" s="6" t="s">
        <v>53</v>
      </c>
      <c r="M23" s="16">
        <v>50028</v>
      </c>
      <c r="N23" s="6" t="s">
        <v>25</v>
      </c>
      <c r="O23" s="9"/>
      <c r="P23" s="50">
        <v>0</v>
      </c>
      <c r="Q23" s="50">
        <v>4.3651479860132012</v>
      </c>
      <c r="R23" s="50">
        <v>0</v>
      </c>
      <c r="S23" s="50">
        <v>4.1177928110423814</v>
      </c>
      <c r="T23" s="50">
        <v>0</v>
      </c>
      <c r="U23" s="50">
        <v>3.8336970122090057</v>
      </c>
      <c r="V23" s="50">
        <v>0</v>
      </c>
      <c r="W23" s="50">
        <v>3.5803372137650245</v>
      </c>
      <c r="X23" s="50">
        <v>0</v>
      </c>
      <c r="Y23" s="50">
        <v>0</v>
      </c>
      <c r="Z23" s="61"/>
      <c r="AC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M23" s="67"/>
      <c r="CN23" s="29"/>
    </row>
    <row r="24" spans="1:92" ht="27.95" customHeight="1" x14ac:dyDescent="0.3">
      <c r="A24" s="45"/>
      <c r="B24" s="5" t="s">
        <v>58</v>
      </c>
      <c r="C24" s="5" t="s">
        <v>59</v>
      </c>
      <c r="D24" s="5" t="s">
        <v>18</v>
      </c>
      <c r="E24" s="8">
        <v>21.689141549999999</v>
      </c>
      <c r="F24" s="8">
        <v>21.689141549999999</v>
      </c>
      <c r="G24" s="5"/>
      <c r="H24" s="24" t="s">
        <v>22</v>
      </c>
      <c r="I24" s="16">
        <v>39555</v>
      </c>
      <c r="J24" s="25" t="s">
        <v>52</v>
      </c>
      <c r="K24" s="17">
        <v>300</v>
      </c>
      <c r="L24" s="6" t="s">
        <v>53</v>
      </c>
      <c r="M24" s="16">
        <v>48686</v>
      </c>
      <c r="N24" s="6" t="s">
        <v>25</v>
      </c>
      <c r="O24" s="9"/>
      <c r="P24" s="50">
        <v>0</v>
      </c>
      <c r="Q24" s="50">
        <v>3.7970006099999973</v>
      </c>
      <c r="R24" s="50">
        <v>0</v>
      </c>
      <c r="S24" s="50">
        <v>3.8887683999999947</v>
      </c>
      <c r="T24" s="50">
        <v>0</v>
      </c>
      <c r="U24" s="50">
        <v>3.6522589099999947</v>
      </c>
      <c r="V24" s="50">
        <v>0</v>
      </c>
      <c r="W24" s="50">
        <v>3.4128171299999948</v>
      </c>
      <c r="X24" s="50">
        <v>0</v>
      </c>
      <c r="Y24" s="50">
        <v>3.2733528918253025</v>
      </c>
      <c r="Z24" s="61"/>
      <c r="AC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M24" s="67"/>
      <c r="CN24" s="29"/>
    </row>
    <row r="25" spans="1:92" ht="27.95" customHeight="1" x14ac:dyDescent="0.3">
      <c r="A25" s="45"/>
      <c r="B25" s="5" t="s">
        <v>60</v>
      </c>
      <c r="C25" s="5" t="s">
        <v>61</v>
      </c>
      <c r="D25" s="5" t="s">
        <v>18</v>
      </c>
      <c r="E25" s="8">
        <v>13.17279285</v>
      </c>
      <c r="F25" s="8">
        <v>13.17279285</v>
      </c>
      <c r="G25" s="5"/>
      <c r="H25" s="24" t="s">
        <v>22</v>
      </c>
      <c r="I25" s="16">
        <v>43084</v>
      </c>
      <c r="J25" s="25" t="s">
        <v>52</v>
      </c>
      <c r="K25" s="17">
        <v>292</v>
      </c>
      <c r="L25" s="6" t="s">
        <v>53</v>
      </c>
      <c r="M25" s="16">
        <v>51971</v>
      </c>
      <c r="N25" s="6" t="s">
        <v>25</v>
      </c>
      <c r="O25" s="9"/>
      <c r="P25" s="50">
        <v>0</v>
      </c>
      <c r="Q25" s="50">
        <v>1.4011824018053116</v>
      </c>
      <c r="R25" s="50">
        <v>0</v>
      </c>
      <c r="S25" s="50">
        <v>1.3027356819342271</v>
      </c>
      <c r="T25" s="50">
        <v>0</v>
      </c>
      <c r="U25" s="50">
        <v>1.2116325920525999</v>
      </c>
      <c r="V25" s="50">
        <v>0</v>
      </c>
      <c r="W25" s="50">
        <v>1.1027405874096328</v>
      </c>
      <c r="X25" s="50">
        <v>0</v>
      </c>
      <c r="Y25" s="50">
        <v>0.84399847130324002</v>
      </c>
      <c r="Z25" s="61"/>
      <c r="AC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M25" s="67"/>
      <c r="CN25" s="29"/>
    </row>
    <row r="26" spans="1:92" ht="27.95" customHeight="1" x14ac:dyDescent="0.3">
      <c r="A26" s="45"/>
      <c r="B26" s="5" t="s">
        <v>62</v>
      </c>
      <c r="C26" s="5" t="s">
        <v>63</v>
      </c>
      <c r="D26" s="5" t="s">
        <v>18</v>
      </c>
      <c r="E26" s="8">
        <v>4.8438638300000001</v>
      </c>
      <c r="F26" s="8">
        <v>4.8438638300000001</v>
      </c>
      <c r="G26" s="148"/>
      <c r="H26" s="24" t="s">
        <v>22</v>
      </c>
      <c r="I26" s="16">
        <v>44774</v>
      </c>
      <c r="J26" s="25" t="s">
        <v>64</v>
      </c>
      <c r="K26" s="17">
        <v>173</v>
      </c>
      <c r="L26" s="6" t="s">
        <v>53</v>
      </c>
      <c r="M26" s="16">
        <v>50055</v>
      </c>
      <c r="N26" s="6" t="s">
        <v>25</v>
      </c>
      <c r="O26" s="9"/>
      <c r="P26" s="50">
        <v>0</v>
      </c>
      <c r="Q26" s="50">
        <v>0.67942757743975801</v>
      </c>
      <c r="R26" s="50">
        <v>0</v>
      </c>
      <c r="S26" s="50">
        <v>0.65871013398918787</v>
      </c>
      <c r="T26" s="50">
        <v>0</v>
      </c>
      <c r="U26" s="50">
        <v>0.63367974632479207</v>
      </c>
      <c r="V26" s="50">
        <v>0</v>
      </c>
      <c r="W26" s="50">
        <v>0.61138454136520137</v>
      </c>
      <c r="X26" s="50">
        <v>0</v>
      </c>
      <c r="Y26" s="50">
        <v>0.98566970842501522</v>
      </c>
      <c r="Z26" s="61"/>
      <c r="AC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M26" s="67"/>
      <c r="CN26" s="29"/>
    </row>
    <row r="27" spans="1:92" ht="27.95" customHeight="1" x14ac:dyDescent="0.3">
      <c r="A27" s="45"/>
      <c r="B27" s="5" t="s">
        <v>65</v>
      </c>
      <c r="C27" s="5" t="s">
        <v>66</v>
      </c>
      <c r="D27" s="5" t="s">
        <v>18</v>
      </c>
      <c r="E27" s="8">
        <v>2.7567195899999999</v>
      </c>
      <c r="F27" s="8">
        <v>2.7567195899999999</v>
      </c>
      <c r="G27" s="148"/>
      <c r="H27" s="24" t="s">
        <v>22</v>
      </c>
      <c r="I27" s="16">
        <v>40852</v>
      </c>
      <c r="J27" s="25" t="s">
        <v>52</v>
      </c>
      <c r="K27" s="17">
        <v>252</v>
      </c>
      <c r="L27" s="6" t="s">
        <v>53</v>
      </c>
      <c r="M27" s="16">
        <v>48523</v>
      </c>
      <c r="N27" s="6" t="s">
        <v>25</v>
      </c>
      <c r="O27" s="9"/>
      <c r="P27" s="50">
        <v>0</v>
      </c>
      <c r="Q27" s="50">
        <v>0.55232468447741367</v>
      </c>
      <c r="R27" s="50">
        <v>0</v>
      </c>
      <c r="S27" s="50">
        <v>0.51830228708466686</v>
      </c>
      <c r="T27" s="50">
        <v>0</v>
      </c>
      <c r="U27" s="50">
        <v>0.48652238127581071</v>
      </c>
      <c r="V27" s="50">
        <v>0</v>
      </c>
      <c r="W27" s="50">
        <v>0.45623655274793634</v>
      </c>
      <c r="X27" s="50">
        <v>0</v>
      </c>
      <c r="Y27" s="50">
        <v>0</v>
      </c>
      <c r="Z27" s="61"/>
      <c r="AC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M27" s="67"/>
      <c r="CN27" s="29"/>
    </row>
    <row r="28" spans="1:92" ht="27.95" customHeight="1" x14ac:dyDescent="0.3">
      <c r="A28" s="45"/>
      <c r="B28" s="5" t="s">
        <v>69</v>
      </c>
      <c r="C28" s="5" t="s">
        <v>70</v>
      </c>
      <c r="D28" s="5" t="s">
        <v>18</v>
      </c>
      <c r="E28" s="8">
        <v>0.40241737999999999</v>
      </c>
      <c r="F28" s="8">
        <v>0.40241737999999999</v>
      </c>
      <c r="G28" s="148"/>
      <c r="H28" s="24" t="s">
        <v>22</v>
      </c>
      <c r="I28" s="16">
        <v>40360</v>
      </c>
      <c r="J28" s="25" t="s">
        <v>52</v>
      </c>
      <c r="K28" s="17">
        <v>290</v>
      </c>
      <c r="L28" s="6" t="s">
        <v>32</v>
      </c>
      <c r="M28" s="16">
        <v>49188</v>
      </c>
      <c r="N28" s="6" t="s">
        <v>25</v>
      </c>
      <c r="O28" s="9"/>
      <c r="P28" s="50">
        <v>0</v>
      </c>
      <c r="Q28" s="50">
        <v>3.0962854633739899E-2</v>
      </c>
      <c r="R28" s="50">
        <v>0</v>
      </c>
      <c r="S28" s="50">
        <v>3.0962857458399686E-2</v>
      </c>
      <c r="T28" s="50">
        <v>0</v>
      </c>
      <c r="U28" s="50">
        <v>3.0962860895128431E-2</v>
      </c>
      <c r="V28" s="50">
        <v>0</v>
      </c>
      <c r="W28" s="50">
        <v>3.0962857497001992E-2</v>
      </c>
      <c r="X28" s="50">
        <v>0</v>
      </c>
      <c r="Y28" s="50">
        <v>0.53538537697357469</v>
      </c>
      <c r="Z28" s="61"/>
      <c r="AC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M28" s="67"/>
      <c r="CN28" s="29"/>
    </row>
    <row r="29" spans="1:92" ht="27.95" customHeight="1" x14ac:dyDescent="0.3">
      <c r="A29" s="45"/>
      <c r="B29" s="5" t="s">
        <v>71</v>
      </c>
      <c r="C29" s="5" t="s">
        <v>72</v>
      </c>
      <c r="D29" s="5" t="s">
        <v>18</v>
      </c>
      <c r="E29" s="8">
        <v>6.5215330000000002E-2</v>
      </c>
      <c r="F29" s="8">
        <v>6.5215330000000002E-2</v>
      </c>
      <c r="G29" s="148"/>
      <c r="H29" s="24" t="s">
        <v>22</v>
      </c>
      <c r="I29" s="16">
        <v>40360</v>
      </c>
      <c r="J29" s="25" t="s">
        <v>52</v>
      </c>
      <c r="K29" s="17">
        <v>158</v>
      </c>
      <c r="L29" s="6" t="s">
        <v>32</v>
      </c>
      <c r="M29" s="16">
        <v>45170</v>
      </c>
      <c r="N29" s="6" t="s">
        <v>25</v>
      </c>
      <c r="O29" s="9"/>
      <c r="P29" s="50">
        <v>0</v>
      </c>
      <c r="Q29" s="50">
        <v>0</v>
      </c>
      <c r="R29" s="50">
        <v>0</v>
      </c>
      <c r="S29" s="50">
        <v>0</v>
      </c>
      <c r="T29" s="50">
        <v>0</v>
      </c>
      <c r="U29" s="50">
        <v>0</v>
      </c>
      <c r="V29" s="50">
        <v>0</v>
      </c>
      <c r="W29" s="50">
        <v>0</v>
      </c>
      <c r="X29" s="50">
        <v>0</v>
      </c>
      <c r="Y29" s="50">
        <v>0</v>
      </c>
      <c r="Z29" s="61"/>
      <c r="AC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M29" s="67"/>
      <c r="CN29" s="29"/>
    </row>
    <row r="30" spans="1:92" ht="27.95" customHeight="1" x14ac:dyDescent="0.3">
      <c r="A30" s="45"/>
      <c r="B30" s="116" t="s">
        <v>73</v>
      </c>
      <c r="C30" s="116"/>
      <c r="D30" s="116"/>
      <c r="E30" s="116"/>
      <c r="F30" s="117">
        <v>29.835856360000001</v>
      </c>
      <c r="G30" s="116"/>
      <c r="H30" s="118"/>
      <c r="I30" s="116"/>
      <c r="J30" s="119"/>
      <c r="K30" s="116"/>
      <c r="L30" s="116"/>
      <c r="M30" s="116"/>
      <c r="N30" s="116"/>
      <c r="O30" s="20"/>
      <c r="P30" s="126">
        <v>0</v>
      </c>
      <c r="Q30" s="126">
        <v>3.5632972976526709</v>
      </c>
      <c r="R30" s="126">
        <v>0</v>
      </c>
      <c r="S30" s="126">
        <v>3.4403284884241119</v>
      </c>
      <c r="T30" s="126">
        <v>0</v>
      </c>
      <c r="U30" s="126">
        <v>3.3317548508678527</v>
      </c>
      <c r="V30" s="126">
        <v>0</v>
      </c>
      <c r="W30" s="126">
        <v>3.2357568139929804</v>
      </c>
      <c r="X30" s="126">
        <v>0</v>
      </c>
      <c r="Y30" s="126">
        <v>0.90321144176122192</v>
      </c>
      <c r="Z30" s="62"/>
      <c r="AC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M30" s="67"/>
      <c r="CN30" s="29"/>
    </row>
    <row r="31" spans="1:92" ht="27.95" customHeight="1" x14ac:dyDescent="0.3">
      <c r="A31" s="45"/>
      <c r="B31" s="5" t="s">
        <v>74</v>
      </c>
      <c r="C31" s="5" t="s">
        <v>75</v>
      </c>
      <c r="D31" s="5" t="s">
        <v>18</v>
      </c>
      <c r="E31" s="8">
        <v>22.30697129</v>
      </c>
      <c r="F31" s="8">
        <v>22.30697129</v>
      </c>
      <c r="G31" s="146"/>
      <c r="H31" s="24" t="s">
        <v>22</v>
      </c>
      <c r="I31" s="16">
        <v>39706</v>
      </c>
      <c r="J31" s="25" t="s">
        <v>52</v>
      </c>
      <c r="K31" s="17">
        <v>360</v>
      </c>
      <c r="L31" s="6" t="s">
        <v>53</v>
      </c>
      <c r="M31" s="16">
        <v>50663</v>
      </c>
      <c r="N31" s="6" t="s">
        <v>25</v>
      </c>
      <c r="O31" s="9"/>
      <c r="P31" s="50">
        <v>0</v>
      </c>
      <c r="Q31" s="50">
        <v>2.6426035916249653</v>
      </c>
      <c r="R31" s="50">
        <v>0</v>
      </c>
      <c r="S31" s="50">
        <v>2.5936396585922186</v>
      </c>
      <c r="T31" s="50">
        <v>0</v>
      </c>
      <c r="U31" s="50">
        <v>2.5171687121671731</v>
      </c>
      <c r="V31" s="50">
        <v>0</v>
      </c>
      <c r="W31" s="50">
        <v>2.447147934459859</v>
      </c>
      <c r="X31" s="50">
        <v>0</v>
      </c>
      <c r="Y31" s="50">
        <v>0</v>
      </c>
      <c r="Z31" s="61"/>
      <c r="AC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M31" s="67"/>
      <c r="CN31" s="29"/>
    </row>
    <row r="32" spans="1:92" ht="27.95" customHeight="1" x14ac:dyDescent="0.3">
      <c r="A32" s="45"/>
      <c r="B32" s="5" t="s">
        <v>78</v>
      </c>
      <c r="C32" s="5" t="s">
        <v>79</v>
      </c>
      <c r="D32" s="5" t="s">
        <v>18</v>
      </c>
      <c r="E32" s="8">
        <v>4.2615963099999998</v>
      </c>
      <c r="F32" s="8">
        <v>4.2615963099999998</v>
      </c>
      <c r="G32" s="146"/>
      <c r="H32" s="24" t="s">
        <v>22</v>
      </c>
      <c r="I32" s="106">
        <v>43918</v>
      </c>
      <c r="J32" s="25" t="s">
        <v>64</v>
      </c>
      <c r="K32" s="17">
        <v>180</v>
      </c>
      <c r="L32" s="6" t="s">
        <v>53</v>
      </c>
      <c r="M32" s="106">
        <v>49396</v>
      </c>
      <c r="N32" s="6" t="s">
        <v>25</v>
      </c>
      <c r="O32" s="9"/>
      <c r="P32" s="50">
        <v>0</v>
      </c>
      <c r="Q32" s="50">
        <v>0.65401327986795488</v>
      </c>
      <c r="R32" s="50">
        <v>0</v>
      </c>
      <c r="S32" s="50">
        <v>0.5873122275123922</v>
      </c>
      <c r="T32" s="50">
        <v>0</v>
      </c>
      <c r="U32" s="50">
        <v>0.56275199638117912</v>
      </c>
      <c r="V32" s="50">
        <v>0</v>
      </c>
      <c r="W32" s="50">
        <v>0.54227261721362041</v>
      </c>
      <c r="X32" s="50">
        <v>0</v>
      </c>
      <c r="Y32" s="50">
        <v>0</v>
      </c>
      <c r="Z32" s="61"/>
      <c r="AC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M32" s="67"/>
      <c r="CN32" s="29"/>
    </row>
    <row r="33" spans="1:94" ht="27.95" customHeight="1" x14ac:dyDescent="0.3">
      <c r="A33" s="45"/>
      <c r="B33" s="5" t="s">
        <v>80</v>
      </c>
      <c r="C33" s="5" t="s">
        <v>81</v>
      </c>
      <c r="D33" s="5" t="s">
        <v>18</v>
      </c>
      <c r="E33" s="8">
        <v>3.26728876</v>
      </c>
      <c r="F33" s="8">
        <v>3.26728876</v>
      </c>
      <c r="G33" s="146"/>
      <c r="H33" s="24" t="s">
        <v>22</v>
      </c>
      <c r="I33" s="16">
        <v>44837</v>
      </c>
      <c r="J33" s="25" t="s">
        <v>64</v>
      </c>
      <c r="K33" s="17">
        <v>327</v>
      </c>
      <c r="L33" s="6" t="s">
        <v>53</v>
      </c>
      <c r="M33" s="16">
        <v>54803</v>
      </c>
      <c r="N33" s="6" t="s">
        <v>25</v>
      </c>
      <c r="O33" s="9"/>
      <c r="P33" s="50">
        <v>0</v>
      </c>
      <c r="Q33" s="50">
        <v>0.26668042615975052</v>
      </c>
      <c r="R33" s="50">
        <v>0</v>
      </c>
      <c r="S33" s="50">
        <v>0.25937660231950099</v>
      </c>
      <c r="T33" s="50">
        <v>0</v>
      </c>
      <c r="U33" s="50">
        <v>0.25183414231950096</v>
      </c>
      <c r="V33" s="50">
        <v>0</v>
      </c>
      <c r="W33" s="50">
        <v>0.24633626231950098</v>
      </c>
      <c r="X33" s="50">
        <v>0</v>
      </c>
      <c r="Y33" s="50">
        <v>0.90321144176122192</v>
      </c>
      <c r="Z33" s="61"/>
      <c r="AC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M33" s="67"/>
      <c r="CN33" s="29"/>
    </row>
    <row r="34" spans="1:94" ht="27.95" customHeight="1" x14ac:dyDescent="0.3">
      <c r="A34" s="45"/>
      <c r="B34" s="111" t="s">
        <v>82</v>
      </c>
      <c r="C34" s="111"/>
      <c r="D34" s="111"/>
      <c r="E34" s="111"/>
      <c r="F34" s="112">
        <v>419.33380565740794</v>
      </c>
      <c r="G34" s="113">
        <v>0.65086634011527955</v>
      </c>
      <c r="H34" s="114"/>
      <c r="I34" s="111"/>
      <c r="J34" s="115"/>
      <c r="K34" s="111"/>
      <c r="L34" s="111"/>
      <c r="M34" s="111"/>
      <c r="N34" s="111"/>
      <c r="O34" s="9"/>
      <c r="P34" s="124">
        <v>203755.39266876376</v>
      </c>
      <c r="Q34" s="124">
        <v>94.588642213076923</v>
      </c>
      <c r="R34" s="124">
        <v>8300.9943367649103</v>
      </c>
      <c r="S34" s="124">
        <v>90.006148750000008</v>
      </c>
      <c r="T34" s="124">
        <v>1174.1206224821838</v>
      </c>
      <c r="U34" s="124">
        <v>85.423655288461546</v>
      </c>
      <c r="V34" s="124">
        <v>927.47412518062731</v>
      </c>
      <c r="W34" s="124">
        <v>40.993392596153853</v>
      </c>
      <c r="X34" s="124">
        <v>0</v>
      </c>
      <c r="Y34" s="124">
        <v>0</v>
      </c>
      <c r="Z34" s="66"/>
      <c r="AC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row>
    <row r="35" spans="1:94" ht="27.95" customHeight="1" x14ac:dyDescent="0.3">
      <c r="A35" s="45"/>
      <c r="B35" s="5" t="s">
        <v>83</v>
      </c>
      <c r="C35" s="5" t="s">
        <v>84</v>
      </c>
      <c r="D35" s="5" t="s">
        <v>18</v>
      </c>
      <c r="E35" s="8">
        <v>239.08661538000001</v>
      </c>
      <c r="F35" s="8">
        <v>239.08661538000001</v>
      </c>
      <c r="G35" s="194"/>
      <c r="H35" s="24" t="s">
        <v>85</v>
      </c>
      <c r="I35" s="16">
        <v>43970</v>
      </c>
      <c r="J35" s="25">
        <v>5.7500000000000002E-2</v>
      </c>
      <c r="K35" s="17">
        <v>106</v>
      </c>
      <c r="L35" s="6" t="s">
        <v>53</v>
      </c>
      <c r="M35" s="16">
        <v>47196</v>
      </c>
      <c r="N35" s="6" t="s">
        <v>86</v>
      </c>
      <c r="O35" s="182"/>
      <c r="P35" s="50">
        <v>0</v>
      </c>
      <c r="Q35" s="50">
        <v>94.588642213076923</v>
      </c>
      <c r="R35" s="50">
        <v>0</v>
      </c>
      <c r="S35" s="50">
        <v>90.006148750000008</v>
      </c>
      <c r="T35" s="50">
        <v>0</v>
      </c>
      <c r="U35" s="50">
        <v>85.423655288461546</v>
      </c>
      <c r="V35" s="50">
        <v>0</v>
      </c>
      <c r="W35" s="50">
        <v>40.993392596153853</v>
      </c>
      <c r="X35" s="50">
        <v>0</v>
      </c>
      <c r="Y35" s="50">
        <v>0</v>
      </c>
      <c r="Z35" s="61"/>
      <c r="AC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M35" s="67"/>
      <c r="CN35" s="29"/>
    </row>
    <row r="36" spans="1:94" ht="27.95" customHeight="1" x14ac:dyDescent="0.3">
      <c r="A36" s="45"/>
      <c r="B36" s="5" t="s">
        <v>87</v>
      </c>
      <c r="C36" s="5" t="s">
        <v>88</v>
      </c>
      <c r="D36" s="5" t="s">
        <v>17</v>
      </c>
      <c r="E36" s="139">
        <v>116739.78</v>
      </c>
      <c r="F36" s="8">
        <v>84.42532741453347</v>
      </c>
      <c r="G36" s="150"/>
      <c r="H36" s="24" t="s">
        <v>22</v>
      </c>
      <c r="I36" s="106">
        <v>45736</v>
      </c>
      <c r="J36" s="25" t="s">
        <v>89</v>
      </c>
      <c r="K36" s="17">
        <v>15</v>
      </c>
      <c r="L36" s="6" t="s">
        <v>32</v>
      </c>
      <c r="M36" s="106">
        <v>46193</v>
      </c>
      <c r="N36" s="6" t="s">
        <v>86</v>
      </c>
      <c r="O36" s="183"/>
      <c r="P36" s="50">
        <v>96504.80079044</v>
      </c>
      <c r="Q36" s="50">
        <v>0</v>
      </c>
      <c r="R36" s="50">
        <v>0</v>
      </c>
      <c r="S36" s="50">
        <v>0</v>
      </c>
      <c r="T36" s="50">
        <v>0</v>
      </c>
      <c r="U36" s="50">
        <v>0</v>
      </c>
      <c r="V36" s="50">
        <v>0</v>
      </c>
      <c r="W36" s="50">
        <v>0</v>
      </c>
      <c r="X36" s="50">
        <v>0</v>
      </c>
      <c r="Y36" s="50">
        <v>0</v>
      </c>
      <c r="Z36" s="61"/>
      <c r="AC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M36" s="67"/>
      <c r="CN36" s="29"/>
    </row>
    <row r="37" spans="1:94" ht="27.95" customHeight="1" x14ac:dyDescent="0.3">
      <c r="A37" s="45"/>
      <c r="B37" s="5" t="s">
        <v>90</v>
      </c>
      <c r="C37" s="5" t="s">
        <v>91</v>
      </c>
      <c r="D37" s="5" t="s">
        <v>17</v>
      </c>
      <c r="E37" s="139">
        <v>107878.876</v>
      </c>
      <c r="F37" s="8">
        <v>78.017188548855046</v>
      </c>
      <c r="G37" s="150"/>
      <c r="H37" s="24" t="s">
        <v>22</v>
      </c>
      <c r="I37" s="106">
        <v>45736</v>
      </c>
      <c r="J37" s="25" t="s">
        <v>92</v>
      </c>
      <c r="K37" s="17">
        <v>21</v>
      </c>
      <c r="L37" s="6" t="s">
        <v>32</v>
      </c>
      <c r="M37" s="106">
        <v>46376</v>
      </c>
      <c r="N37" s="6" t="s">
        <v>86</v>
      </c>
      <c r="O37" s="9"/>
      <c r="P37" s="50">
        <v>91697.159350660004</v>
      </c>
      <c r="Q37" s="50">
        <v>0</v>
      </c>
      <c r="R37" s="50">
        <v>0</v>
      </c>
      <c r="S37" s="50">
        <v>0</v>
      </c>
      <c r="T37" s="50">
        <v>0</v>
      </c>
      <c r="U37" s="50">
        <v>0</v>
      </c>
      <c r="V37" s="50">
        <v>0</v>
      </c>
      <c r="W37" s="50">
        <v>0</v>
      </c>
      <c r="X37" s="50">
        <v>0</v>
      </c>
      <c r="Y37" s="50">
        <v>0</v>
      </c>
      <c r="Z37" s="61"/>
      <c r="AC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M37" s="67"/>
      <c r="CN37" s="29"/>
    </row>
    <row r="38" spans="1:94" ht="27.95" customHeight="1" x14ac:dyDescent="0.3">
      <c r="A38" s="45"/>
      <c r="B38" s="5" t="s">
        <v>93</v>
      </c>
      <c r="C38" s="5" t="s">
        <v>94</v>
      </c>
      <c r="D38" s="5" t="s">
        <v>95</v>
      </c>
      <c r="E38" s="139">
        <v>20554.007399999999</v>
      </c>
      <c r="F38" s="8">
        <v>14.864502951999256</v>
      </c>
      <c r="G38" s="150"/>
      <c r="H38" s="24" t="s">
        <v>22</v>
      </c>
      <c r="I38" s="106">
        <v>45363</v>
      </c>
      <c r="J38" s="25" t="s">
        <v>96</v>
      </c>
      <c r="K38" s="17">
        <v>36</v>
      </c>
      <c r="L38" s="6" t="s">
        <v>97</v>
      </c>
      <c r="M38" s="106">
        <v>46458</v>
      </c>
      <c r="N38" s="6" t="s">
        <v>86</v>
      </c>
      <c r="O38" s="9"/>
      <c r="P38" s="50">
        <v>13701.301332839999</v>
      </c>
      <c r="Q38" s="50">
        <v>0</v>
      </c>
      <c r="R38" s="50">
        <v>6852.7060671600002</v>
      </c>
      <c r="S38" s="50">
        <v>0</v>
      </c>
      <c r="T38" s="50">
        <v>0</v>
      </c>
      <c r="U38" s="50">
        <v>0</v>
      </c>
      <c r="V38" s="50">
        <v>0</v>
      </c>
      <c r="W38" s="50">
        <v>0</v>
      </c>
      <c r="X38" s="50">
        <v>0</v>
      </c>
      <c r="Y38" s="50">
        <v>0</v>
      </c>
      <c r="Z38" s="61"/>
      <c r="AC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row>
    <row r="39" spans="1:94" ht="27.95" customHeight="1" x14ac:dyDescent="0.3">
      <c r="A39" s="45"/>
      <c r="B39" s="5" t="s">
        <v>98</v>
      </c>
      <c r="C39" s="5" t="s">
        <v>99</v>
      </c>
      <c r="D39" s="5" t="s">
        <v>17</v>
      </c>
      <c r="E39" s="139">
        <v>4065.5448841699999</v>
      </c>
      <c r="F39" s="8">
        <v>2.9401713620201599</v>
      </c>
      <c r="G39" s="150"/>
      <c r="H39" s="24" t="s">
        <v>22</v>
      </c>
      <c r="I39" s="16">
        <v>44635</v>
      </c>
      <c r="J39" s="25" t="s">
        <v>100</v>
      </c>
      <c r="K39" s="17">
        <v>108</v>
      </c>
      <c r="L39" s="6" t="s">
        <v>32</v>
      </c>
      <c r="M39" s="16">
        <v>47922</v>
      </c>
      <c r="N39" s="6" t="s">
        <v>86</v>
      </c>
      <c r="O39" s="9"/>
      <c r="P39" s="50">
        <v>1852.1311948237803</v>
      </c>
      <c r="Q39" s="50">
        <v>0</v>
      </c>
      <c r="R39" s="50">
        <v>1448.288269604911</v>
      </c>
      <c r="S39" s="50">
        <v>0</v>
      </c>
      <c r="T39" s="50">
        <v>1174.1206224821838</v>
      </c>
      <c r="U39" s="50">
        <v>0</v>
      </c>
      <c r="V39" s="50">
        <v>927.47412518062731</v>
      </c>
      <c r="W39" s="50">
        <v>0</v>
      </c>
      <c r="X39" s="50">
        <v>0</v>
      </c>
      <c r="Y39" s="50">
        <v>0</v>
      </c>
      <c r="Z39" s="61"/>
      <c r="AC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row>
    <row r="40" spans="1:94" ht="24" customHeight="1" x14ac:dyDescent="0.3">
      <c r="A40" s="45"/>
      <c r="B40" s="11"/>
      <c r="C40" s="9"/>
      <c r="D40" s="9"/>
      <c r="E40" s="9"/>
      <c r="F40" s="83"/>
      <c r="G40" s="9"/>
      <c r="H40" s="9"/>
      <c r="I40" s="9"/>
      <c r="J40" s="9"/>
      <c r="K40" s="9"/>
      <c r="L40" s="9"/>
      <c r="M40" s="9"/>
      <c r="N40" s="9"/>
      <c r="O40" s="21"/>
      <c r="P40" s="125">
        <v>235071.07205736203</v>
      </c>
      <c r="Q40" s="125">
        <v>117.73092702449028</v>
      </c>
      <c r="R40" s="125">
        <v>34559.297752214916</v>
      </c>
      <c r="S40" s="125">
        <v>112.26289281244019</v>
      </c>
      <c r="T40" s="125">
        <v>18756.852284807661</v>
      </c>
      <c r="U40" s="125">
        <v>106.32435095534873</v>
      </c>
      <c r="V40" s="125">
        <v>9948.5416472058951</v>
      </c>
      <c r="W40" s="125">
        <v>60.451069686433051</v>
      </c>
      <c r="X40" s="125">
        <v>5839.7549066435158</v>
      </c>
      <c r="Y40" s="125">
        <v>8.0365826527192237</v>
      </c>
      <c r="Z40" s="51"/>
      <c r="AC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row>
    <row r="41" spans="1:94" ht="29.25" customHeight="1" x14ac:dyDescent="0.3">
      <c r="B41" s="227" t="s">
        <v>101</v>
      </c>
      <c r="C41" s="225"/>
      <c r="D41" s="225"/>
      <c r="E41" s="59"/>
      <c r="F41" s="22">
        <v>644.27022848214392</v>
      </c>
      <c r="G41" s="185"/>
      <c r="H41" s="23"/>
      <c r="I41" s="21"/>
      <c r="J41" s="21"/>
      <c r="K41" s="21"/>
      <c r="L41" s="21"/>
      <c r="M41" s="21"/>
      <c r="N41" s="21"/>
      <c r="O41" s="55"/>
      <c r="P41" s="54"/>
      <c r="Q41" s="54"/>
      <c r="R41" s="54"/>
      <c r="S41" s="54"/>
      <c r="T41" s="54"/>
      <c r="U41" s="54"/>
      <c r="V41" s="54"/>
      <c r="W41" s="54"/>
      <c r="X41" s="54"/>
      <c r="Y41" s="54"/>
      <c r="Z41" s="63"/>
      <c r="AC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63"/>
      <c r="BX41" s="63"/>
      <c r="BY41" s="63"/>
      <c r="BZ41" s="63"/>
    </row>
    <row r="42" spans="1:94" x14ac:dyDescent="0.3">
      <c r="B42" s="23"/>
      <c r="C42" s="23"/>
      <c r="D42" s="23"/>
      <c r="E42" s="12"/>
      <c r="F42" s="70"/>
      <c r="G42" s="144"/>
      <c r="H42" s="23"/>
      <c r="I42" s="23"/>
      <c r="J42" s="23"/>
      <c r="K42" s="23"/>
      <c r="L42" s="23"/>
      <c r="M42" s="23"/>
      <c r="N42" s="23"/>
      <c r="O42" s="23"/>
      <c r="P42" s="69"/>
      <c r="Q42" s="69"/>
      <c r="R42" s="69"/>
      <c r="S42" s="69"/>
      <c r="T42" s="69"/>
      <c r="U42" s="69"/>
      <c r="V42" s="69"/>
      <c r="W42" s="69"/>
      <c r="X42" s="69"/>
      <c r="Y42" s="69"/>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row>
    <row r="43" spans="1:94" x14ac:dyDescent="0.3">
      <c r="B43" s="11"/>
      <c r="C43" s="9"/>
      <c r="D43" s="9"/>
      <c r="E43" s="12"/>
      <c r="F43" s="70"/>
      <c r="G43" s="23"/>
      <c r="H43" s="23"/>
      <c r="I43" s="23"/>
      <c r="J43" s="23"/>
      <c r="K43" s="23"/>
      <c r="L43" s="23"/>
      <c r="M43" s="23"/>
      <c r="N43" s="23"/>
      <c r="O43" s="23"/>
      <c r="P43" s="27"/>
      <c r="Q43" s="27"/>
      <c r="R43" s="27"/>
      <c r="S43" s="27"/>
      <c r="T43" s="27"/>
      <c r="U43" s="27"/>
      <c r="V43" s="27"/>
      <c r="W43" s="27"/>
      <c r="X43" s="27"/>
      <c r="Y43" s="27"/>
      <c r="Z43" s="69"/>
      <c r="AA43" s="69"/>
      <c r="AB43" s="69"/>
      <c r="AC43" s="69"/>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row>
    <row r="44" spans="1:94" x14ac:dyDescent="0.3">
      <c r="B44" s="223" t="s">
        <v>102</v>
      </c>
      <c r="C44" s="212"/>
      <c r="D44" s="212"/>
      <c r="E44" s="212"/>
      <c r="F44" s="213"/>
      <c r="G44" s="212"/>
      <c r="H44" s="212"/>
      <c r="I44" s="212"/>
      <c r="J44" s="212"/>
      <c r="K44" s="212"/>
      <c r="L44" s="212"/>
      <c r="M44" s="212"/>
      <c r="N44" s="212"/>
      <c r="O44" s="23"/>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row>
    <row r="45" spans="1:94" x14ac:dyDescent="0.3">
      <c r="B45" s="223" t="s">
        <v>103</v>
      </c>
      <c r="C45" s="212"/>
      <c r="D45" s="212"/>
      <c r="E45" s="212"/>
      <c r="F45" s="213"/>
      <c r="G45" s="212"/>
      <c r="H45" s="212"/>
      <c r="I45" s="212"/>
      <c r="J45" s="212"/>
      <c r="K45" s="212"/>
      <c r="L45" s="212"/>
      <c r="M45" s="212"/>
      <c r="N45" s="212"/>
      <c r="O45" s="23"/>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row>
    <row r="46" spans="1:94" x14ac:dyDescent="0.3">
      <c r="B46" s="23"/>
      <c r="C46" s="23"/>
      <c r="D46" s="23"/>
      <c r="E46" s="23"/>
      <c r="F46" s="70"/>
      <c r="G46" s="23"/>
      <c r="H46" s="23"/>
      <c r="I46" s="23"/>
      <c r="J46" s="23"/>
      <c r="K46" s="23"/>
      <c r="L46" s="23"/>
      <c r="M46" s="23"/>
      <c r="N46" s="23"/>
      <c r="O46" s="23"/>
      <c r="P46" s="23"/>
      <c r="Q46" s="23"/>
      <c r="R46" s="23"/>
      <c r="S46" s="23"/>
      <c r="T46" s="23"/>
      <c r="U46" s="23"/>
      <c r="V46" s="23"/>
      <c r="W46" s="23"/>
      <c r="X46" s="23"/>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row>
    <row r="47" spans="1:94" x14ac:dyDescent="0.3">
      <c r="B47" s="120" t="s">
        <v>104</v>
      </c>
      <c r="C47" s="141">
        <v>1382.7578000000001</v>
      </c>
      <c r="D47" s="23"/>
      <c r="E47" s="23"/>
      <c r="F47" s="70"/>
      <c r="G47" s="23"/>
      <c r="H47" s="23"/>
      <c r="I47" s="23"/>
      <c r="J47" s="23"/>
      <c r="K47" s="23"/>
      <c r="L47" s="23"/>
      <c r="M47" s="23"/>
      <c r="N47" s="23"/>
      <c r="O47" s="23"/>
      <c r="P47" s="23"/>
      <c r="Q47" s="23"/>
      <c r="R47" s="23"/>
      <c r="S47" s="23"/>
      <c r="T47" s="23"/>
      <c r="U47" s="23"/>
      <c r="V47" s="23"/>
      <c r="W47" s="23"/>
      <c r="X47" s="23"/>
    </row>
    <row r="48" spans="1:94" x14ac:dyDescent="0.3">
      <c r="B48" s="120" t="s">
        <v>105</v>
      </c>
      <c r="C48" s="142">
        <v>0.25374999999999998</v>
      </c>
      <c r="D48" s="23"/>
      <c r="E48" s="41"/>
      <c r="F48" s="70"/>
      <c r="G48" s="23"/>
      <c r="H48" s="23"/>
      <c r="I48" s="23"/>
      <c r="J48" s="23"/>
      <c r="K48" s="23"/>
      <c r="L48" s="23"/>
      <c r="M48" s="23"/>
      <c r="N48" s="23"/>
      <c r="O48" s="23"/>
      <c r="P48" s="23"/>
      <c r="Q48" s="23"/>
      <c r="R48" s="23"/>
      <c r="S48" s="23"/>
      <c r="T48" s="23"/>
      <c r="U48" s="23"/>
      <c r="V48" s="23"/>
      <c r="W48" s="23"/>
      <c r="X48" s="23"/>
    </row>
    <row r="49" spans="1:68" x14ac:dyDescent="0.3">
      <c r="B49" s="120" t="s">
        <v>106</v>
      </c>
      <c r="C49" s="168">
        <v>1855.18</v>
      </c>
      <c r="D49" s="23"/>
      <c r="E49" s="23"/>
      <c r="G49" s="23"/>
      <c r="H49" s="23"/>
      <c r="I49" s="23"/>
      <c r="J49" s="23"/>
      <c r="K49" s="23"/>
      <c r="L49" s="23"/>
      <c r="M49" s="23"/>
      <c r="N49" s="23"/>
      <c r="P49" s="15"/>
      <c r="Q49" s="15"/>
      <c r="R49" s="15"/>
      <c r="S49" s="15"/>
      <c r="T49" s="15"/>
      <c r="U49" s="15"/>
      <c r="V49" s="15"/>
      <c r="W49" s="15"/>
      <c r="X49" s="15"/>
      <c r="Y49" s="15"/>
    </row>
    <row r="50" spans="1:68" x14ac:dyDescent="0.3">
      <c r="D50" s="23"/>
      <c r="Z50" s="15"/>
      <c r="AA50" s="15"/>
      <c r="AB50" s="15"/>
      <c r="AC50" s="15"/>
      <c r="AD50" s="15"/>
      <c r="AE50" s="15"/>
      <c r="AF50" s="15"/>
      <c r="AG50" s="15"/>
      <c r="AH50" s="15"/>
      <c r="AI50" s="15"/>
    </row>
    <row r="51" spans="1:68" ht="20.25" customHeight="1" x14ac:dyDescent="0.3">
      <c r="O51" s="4"/>
      <c r="P51" s="4"/>
      <c r="Q51" s="4"/>
      <c r="R51" s="4"/>
      <c r="S51" s="4"/>
    </row>
    <row r="52" spans="1:68" ht="20.25" customHeight="1" x14ac:dyDescent="0.3">
      <c r="B52" s="4" t="s">
        <v>107</v>
      </c>
      <c r="C52" s="4"/>
      <c r="D52" s="4"/>
      <c r="E52" s="4"/>
      <c r="F52" s="4"/>
      <c r="G52" s="4"/>
      <c r="H52" s="4"/>
      <c r="I52" s="4"/>
      <c r="J52" s="4"/>
      <c r="K52" s="4"/>
      <c r="L52" s="4"/>
      <c r="M52" s="4"/>
      <c r="N52" s="4"/>
      <c r="O52" s="1"/>
      <c r="P52" s="1"/>
      <c r="Q52" s="1"/>
      <c r="R52" s="1"/>
      <c r="S52" s="1"/>
    </row>
    <row r="53" spans="1:68" ht="17.25" customHeight="1" x14ac:dyDescent="0.3">
      <c r="B53" s="107" t="s">
        <v>2</v>
      </c>
      <c r="C53" s="1"/>
      <c r="D53" s="1"/>
      <c r="E53" s="1"/>
      <c r="F53" s="82"/>
      <c r="G53" s="1"/>
      <c r="H53" s="1"/>
      <c r="I53" s="1"/>
      <c r="J53" s="1"/>
      <c r="K53" s="1"/>
      <c r="L53" s="1"/>
      <c r="M53" s="1"/>
      <c r="N53" s="1"/>
      <c r="O53" s="1"/>
      <c r="P53" s="84"/>
      <c r="Q53" s="84"/>
    </row>
    <row r="54" spans="1:68" x14ac:dyDescent="0.3">
      <c r="G54" s="84"/>
      <c r="H54" s="84"/>
      <c r="I54" s="84"/>
      <c r="J54" s="84"/>
      <c r="K54" s="84"/>
      <c r="L54" s="84"/>
      <c r="M54" s="84"/>
      <c r="N54" s="84"/>
      <c r="O54" s="1"/>
      <c r="P54" s="64"/>
      <c r="W54" s="65"/>
      <c r="X54" s="64"/>
      <c r="Y54" s="64"/>
    </row>
    <row r="55" spans="1:68" ht="32.25" customHeight="1" x14ac:dyDescent="0.3">
      <c r="F55" s="121">
        <v>2026</v>
      </c>
      <c r="G55" s="121">
        <v>2026</v>
      </c>
      <c r="H55" s="121">
        <v>2027</v>
      </c>
      <c r="I55" s="121">
        <v>2027</v>
      </c>
      <c r="J55" s="121">
        <v>2028</v>
      </c>
      <c r="K55" s="121">
        <v>2028</v>
      </c>
      <c r="L55" s="121">
        <v>2029</v>
      </c>
      <c r="M55" s="121">
        <v>2029</v>
      </c>
      <c r="N55" s="122" t="s">
        <v>16</v>
      </c>
      <c r="O55" s="122" t="s">
        <v>16</v>
      </c>
      <c r="P55" s="18"/>
      <c r="W55" s="18"/>
      <c r="X55" s="18"/>
      <c r="Y55" s="18"/>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c r="BB55" s="64"/>
      <c r="BC55" s="64"/>
      <c r="BD55" s="64"/>
      <c r="BE55" s="64"/>
      <c r="BF55" s="64"/>
      <c r="BG55" s="64"/>
      <c r="BH55" s="64"/>
      <c r="BI55" s="64"/>
      <c r="BJ55" s="64"/>
      <c r="BK55" s="64"/>
      <c r="BL55" s="64"/>
      <c r="BM55" s="64"/>
      <c r="BN55" s="64"/>
      <c r="BO55" s="64"/>
      <c r="BP55" s="64"/>
    </row>
    <row r="56" spans="1:68" ht="33.75" customHeight="1" x14ac:dyDescent="0.3">
      <c r="B56" s="108" t="s">
        <v>3</v>
      </c>
      <c r="C56" s="108" t="s">
        <v>4</v>
      </c>
      <c r="D56" s="109" t="s">
        <v>5</v>
      </c>
      <c r="E56" s="109" t="s">
        <v>108</v>
      </c>
      <c r="F56" s="108" t="s">
        <v>17</v>
      </c>
      <c r="G56" s="123" t="s">
        <v>18</v>
      </c>
      <c r="H56" s="108" t="s">
        <v>17</v>
      </c>
      <c r="I56" s="123" t="s">
        <v>18</v>
      </c>
      <c r="J56" s="108" t="s">
        <v>17</v>
      </c>
      <c r="K56" s="123" t="s">
        <v>18</v>
      </c>
      <c r="L56" s="108" t="s">
        <v>17</v>
      </c>
      <c r="M56" s="123" t="s">
        <v>18</v>
      </c>
      <c r="N56" s="108" t="s">
        <v>17</v>
      </c>
      <c r="O56" s="108" t="s">
        <v>18</v>
      </c>
      <c r="P56" s="66"/>
      <c r="W56" s="66"/>
      <c r="X56" s="66"/>
      <c r="Y56" s="66"/>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row>
    <row r="57" spans="1:68" ht="27.95" customHeight="1" x14ac:dyDescent="0.3">
      <c r="B57" s="111" t="s">
        <v>19</v>
      </c>
      <c r="C57" s="111"/>
      <c r="D57" s="111"/>
      <c r="E57" s="111"/>
      <c r="F57" s="124">
        <v>313.02520705112579</v>
      </c>
      <c r="G57" s="124">
        <v>0</v>
      </c>
      <c r="H57" s="124">
        <v>261.87374844000004</v>
      </c>
      <c r="I57" s="124">
        <v>0</v>
      </c>
      <c r="J57" s="124">
        <v>261.87374844000004</v>
      </c>
      <c r="K57" s="124">
        <v>0</v>
      </c>
      <c r="L57" s="124">
        <v>261.87374844000004</v>
      </c>
      <c r="M57" s="124">
        <v>0</v>
      </c>
      <c r="N57" s="124">
        <v>245.50663916250002</v>
      </c>
      <c r="O57" s="124">
        <v>0</v>
      </c>
      <c r="Q57" s="52"/>
      <c r="W57" s="52"/>
      <c r="X57" s="52"/>
      <c r="Y57" s="52"/>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row>
    <row r="58" spans="1:68" ht="27.95" customHeight="1" x14ac:dyDescent="0.3">
      <c r="A58" s="45"/>
      <c r="B58" s="102" t="s">
        <v>20</v>
      </c>
      <c r="C58" s="102" t="s">
        <v>21</v>
      </c>
      <c r="D58" s="102" t="s">
        <v>17</v>
      </c>
      <c r="E58" s="102" t="s">
        <v>19</v>
      </c>
      <c r="F58" s="138">
        <v>261.87374844000004</v>
      </c>
      <c r="G58" s="138">
        <v>0</v>
      </c>
      <c r="H58" s="138">
        <v>261.87374844000004</v>
      </c>
      <c r="I58" s="138">
        <v>0</v>
      </c>
      <c r="J58" s="138">
        <v>261.87374844000004</v>
      </c>
      <c r="K58" s="138">
        <v>0</v>
      </c>
      <c r="L58" s="138">
        <v>261.87374844000004</v>
      </c>
      <c r="M58" s="138">
        <v>0</v>
      </c>
      <c r="N58" s="138">
        <v>245.50663916250002</v>
      </c>
      <c r="O58" s="138">
        <v>0</v>
      </c>
      <c r="Q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row>
    <row r="59" spans="1:68" ht="27.95" customHeight="1" x14ac:dyDescent="0.3">
      <c r="A59" s="45"/>
      <c r="B59" s="102" t="s">
        <v>26</v>
      </c>
      <c r="C59" s="102" t="s">
        <v>27</v>
      </c>
      <c r="D59" s="102" t="s">
        <v>17</v>
      </c>
      <c r="E59" s="102" t="s">
        <v>19</v>
      </c>
      <c r="F59" s="138">
        <v>30.161437520000003</v>
      </c>
      <c r="G59" s="138">
        <v>0</v>
      </c>
      <c r="H59" s="138">
        <v>0</v>
      </c>
      <c r="I59" s="138">
        <v>0</v>
      </c>
      <c r="J59" s="138">
        <v>0</v>
      </c>
      <c r="K59" s="138">
        <v>0</v>
      </c>
      <c r="L59" s="138">
        <v>0</v>
      </c>
      <c r="M59" s="138">
        <v>0</v>
      </c>
      <c r="N59" s="138">
        <v>0</v>
      </c>
      <c r="O59" s="138">
        <v>0</v>
      </c>
      <c r="Q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row>
    <row r="60" spans="1:68" ht="27.95" customHeight="1" x14ac:dyDescent="0.3">
      <c r="A60" s="45"/>
      <c r="B60" s="102" t="s">
        <v>28</v>
      </c>
      <c r="C60" s="102" t="s">
        <v>29</v>
      </c>
      <c r="D60" s="102" t="s">
        <v>17</v>
      </c>
      <c r="E60" s="102" t="s">
        <v>19</v>
      </c>
      <c r="F60" s="138">
        <v>19.371640439999997</v>
      </c>
      <c r="G60" s="138">
        <v>0</v>
      </c>
      <c r="H60" s="138">
        <v>0</v>
      </c>
      <c r="I60" s="138">
        <v>0</v>
      </c>
      <c r="J60" s="138">
        <v>0</v>
      </c>
      <c r="K60" s="138">
        <v>0</v>
      </c>
      <c r="L60" s="138">
        <v>0</v>
      </c>
      <c r="M60" s="138">
        <v>0</v>
      </c>
      <c r="N60" s="138">
        <v>0</v>
      </c>
      <c r="O60" s="138">
        <v>0</v>
      </c>
      <c r="Q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row>
    <row r="61" spans="1:68" ht="27.95" customHeight="1" x14ac:dyDescent="0.3">
      <c r="A61" s="45"/>
      <c r="B61" s="102" t="s">
        <v>33</v>
      </c>
      <c r="C61" s="102" t="s">
        <v>34</v>
      </c>
      <c r="D61" s="102" t="s">
        <v>17</v>
      </c>
      <c r="E61" s="102" t="s">
        <v>19</v>
      </c>
      <c r="F61" s="138">
        <v>1.618380651125749</v>
      </c>
      <c r="G61" s="138">
        <v>0</v>
      </c>
      <c r="H61" s="138">
        <v>0</v>
      </c>
      <c r="I61" s="138">
        <v>0</v>
      </c>
      <c r="J61" s="138">
        <v>0</v>
      </c>
      <c r="K61" s="138">
        <v>0</v>
      </c>
      <c r="L61" s="138">
        <v>0</v>
      </c>
      <c r="M61" s="138">
        <v>0</v>
      </c>
      <c r="N61" s="138">
        <v>0</v>
      </c>
      <c r="O61" s="138">
        <v>0</v>
      </c>
      <c r="P61" s="66"/>
      <c r="W61" s="66"/>
      <c r="X61" s="66"/>
      <c r="Y61" s="66"/>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row>
    <row r="62" spans="1:68" ht="27.95" customHeight="1" x14ac:dyDescent="0.3">
      <c r="A62" s="45"/>
      <c r="B62" s="111" t="s">
        <v>35</v>
      </c>
      <c r="C62" s="111"/>
      <c r="D62" s="111"/>
      <c r="E62" s="111"/>
      <c r="F62" s="124">
        <v>10947.425960404446</v>
      </c>
      <c r="G62" s="124">
        <v>0</v>
      </c>
      <c r="H62" s="124">
        <v>8435.0202653044453</v>
      </c>
      <c r="I62" s="124">
        <v>0</v>
      </c>
      <c r="J62" s="124">
        <v>6640.4444444444462</v>
      </c>
      <c r="K62" s="124">
        <v>0</v>
      </c>
      <c r="L62" s="124">
        <v>0</v>
      </c>
      <c r="M62" s="124">
        <v>0</v>
      </c>
      <c r="N62" s="124">
        <v>0</v>
      </c>
      <c r="O62" s="124">
        <v>0</v>
      </c>
      <c r="Q62" s="52"/>
      <c r="W62" s="52"/>
      <c r="X62" s="52"/>
      <c r="Y62" s="52"/>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row>
    <row r="63" spans="1:68" ht="27.95" customHeight="1" x14ac:dyDescent="0.3">
      <c r="A63" s="45"/>
      <c r="B63" s="5" t="s">
        <v>36</v>
      </c>
      <c r="C63" s="5" t="s">
        <v>37</v>
      </c>
      <c r="D63" s="5" t="s">
        <v>17</v>
      </c>
      <c r="E63" s="102" t="s">
        <v>35</v>
      </c>
      <c r="F63" s="138">
        <v>6640.4444444444462</v>
      </c>
      <c r="G63" s="138">
        <v>0</v>
      </c>
      <c r="H63" s="138">
        <v>6640.4444444444462</v>
      </c>
      <c r="I63" s="138">
        <v>0</v>
      </c>
      <c r="J63" s="138">
        <v>6640.4444444444462</v>
      </c>
      <c r="K63" s="138">
        <v>0</v>
      </c>
      <c r="L63" s="138">
        <v>0</v>
      </c>
      <c r="M63" s="138">
        <v>0</v>
      </c>
      <c r="N63" s="138">
        <v>0</v>
      </c>
      <c r="O63" s="138">
        <v>0</v>
      </c>
      <c r="Q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row>
    <row r="64" spans="1:68" ht="27.95" customHeight="1" x14ac:dyDescent="0.3">
      <c r="A64" s="45"/>
      <c r="B64" s="102" t="s">
        <v>39</v>
      </c>
      <c r="C64" s="102" t="s">
        <v>40</v>
      </c>
      <c r="D64" s="102" t="s">
        <v>17</v>
      </c>
      <c r="E64" s="102" t="s">
        <v>35</v>
      </c>
      <c r="F64" s="138">
        <v>4306.9815159600003</v>
      </c>
      <c r="G64" s="138">
        <v>0</v>
      </c>
      <c r="H64" s="138">
        <v>1794.5758208599998</v>
      </c>
      <c r="I64" s="138">
        <v>0</v>
      </c>
      <c r="J64" s="138">
        <v>0</v>
      </c>
      <c r="K64" s="138">
        <v>0</v>
      </c>
      <c r="L64" s="138">
        <v>0</v>
      </c>
      <c r="M64" s="138">
        <v>0</v>
      </c>
      <c r="N64" s="138">
        <v>0</v>
      </c>
      <c r="O64" s="138">
        <v>0</v>
      </c>
      <c r="Q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row>
    <row r="65" spans="1:68" ht="27.95" customHeight="1" x14ac:dyDescent="0.3">
      <c r="A65" s="45"/>
      <c r="B65" s="111" t="s">
        <v>42</v>
      </c>
      <c r="C65" s="111"/>
      <c r="D65" s="111"/>
      <c r="E65" s="111"/>
      <c r="F65" s="187">
        <v>2350.6103488775511</v>
      </c>
      <c r="G65" s="187">
        <v>0</v>
      </c>
      <c r="H65" s="187">
        <v>5641.4648373061218</v>
      </c>
      <c r="I65" s="187">
        <v>0</v>
      </c>
      <c r="J65" s="187">
        <v>5641.4648373061218</v>
      </c>
      <c r="K65" s="187">
        <v>0</v>
      </c>
      <c r="L65" s="187">
        <v>5641.4648373061218</v>
      </c>
      <c r="M65" s="187">
        <v>0</v>
      </c>
      <c r="N65" s="187">
        <v>3760.9765582040818</v>
      </c>
      <c r="O65" s="187">
        <v>0</v>
      </c>
      <c r="Q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row>
    <row r="66" spans="1:68" ht="27.95" customHeight="1" x14ac:dyDescent="0.3">
      <c r="A66" s="45"/>
      <c r="B66" s="102" t="s">
        <v>43</v>
      </c>
      <c r="C66" s="102" t="s">
        <v>44</v>
      </c>
      <c r="D66" s="102" t="s">
        <v>109</v>
      </c>
      <c r="E66" s="102" t="s">
        <v>110</v>
      </c>
      <c r="F66" s="138">
        <v>2350.6103488775511</v>
      </c>
      <c r="G66" s="138">
        <v>0</v>
      </c>
      <c r="H66" s="138">
        <v>5641.4648373061218</v>
      </c>
      <c r="I66" s="138">
        <v>0</v>
      </c>
      <c r="J66" s="138">
        <v>5641.4648373061218</v>
      </c>
      <c r="K66" s="138">
        <v>0</v>
      </c>
      <c r="L66" s="138">
        <v>5641.4648373061218</v>
      </c>
      <c r="M66" s="138">
        <v>0</v>
      </c>
      <c r="N66" s="138">
        <v>3760.9765582040818</v>
      </c>
      <c r="O66" s="138">
        <v>0</v>
      </c>
      <c r="P66" s="66"/>
      <c r="W66" s="66"/>
      <c r="X66" s="66"/>
      <c r="Y66" s="66"/>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row>
    <row r="67" spans="1:68" ht="27.95" customHeight="1" x14ac:dyDescent="0.3">
      <c r="A67" s="45"/>
      <c r="B67" s="111" t="s">
        <v>48</v>
      </c>
      <c r="C67" s="111"/>
      <c r="D67" s="111"/>
      <c r="E67" s="111"/>
      <c r="F67" s="124">
        <v>0</v>
      </c>
      <c r="G67" s="124">
        <v>14.503749404983573</v>
      </c>
      <c r="H67" s="124">
        <v>0</v>
      </c>
      <c r="I67" s="124">
        <v>14.511414338124592</v>
      </c>
      <c r="J67" s="124">
        <v>0</v>
      </c>
      <c r="K67" s="124">
        <v>14.51175038812459</v>
      </c>
      <c r="L67" s="124">
        <v>0</v>
      </c>
      <c r="M67" s="124">
        <v>14.512090448124592</v>
      </c>
      <c r="N67" s="124">
        <v>0</v>
      </c>
      <c r="O67" s="124">
        <v>6.6017415277643776</v>
      </c>
      <c r="P67" s="68"/>
      <c r="W67" s="68"/>
      <c r="X67" s="68"/>
      <c r="Y67" s="68"/>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row>
    <row r="68" spans="1:68" ht="27.95" customHeight="1" x14ac:dyDescent="0.3">
      <c r="A68" s="45"/>
      <c r="B68" s="116" t="s">
        <v>49</v>
      </c>
      <c r="C68" s="116"/>
      <c r="D68" s="116"/>
      <c r="E68" s="116"/>
      <c r="F68" s="127">
        <v>0</v>
      </c>
      <c r="G68" s="127">
        <v>12.202969680999429</v>
      </c>
      <c r="H68" s="127">
        <v>0</v>
      </c>
      <c r="I68" s="127">
        <v>12.203301756552126</v>
      </c>
      <c r="J68" s="127">
        <v>0</v>
      </c>
      <c r="K68" s="127">
        <v>12.203637806552125</v>
      </c>
      <c r="L68" s="127">
        <v>0</v>
      </c>
      <c r="M68" s="127">
        <v>12.203977866552126</v>
      </c>
      <c r="N68" s="127">
        <v>0</v>
      </c>
      <c r="O68" s="127">
        <v>5.8369310836827459</v>
      </c>
      <c r="Q68" s="52"/>
      <c r="W68" s="52"/>
      <c r="X68" s="52"/>
      <c r="Y68" s="52"/>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c r="BJ68" s="68"/>
      <c r="BK68" s="68"/>
      <c r="BL68" s="68"/>
      <c r="BM68" s="68"/>
      <c r="BN68" s="68"/>
      <c r="BO68" s="68"/>
      <c r="BP68" s="68"/>
    </row>
    <row r="69" spans="1:68" ht="27.95" customHeight="1" x14ac:dyDescent="0.3">
      <c r="A69" s="45"/>
      <c r="B69" s="102" t="s">
        <v>50</v>
      </c>
      <c r="C69" s="102" t="s">
        <v>51</v>
      </c>
      <c r="D69" s="102" t="s">
        <v>18</v>
      </c>
      <c r="E69" s="102" t="s">
        <v>111</v>
      </c>
      <c r="F69" s="138">
        <v>0</v>
      </c>
      <c r="G69" s="138">
        <v>2.3103220000000002</v>
      </c>
      <c r="H69" s="138">
        <v>0</v>
      </c>
      <c r="I69" s="138">
        <v>2.3103220000000002</v>
      </c>
      <c r="J69" s="138">
        <v>0</v>
      </c>
      <c r="K69" s="138">
        <v>2.3103220000000002</v>
      </c>
      <c r="L69" s="138">
        <v>0</v>
      </c>
      <c r="M69" s="138">
        <v>2.3103220000000002</v>
      </c>
      <c r="N69" s="138">
        <v>0</v>
      </c>
      <c r="O69" s="138">
        <v>1.3307149773553466</v>
      </c>
      <c r="Q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row>
    <row r="70" spans="1:68" ht="27.95" customHeight="1" x14ac:dyDescent="0.3">
      <c r="A70" s="45"/>
      <c r="B70" s="102" t="s">
        <v>54</v>
      </c>
      <c r="C70" s="102" t="s">
        <v>55</v>
      </c>
      <c r="D70" s="102" t="s">
        <v>18</v>
      </c>
      <c r="E70" s="102" t="s">
        <v>111</v>
      </c>
      <c r="F70" s="138">
        <v>0</v>
      </c>
      <c r="G70" s="138">
        <v>2.5411806205221881</v>
      </c>
      <c r="H70" s="138">
        <v>0</v>
      </c>
      <c r="I70" s="138">
        <v>2.5411806210443753</v>
      </c>
      <c r="J70" s="138">
        <v>0</v>
      </c>
      <c r="K70" s="138">
        <v>2.5411806210443748</v>
      </c>
      <c r="L70" s="138">
        <v>0</v>
      </c>
      <c r="M70" s="138">
        <v>2.5411806210443748</v>
      </c>
      <c r="N70" s="138">
        <v>0</v>
      </c>
      <c r="O70" s="138">
        <v>0</v>
      </c>
      <c r="P70" s="51"/>
      <c r="Q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row>
    <row r="71" spans="1:68" ht="27.95" customHeight="1" x14ac:dyDescent="0.3">
      <c r="A71" s="45"/>
      <c r="B71" s="102" t="s">
        <v>56</v>
      </c>
      <c r="C71" s="102" t="s">
        <v>57</v>
      </c>
      <c r="D71" s="102" t="s">
        <v>18</v>
      </c>
      <c r="E71" s="102" t="s">
        <v>111</v>
      </c>
      <c r="F71" s="138">
        <v>0</v>
      </c>
      <c r="G71" s="138">
        <v>2.8515320943328861</v>
      </c>
      <c r="H71" s="138">
        <v>0</v>
      </c>
      <c r="I71" s="138">
        <v>2.8515320943328861</v>
      </c>
      <c r="J71" s="138">
        <v>0</v>
      </c>
      <c r="K71" s="138">
        <v>2.8515320943328861</v>
      </c>
      <c r="L71" s="138">
        <v>0</v>
      </c>
      <c r="M71" s="138">
        <v>2.8515320943328861</v>
      </c>
      <c r="N71" s="138">
        <v>0</v>
      </c>
      <c r="O71" s="138">
        <v>0</v>
      </c>
      <c r="P71" s="51"/>
      <c r="Q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row>
    <row r="72" spans="1:68" ht="27.95" customHeight="1" x14ac:dyDescent="0.3">
      <c r="A72" s="45"/>
      <c r="B72" s="102" t="s">
        <v>58</v>
      </c>
      <c r="C72" s="102" t="s">
        <v>59</v>
      </c>
      <c r="D72" s="102" t="s">
        <v>18</v>
      </c>
      <c r="E72" s="102" t="s">
        <v>111</v>
      </c>
      <c r="F72" s="138">
        <v>0</v>
      </c>
      <c r="G72" s="138">
        <v>2.8918855399999974</v>
      </c>
      <c r="H72" s="138">
        <v>0</v>
      </c>
      <c r="I72" s="138">
        <v>2.8918855399999948</v>
      </c>
      <c r="J72" s="138">
        <v>0</v>
      </c>
      <c r="K72" s="138">
        <v>2.8918855399999948</v>
      </c>
      <c r="L72" s="138">
        <v>0</v>
      </c>
      <c r="M72" s="138">
        <v>2.8918855399999948</v>
      </c>
      <c r="N72" s="138">
        <v>0</v>
      </c>
      <c r="O72" s="138">
        <v>2.5411806210443748</v>
      </c>
      <c r="P72" s="51"/>
      <c r="Q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row>
    <row r="73" spans="1:68" ht="27.95" customHeight="1" x14ac:dyDescent="0.3">
      <c r="A73" s="45"/>
      <c r="B73" s="102" t="s">
        <v>60</v>
      </c>
      <c r="C73" s="102" t="s">
        <v>61</v>
      </c>
      <c r="D73" s="102" t="s">
        <v>18</v>
      </c>
      <c r="E73" s="102" t="s">
        <v>111</v>
      </c>
      <c r="F73" s="138">
        <v>0</v>
      </c>
      <c r="G73" s="138">
        <v>0.76524536676045907</v>
      </c>
      <c r="H73" s="138">
        <v>0</v>
      </c>
      <c r="I73" s="138">
        <v>0.76524536676045907</v>
      </c>
      <c r="J73" s="138">
        <v>0</v>
      </c>
      <c r="K73" s="138">
        <v>0.76524536676045907</v>
      </c>
      <c r="L73" s="138">
        <v>0</v>
      </c>
      <c r="M73" s="138">
        <v>0.76524536676045918</v>
      </c>
      <c r="N73" s="138">
        <v>0</v>
      </c>
      <c r="O73" s="138">
        <v>0.77858456846153712</v>
      </c>
      <c r="P73" s="51"/>
      <c r="Q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row>
    <row r="74" spans="1:68" ht="27.95" customHeight="1" x14ac:dyDescent="0.3">
      <c r="A74" s="45"/>
      <c r="B74" s="102" t="s">
        <v>62</v>
      </c>
      <c r="C74" s="102" t="s">
        <v>63</v>
      </c>
      <c r="D74" s="102" t="s">
        <v>18</v>
      </c>
      <c r="E74" s="102" t="s">
        <v>111</v>
      </c>
      <c r="F74" s="138">
        <v>0</v>
      </c>
      <c r="G74" s="138">
        <v>0.42120555503051449</v>
      </c>
      <c r="H74" s="138">
        <v>0</v>
      </c>
      <c r="I74" s="138">
        <v>0.42120555006102905</v>
      </c>
      <c r="J74" s="138">
        <v>0</v>
      </c>
      <c r="K74" s="138">
        <v>0.42120555006102905</v>
      </c>
      <c r="L74" s="138">
        <v>0</v>
      </c>
      <c r="M74" s="138">
        <v>0.42120555006102905</v>
      </c>
      <c r="N74" s="138">
        <v>0</v>
      </c>
      <c r="O74" s="138">
        <v>0.76524536676045896</v>
      </c>
      <c r="P74" s="51"/>
      <c r="Q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row>
    <row r="75" spans="1:68" ht="27.95" customHeight="1" x14ac:dyDescent="0.3">
      <c r="A75" s="45"/>
      <c r="B75" s="102" t="s">
        <v>65</v>
      </c>
      <c r="C75" s="102" t="s">
        <v>66</v>
      </c>
      <c r="D75" s="102" t="s">
        <v>18</v>
      </c>
      <c r="E75" s="102" t="s">
        <v>111</v>
      </c>
      <c r="F75" s="138">
        <v>0</v>
      </c>
      <c r="G75" s="138">
        <v>0.39381708435338308</v>
      </c>
      <c r="H75" s="138">
        <v>0</v>
      </c>
      <c r="I75" s="138">
        <v>0.39381708435338308</v>
      </c>
      <c r="J75" s="138">
        <v>0</v>
      </c>
      <c r="K75" s="138">
        <v>0.39381708435338308</v>
      </c>
      <c r="L75" s="138">
        <v>0</v>
      </c>
      <c r="M75" s="138">
        <v>0.39381708435338314</v>
      </c>
      <c r="N75" s="138">
        <v>0</v>
      </c>
      <c r="O75" s="138">
        <v>0</v>
      </c>
      <c r="P75" s="51"/>
      <c r="Q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row>
    <row r="76" spans="1:68" ht="27.95" customHeight="1" x14ac:dyDescent="0.3">
      <c r="A76" s="45"/>
      <c r="B76" s="102" t="s">
        <v>69</v>
      </c>
      <c r="C76" s="102" t="s">
        <v>70</v>
      </c>
      <c r="D76" s="102" t="s">
        <v>18</v>
      </c>
      <c r="E76" s="102" t="s">
        <v>111</v>
      </c>
      <c r="F76" s="138">
        <v>0</v>
      </c>
      <c r="G76" s="138">
        <v>2.7781419999999998E-2</v>
      </c>
      <c r="H76" s="138">
        <v>0</v>
      </c>
      <c r="I76" s="138">
        <v>2.81135E-2</v>
      </c>
      <c r="J76" s="138">
        <v>0</v>
      </c>
      <c r="K76" s="138">
        <v>2.8449550000000004E-2</v>
      </c>
      <c r="L76" s="138">
        <v>0</v>
      </c>
      <c r="M76" s="138">
        <v>2.878961E-2</v>
      </c>
      <c r="N76" s="138">
        <v>0</v>
      </c>
      <c r="O76" s="138">
        <v>0.421205550061029</v>
      </c>
      <c r="P76" s="51"/>
      <c r="Q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row>
    <row r="77" spans="1:68" ht="27.95" customHeight="1" x14ac:dyDescent="0.3">
      <c r="A77" s="45"/>
      <c r="B77" s="102" t="s">
        <v>71</v>
      </c>
      <c r="C77" s="102" t="s">
        <v>72</v>
      </c>
      <c r="D77" s="102" t="s">
        <v>18</v>
      </c>
      <c r="E77" s="102" t="s">
        <v>111</v>
      </c>
      <c r="F77" s="138">
        <v>0</v>
      </c>
      <c r="G77" s="138">
        <v>0</v>
      </c>
      <c r="H77" s="138">
        <v>0</v>
      </c>
      <c r="I77" s="138">
        <v>0</v>
      </c>
      <c r="J77" s="138">
        <v>0</v>
      </c>
      <c r="K77" s="138">
        <v>0</v>
      </c>
      <c r="L77" s="138">
        <v>0</v>
      </c>
      <c r="M77" s="138">
        <v>0</v>
      </c>
      <c r="N77" s="138">
        <v>0</v>
      </c>
      <c r="O77" s="138">
        <v>0</v>
      </c>
      <c r="P77" s="68"/>
      <c r="W77" s="68"/>
      <c r="X77" s="68"/>
      <c r="Y77" s="68"/>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row>
    <row r="78" spans="1:68" ht="27.95" customHeight="1" x14ac:dyDescent="0.3">
      <c r="A78" s="45"/>
      <c r="B78" s="116" t="s">
        <v>73</v>
      </c>
      <c r="C78" s="116"/>
      <c r="D78" s="116"/>
      <c r="E78" s="116"/>
      <c r="F78" s="127">
        <v>0</v>
      </c>
      <c r="G78" s="127">
        <v>2.3007797239841441</v>
      </c>
      <c r="H78" s="127">
        <v>0</v>
      </c>
      <c r="I78" s="127">
        <v>2.3081125815724652</v>
      </c>
      <c r="J78" s="127">
        <v>0</v>
      </c>
      <c r="K78" s="127">
        <v>2.3081125815724652</v>
      </c>
      <c r="L78" s="127">
        <v>0</v>
      </c>
      <c r="M78" s="127">
        <v>2.3081125815724652</v>
      </c>
      <c r="N78" s="127">
        <v>0</v>
      </c>
      <c r="O78" s="127">
        <v>0.76481044408163168</v>
      </c>
      <c r="Q78" s="52"/>
      <c r="W78" s="52"/>
      <c r="X78" s="52"/>
      <c r="Y78" s="52"/>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68"/>
      <c r="BK78" s="68"/>
      <c r="BL78" s="68"/>
      <c r="BM78" s="68"/>
      <c r="BN78" s="68"/>
      <c r="BO78" s="68"/>
      <c r="BP78" s="68"/>
    </row>
    <row r="79" spans="1:68" ht="27.95" customHeight="1" x14ac:dyDescent="0.3">
      <c r="A79" s="45"/>
      <c r="B79" s="102" t="s">
        <v>74</v>
      </c>
      <c r="C79" s="102" t="s">
        <v>75</v>
      </c>
      <c r="D79" s="102" t="s">
        <v>18</v>
      </c>
      <c r="E79" s="102" t="s">
        <v>111</v>
      </c>
      <c r="F79" s="138">
        <v>0</v>
      </c>
      <c r="G79" s="138">
        <v>1.7845577014285705</v>
      </c>
      <c r="H79" s="138">
        <v>0</v>
      </c>
      <c r="I79" s="138">
        <v>1.7845577028571411</v>
      </c>
      <c r="J79" s="138">
        <v>0</v>
      </c>
      <c r="K79" s="138">
        <v>1.7845577028571411</v>
      </c>
      <c r="L79" s="138">
        <v>0</v>
      </c>
      <c r="M79" s="138">
        <v>1.7845577028571411</v>
      </c>
      <c r="N79" s="138">
        <v>0</v>
      </c>
      <c r="O79" s="138">
        <v>0</v>
      </c>
      <c r="Q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row>
    <row r="80" spans="1:68" ht="27.95" customHeight="1" x14ac:dyDescent="0.3">
      <c r="A80" s="45"/>
      <c r="B80" s="102" t="s">
        <v>112</v>
      </c>
      <c r="C80" s="102" t="s">
        <v>79</v>
      </c>
      <c r="D80" s="102" t="s">
        <v>18</v>
      </c>
      <c r="E80" s="102" t="s">
        <v>111</v>
      </c>
      <c r="F80" s="138">
        <v>0</v>
      </c>
      <c r="G80" s="138">
        <v>0.38741784639582327</v>
      </c>
      <c r="H80" s="138">
        <v>0</v>
      </c>
      <c r="I80" s="138">
        <v>0.38741784639582327</v>
      </c>
      <c r="J80" s="138">
        <v>0</v>
      </c>
      <c r="K80" s="138">
        <v>0.38741784639582327</v>
      </c>
      <c r="L80" s="138">
        <v>0</v>
      </c>
      <c r="M80" s="138">
        <v>0.38741784639582327</v>
      </c>
      <c r="N80" s="138">
        <v>0</v>
      </c>
      <c r="O80" s="138">
        <v>0</v>
      </c>
      <c r="Q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row>
    <row r="81" spans="1:84" ht="27.95" customHeight="1" x14ac:dyDescent="0.3">
      <c r="A81" s="45"/>
      <c r="B81" s="102" t="s">
        <v>80</v>
      </c>
      <c r="C81" s="102" t="s">
        <v>81</v>
      </c>
      <c r="D81" s="102" t="s">
        <v>18</v>
      </c>
      <c r="E81" s="102" t="s">
        <v>111</v>
      </c>
      <c r="F81" s="138">
        <v>0</v>
      </c>
      <c r="G81" s="138">
        <v>0.12880417615975048</v>
      </c>
      <c r="H81" s="138">
        <v>0</v>
      </c>
      <c r="I81" s="138">
        <v>0.13613703231950097</v>
      </c>
      <c r="J81" s="138">
        <v>0</v>
      </c>
      <c r="K81" s="138">
        <v>0.13613703231950097</v>
      </c>
      <c r="L81" s="138">
        <v>0</v>
      </c>
      <c r="M81" s="138">
        <v>0.13613703231950097</v>
      </c>
      <c r="N81" s="138">
        <v>0</v>
      </c>
      <c r="O81" s="138">
        <v>0.76481044408163168</v>
      </c>
      <c r="P81" s="66"/>
      <c r="W81" s="66"/>
      <c r="X81" s="66"/>
      <c r="Y81" s="66"/>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row>
    <row r="82" spans="1:84" ht="27.95" customHeight="1" x14ac:dyDescent="0.3">
      <c r="A82" s="45"/>
      <c r="B82" s="111" t="s">
        <v>82</v>
      </c>
      <c r="C82" s="111"/>
      <c r="D82" s="111"/>
      <c r="E82" s="111"/>
      <c r="F82" s="124">
        <v>157386.84589467334</v>
      </c>
      <c r="G82" s="124">
        <v>79.695538450769234</v>
      </c>
      <c r="H82" s="124">
        <v>7665.8150439933333</v>
      </c>
      <c r="I82" s="124">
        <v>79.695538461538462</v>
      </c>
      <c r="J82" s="124">
        <v>813.10897683333326</v>
      </c>
      <c r="K82" s="124">
        <v>79.695538461538462</v>
      </c>
      <c r="L82" s="124">
        <v>813.10897683333326</v>
      </c>
      <c r="M82" s="124">
        <v>39.847769230769231</v>
      </c>
      <c r="N82" s="124">
        <v>0</v>
      </c>
      <c r="O82" s="124">
        <v>0</v>
      </c>
      <c r="Q82" s="52"/>
      <c r="W82" s="52"/>
      <c r="X82" s="52"/>
      <c r="Y82" s="52"/>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row>
    <row r="83" spans="1:84" ht="27.95" customHeight="1" x14ac:dyDescent="0.3">
      <c r="A83" s="45"/>
      <c r="B83" s="102" t="s">
        <v>113</v>
      </c>
      <c r="C83" s="102" t="s">
        <v>84</v>
      </c>
      <c r="D83" s="102" t="s">
        <v>18</v>
      </c>
      <c r="E83" s="102" t="s">
        <v>82</v>
      </c>
      <c r="F83" s="138">
        <v>0</v>
      </c>
      <c r="G83" s="138">
        <v>79.695538450769234</v>
      </c>
      <c r="H83" s="138">
        <v>0</v>
      </c>
      <c r="I83" s="138">
        <v>79.695538461538462</v>
      </c>
      <c r="J83" s="138">
        <v>0</v>
      </c>
      <c r="K83" s="138">
        <v>79.695538461538462</v>
      </c>
      <c r="L83" s="138">
        <v>0</v>
      </c>
      <c r="M83" s="138">
        <v>39.847769230769231</v>
      </c>
      <c r="N83" s="138">
        <v>0</v>
      </c>
      <c r="O83" s="138">
        <v>0</v>
      </c>
      <c r="Q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row>
    <row r="84" spans="1:84" ht="27.95" customHeight="1" x14ac:dyDescent="0.3">
      <c r="A84" s="45"/>
      <c r="B84" s="102" t="s">
        <v>87</v>
      </c>
      <c r="C84" s="102" t="s">
        <v>88</v>
      </c>
      <c r="D84" s="102" t="s">
        <v>17</v>
      </c>
      <c r="E84" s="102" t="s">
        <v>82</v>
      </c>
      <c r="F84" s="138">
        <v>79594.677863999997</v>
      </c>
      <c r="G84" s="138">
        <v>0</v>
      </c>
      <c r="H84" s="138">
        <v>0</v>
      </c>
      <c r="I84" s="138">
        <v>0</v>
      </c>
      <c r="J84" s="138">
        <v>0</v>
      </c>
      <c r="K84" s="138">
        <v>0</v>
      </c>
      <c r="L84" s="138">
        <v>0</v>
      </c>
      <c r="M84" s="138">
        <v>0</v>
      </c>
      <c r="N84" s="138">
        <v>0</v>
      </c>
      <c r="O84" s="138">
        <v>0</v>
      </c>
      <c r="Q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row>
    <row r="85" spans="1:84" ht="27.95" customHeight="1" x14ac:dyDescent="0.3">
      <c r="A85" s="45"/>
      <c r="B85" s="102" t="s">
        <v>90</v>
      </c>
      <c r="C85" s="102" t="s">
        <v>91</v>
      </c>
      <c r="D85" s="102" t="s">
        <v>17</v>
      </c>
      <c r="E85" s="102" t="s">
        <v>82</v>
      </c>
      <c r="F85" s="138">
        <v>63277.757721000002</v>
      </c>
      <c r="G85" s="138">
        <v>0</v>
      </c>
      <c r="H85" s="138">
        <v>0</v>
      </c>
      <c r="I85" s="138">
        <v>0</v>
      </c>
      <c r="J85" s="138">
        <v>0</v>
      </c>
      <c r="K85" s="138">
        <v>0</v>
      </c>
      <c r="L85" s="138">
        <v>0</v>
      </c>
      <c r="M85" s="138">
        <v>0</v>
      </c>
      <c r="N85" s="138">
        <v>0</v>
      </c>
      <c r="O85" s="138">
        <v>0</v>
      </c>
      <c r="P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row>
    <row r="86" spans="1:84" ht="27.95" customHeight="1" x14ac:dyDescent="0.3">
      <c r="A86" s="45"/>
      <c r="B86" s="102" t="s">
        <v>93</v>
      </c>
      <c r="C86" s="102" t="s">
        <v>94</v>
      </c>
      <c r="D86" s="102" t="s">
        <v>95</v>
      </c>
      <c r="E86" s="102" t="s">
        <v>82</v>
      </c>
      <c r="F86" s="138">
        <v>13701.301332839999</v>
      </c>
      <c r="G86" s="138">
        <v>0</v>
      </c>
      <c r="H86" s="138">
        <v>6852.7060671600002</v>
      </c>
      <c r="I86" s="138">
        <v>0</v>
      </c>
      <c r="J86" s="138">
        <v>0</v>
      </c>
      <c r="K86" s="138">
        <v>0</v>
      </c>
      <c r="L86" s="138">
        <v>0</v>
      </c>
      <c r="M86" s="138">
        <v>0</v>
      </c>
      <c r="N86" s="138">
        <v>0</v>
      </c>
      <c r="O86" s="138">
        <v>0</v>
      </c>
      <c r="P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row>
    <row r="87" spans="1:84" ht="27.95" customHeight="1" x14ac:dyDescent="0.3">
      <c r="A87" s="45"/>
      <c r="B87" s="102" t="s">
        <v>98</v>
      </c>
      <c r="C87" s="102" t="s">
        <v>99</v>
      </c>
      <c r="D87" s="102" t="s">
        <v>17</v>
      </c>
      <c r="E87" s="102" t="s">
        <v>82</v>
      </c>
      <c r="F87" s="138">
        <v>813.10897683333326</v>
      </c>
      <c r="G87" s="138">
        <v>0</v>
      </c>
      <c r="H87" s="138">
        <v>813.10897683333326</v>
      </c>
      <c r="I87" s="138">
        <v>0</v>
      </c>
      <c r="J87" s="138">
        <v>813.10897683333326</v>
      </c>
      <c r="K87" s="138">
        <v>0</v>
      </c>
      <c r="L87" s="138">
        <v>813.10897683333326</v>
      </c>
      <c r="M87" s="138">
        <v>0</v>
      </c>
      <c r="N87" s="138">
        <v>0</v>
      </c>
      <c r="O87" s="138">
        <v>0</v>
      </c>
      <c r="P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row>
    <row r="88" spans="1:84" ht="30" customHeight="1" x14ac:dyDescent="0.3">
      <c r="B88" s="224" t="s">
        <v>114</v>
      </c>
      <c r="C88" s="225"/>
      <c r="D88" s="225"/>
      <c r="E88" s="226"/>
      <c r="F88" s="124">
        <v>170997.90741100648</v>
      </c>
      <c r="G88" s="124">
        <v>94.1992878557528</v>
      </c>
      <c r="H88" s="124">
        <v>22004.173895043899</v>
      </c>
      <c r="I88" s="124">
        <v>94.206952799663057</v>
      </c>
      <c r="J88" s="124">
        <v>13356.8920070239</v>
      </c>
      <c r="K88" s="124">
        <v>94.207288849663058</v>
      </c>
      <c r="L88" s="124">
        <v>6716.4475625794548</v>
      </c>
      <c r="M88" s="124">
        <v>54.359859678893827</v>
      </c>
      <c r="N88" s="124">
        <v>4006.4831973665819</v>
      </c>
      <c r="O88" s="124">
        <v>6.6017415277643776</v>
      </c>
      <c r="P88" s="66"/>
      <c r="W88" s="66"/>
      <c r="X88" s="66"/>
      <c r="Y88" s="6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row>
    <row r="89" spans="1:84" ht="29.25" customHeight="1" x14ac:dyDescent="0.3">
      <c r="B89" s="31"/>
      <c r="C89" s="31"/>
      <c r="D89" s="31"/>
      <c r="E89" s="55"/>
      <c r="F89" s="169"/>
      <c r="G89" s="169"/>
      <c r="H89" s="169"/>
      <c r="I89" s="169"/>
      <c r="J89" s="169"/>
      <c r="K89" s="169"/>
      <c r="L89" s="169"/>
      <c r="M89" s="169"/>
      <c r="N89" s="169"/>
      <c r="O89" s="169"/>
      <c r="P89" s="169"/>
      <c r="Q89" s="169"/>
      <c r="R89" s="170"/>
      <c r="S89" s="170"/>
      <c r="T89" s="60"/>
      <c r="U89" s="60"/>
      <c r="V89" s="60"/>
      <c r="W89" s="60"/>
      <c r="X89" s="60"/>
      <c r="Y89" s="60"/>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row>
    <row r="90" spans="1:84" x14ac:dyDescent="0.3">
      <c r="B90" s="32"/>
      <c r="C90" s="32"/>
      <c r="D90" s="32"/>
      <c r="E90" s="32"/>
      <c r="F90" s="171"/>
      <c r="G90" s="171"/>
      <c r="H90" s="171"/>
      <c r="I90" s="171"/>
      <c r="J90" s="171"/>
      <c r="K90" s="171"/>
      <c r="L90" s="171"/>
      <c r="M90" s="171"/>
      <c r="N90" s="171"/>
      <c r="O90" s="171"/>
      <c r="P90" s="171"/>
      <c r="Q90" s="171"/>
      <c r="R90" s="172"/>
      <c r="S90" s="172"/>
      <c r="T90" s="32"/>
      <c r="U90" s="32"/>
      <c r="V90" s="32"/>
      <c r="W90" s="32"/>
      <c r="X90" s="32"/>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0"/>
      <c r="BX90" s="60"/>
      <c r="BY90" s="60"/>
      <c r="BZ90" s="60"/>
      <c r="CA90" s="60"/>
      <c r="CB90" s="60"/>
      <c r="CC90" s="60"/>
      <c r="CD90" s="60"/>
      <c r="CE90" s="60"/>
      <c r="CF90" s="60"/>
    </row>
    <row r="91" spans="1:84" x14ac:dyDescent="0.3">
      <c r="B91" s="32"/>
      <c r="C91" s="32"/>
      <c r="D91" s="32"/>
      <c r="E91" s="32"/>
      <c r="F91" s="86"/>
      <c r="G91" s="32"/>
      <c r="H91" s="32"/>
      <c r="I91" s="32"/>
      <c r="J91" s="32"/>
      <c r="K91" s="32"/>
      <c r="L91" s="32"/>
      <c r="M91" s="32"/>
      <c r="N91" s="32"/>
      <c r="O91" s="32"/>
      <c r="P91" s="32"/>
      <c r="Q91" s="32"/>
      <c r="R91" s="32"/>
      <c r="S91" s="32"/>
      <c r="T91" s="32"/>
      <c r="U91" s="32"/>
      <c r="V91" s="32"/>
      <c r="W91" s="32"/>
      <c r="X91" s="32"/>
    </row>
    <row r="92" spans="1:84" ht="20.25" customHeight="1" x14ac:dyDescent="0.3">
      <c r="B92" s="4" t="s">
        <v>115</v>
      </c>
      <c r="C92" s="4"/>
      <c r="D92" s="4"/>
      <c r="E92" s="4"/>
      <c r="F92" s="4"/>
      <c r="G92" s="4"/>
      <c r="H92" s="4"/>
      <c r="I92" s="4"/>
      <c r="J92" s="4"/>
      <c r="K92" s="4"/>
      <c r="L92" s="4"/>
      <c r="M92" s="4"/>
      <c r="N92" s="4"/>
      <c r="O92" s="4"/>
      <c r="P92" s="4"/>
      <c r="Q92" s="4"/>
      <c r="R92" s="4"/>
      <c r="S92" s="4"/>
    </row>
    <row r="93" spans="1:84" ht="17.25" customHeight="1" x14ac:dyDescent="0.3">
      <c r="B93" s="107" t="s">
        <v>2</v>
      </c>
      <c r="C93" s="1"/>
      <c r="D93" s="1"/>
      <c r="E93" s="1"/>
      <c r="F93" s="82"/>
      <c r="G93" s="1"/>
      <c r="H93" s="1"/>
      <c r="I93" s="1"/>
      <c r="J93" s="1"/>
      <c r="K93" s="1"/>
      <c r="L93" s="1"/>
      <c r="M93" s="1"/>
      <c r="N93" s="1"/>
      <c r="O93" s="1"/>
      <c r="P93" s="10"/>
    </row>
    <row r="94" spans="1:84" x14ac:dyDescent="0.3">
      <c r="G94" s="84"/>
      <c r="H94" s="84"/>
      <c r="I94" s="84"/>
      <c r="J94" s="84"/>
      <c r="K94" s="84"/>
      <c r="L94" s="84"/>
      <c r="M94" s="84"/>
      <c r="N94" s="84"/>
      <c r="O94" s="84"/>
      <c r="P94" s="84"/>
      <c r="Q94" s="84"/>
    </row>
    <row r="95" spans="1:84" ht="30" customHeight="1" x14ac:dyDescent="0.3">
      <c r="F95" s="121">
        <v>2026</v>
      </c>
      <c r="G95" s="121">
        <v>2026</v>
      </c>
      <c r="H95" s="121">
        <v>2027</v>
      </c>
      <c r="I95" s="121">
        <v>2027</v>
      </c>
      <c r="J95" s="121">
        <v>2028</v>
      </c>
      <c r="K95" s="121">
        <v>2028</v>
      </c>
      <c r="L95" s="121">
        <v>2029</v>
      </c>
      <c r="M95" s="121">
        <v>2029</v>
      </c>
      <c r="N95" s="122" t="s">
        <v>16</v>
      </c>
      <c r="O95" s="122" t="s">
        <v>16</v>
      </c>
      <c r="Q95" s="64"/>
      <c r="W95" s="65"/>
      <c r="X95" s="64"/>
      <c r="Y95" s="64"/>
    </row>
    <row r="96" spans="1:84" ht="32.25" customHeight="1" x14ac:dyDescent="0.3">
      <c r="B96" s="108" t="s">
        <v>3</v>
      </c>
      <c r="C96" s="108" t="s">
        <v>4</v>
      </c>
      <c r="D96" s="109" t="s">
        <v>5</v>
      </c>
      <c r="E96" s="109" t="s">
        <v>108</v>
      </c>
      <c r="F96" s="108" t="s">
        <v>17</v>
      </c>
      <c r="G96" s="123" t="s">
        <v>18</v>
      </c>
      <c r="H96" s="108" t="s">
        <v>17</v>
      </c>
      <c r="I96" s="123" t="s">
        <v>18</v>
      </c>
      <c r="J96" s="108" t="s">
        <v>17</v>
      </c>
      <c r="K96" s="123" t="s">
        <v>18</v>
      </c>
      <c r="L96" s="108" t="s">
        <v>17</v>
      </c>
      <c r="M96" s="123" t="s">
        <v>18</v>
      </c>
      <c r="N96" s="108" t="s">
        <v>17</v>
      </c>
      <c r="O96" s="123" t="s">
        <v>18</v>
      </c>
      <c r="Q96" s="18"/>
      <c r="W96" s="18"/>
      <c r="X96" s="18"/>
      <c r="Y96" s="18"/>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row>
    <row r="97" spans="1:68" ht="33.75" customHeight="1" x14ac:dyDescent="0.3">
      <c r="B97" s="111" t="s">
        <v>19</v>
      </c>
      <c r="C97" s="111"/>
      <c r="D97" s="111"/>
      <c r="E97" s="111"/>
      <c r="F97" s="124">
        <v>159.66168545641153</v>
      </c>
      <c r="G97" s="124">
        <v>0</v>
      </c>
      <c r="H97" s="124">
        <v>132.85338634621479</v>
      </c>
      <c r="I97" s="124">
        <v>0</v>
      </c>
      <c r="J97" s="124">
        <v>109.3690442354894</v>
      </c>
      <c r="K97" s="124">
        <v>0</v>
      </c>
      <c r="L97" s="124">
        <v>86.28966282978763</v>
      </c>
      <c r="M97" s="124">
        <v>0</v>
      </c>
      <c r="N97" s="124">
        <v>35.437400716905785</v>
      </c>
      <c r="O97" s="124">
        <v>0</v>
      </c>
      <c r="Q97" s="66"/>
      <c r="W97" s="66"/>
      <c r="X97" s="66"/>
      <c r="Y97" s="66"/>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row>
    <row r="98" spans="1:68" ht="27.95" customHeight="1" x14ac:dyDescent="0.3">
      <c r="B98" s="102" t="s">
        <v>20</v>
      </c>
      <c r="C98" s="102" t="s">
        <v>21</v>
      </c>
      <c r="D98" s="102" t="s">
        <v>17</v>
      </c>
      <c r="E98" s="102" t="s">
        <v>19</v>
      </c>
      <c r="F98" s="138">
        <v>155.53716788187347</v>
      </c>
      <c r="G98" s="138">
        <v>0</v>
      </c>
      <c r="H98" s="138">
        <v>132.85338634621479</v>
      </c>
      <c r="I98" s="138">
        <v>0</v>
      </c>
      <c r="J98" s="138">
        <v>109.3690442354894</v>
      </c>
      <c r="K98" s="138">
        <v>0</v>
      </c>
      <c r="L98" s="138">
        <v>86.28966282978763</v>
      </c>
      <c r="M98" s="138">
        <v>0</v>
      </c>
      <c r="N98" s="138">
        <v>35.437400716905785</v>
      </c>
      <c r="O98" s="138">
        <v>0</v>
      </c>
      <c r="Q98" s="52"/>
      <c r="W98" s="52"/>
      <c r="X98" s="52"/>
      <c r="Y98" s="52"/>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row>
    <row r="99" spans="1:68" ht="27.95" customHeight="1" x14ac:dyDescent="0.3">
      <c r="A99" s="45"/>
      <c r="B99" s="102" t="s">
        <v>26</v>
      </c>
      <c r="C99" s="102" t="s">
        <v>27</v>
      </c>
      <c r="D99" s="102" t="s">
        <v>17</v>
      </c>
      <c r="E99" s="102" t="s">
        <v>19</v>
      </c>
      <c r="F99" s="138">
        <v>0.30515752000000002</v>
      </c>
      <c r="G99" s="138">
        <v>0</v>
      </c>
      <c r="H99" s="138">
        <v>0</v>
      </c>
      <c r="I99" s="138">
        <v>0</v>
      </c>
      <c r="J99" s="138">
        <v>0</v>
      </c>
      <c r="K99" s="138">
        <v>0</v>
      </c>
      <c r="L99" s="138">
        <v>0</v>
      </c>
      <c r="M99" s="138">
        <v>0</v>
      </c>
      <c r="N99" s="138">
        <v>0</v>
      </c>
      <c r="O99" s="138">
        <v>0</v>
      </c>
      <c r="Q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row>
    <row r="100" spans="1:68" ht="27.95" customHeight="1" x14ac:dyDescent="0.3">
      <c r="A100" s="45"/>
      <c r="B100" s="102" t="s">
        <v>28</v>
      </c>
      <c r="C100" s="102" t="s">
        <v>29</v>
      </c>
      <c r="D100" s="102" t="s">
        <v>17</v>
      </c>
      <c r="E100" s="102" t="s">
        <v>19</v>
      </c>
      <c r="F100" s="138">
        <v>3.8086542699999999</v>
      </c>
      <c r="G100" s="138">
        <v>0</v>
      </c>
      <c r="H100" s="138">
        <v>0</v>
      </c>
      <c r="I100" s="138">
        <v>0</v>
      </c>
      <c r="J100" s="138">
        <v>0</v>
      </c>
      <c r="K100" s="138">
        <v>0</v>
      </c>
      <c r="L100" s="138">
        <v>0</v>
      </c>
      <c r="M100" s="138">
        <v>0</v>
      </c>
      <c r="N100" s="138">
        <v>0</v>
      </c>
      <c r="O100" s="138">
        <v>0</v>
      </c>
      <c r="Q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row>
    <row r="101" spans="1:68" ht="27.95" customHeight="1" x14ac:dyDescent="0.3">
      <c r="A101" s="45"/>
      <c r="B101" s="102" t="s">
        <v>33</v>
      </c>
      <c r="C101" s="102" t="s">
        <v>34</v>
      </c>
      <c r="D101" s="102" t="s">
        <v>17</v>
      </c>
      <c r="E101" s="102" t="s">
        <v>19</v>
      </c>
      <c r="F101" s="138">
        <v>1.0705784538065486E-2</v>
      </c>
      <c r="G101" s="138">
        <v>0</v>
      </c>
      <c r="H101" s="138">
        <v>0</v>
      </c>
      <c r="I101" s="138">
        <v>0</v>
      </c>
      <c r="J101" s="138">
        <v>0</v>
      </c>
      <c r="K101" s="138">
        <v>0</v>
      </c>
      <c r="L101" s="138">
        <v>0</v>
      </c>
      <c r="M101" s="138">
        <v>0</v>
      </c>
      <c r="N101" s="138">
        <v>0</v>
      </c>
      <c r="O101" s="138">
        <v>0</v>
      </c>
      <c r="Q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row>
    <row r="102" spans="1:68" ht="27.95" customHeight="1" x14ac:dyDescent="0.3">
      <c r="A102" s="45"/>
      <c r="B102" s="111" t="s">
        <v>35</v>
      </c>
      <c r="C102" s="111"/>
      <c r="D102" s="111"/>
      <c r="E102" s="111"/>
      <c r="F102" s="124">
        <v>10019.257992428727</v>
      </c>
      <c r="G102" s="124">
        <v>0</v>
      </c>
      <c r="H102" s="124">
        <v>5701.0396817516585</v>
      </c>
      <c r="I102" s="124">
        <v>0</v>
      </c>
      <c r="J102" s="124">
        <v>0</v>
      </c>
      <c r="K102" s="124">
        <v>0</v>
      </c>
      <c r="L102" s="124">
        <v>0</v>
      </c>
      <c r="M102" s="124">
        <v>0</v>
      </c>
      <c r="N102" s="124">
        <v>0</v>
      </c>
      <c r="O102" s="124">
        <v>0</v>
      </c>
      <c r="Q102" s="66"/>
      <c r="W102" s="66"/>
      <c r="X102" s="66"/>
      <c r="Y102" s="66"/>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row>
    <row r="103" spans="1:68" ht="27.95" customHeight="1" x14ac:dyDescent="0.3">
      <c r="A103" s="45"/>
      <c r="B103" s="5" t="s">
        <v>36</v>
      </c>
      <c r="C103" s="5" t="s">
        <v>37</v>
      </c>
      <c r="D103" s="5" t="s">
        <v>17</v>
      </c>
      <c r="E103" s="102" t="s">
        <v>35</v>
      </c>
      <c r="F103" s="138">
        <v>8761.7499721971853</v>
      </c>
      <c r="G103" s="138">
        <v>0</v>
      </c>
      <c r="H103" s="138">
        <v>5590.4484837659884</v>
      </c>
      <c r="I103" s="138">
        <v>0</v>
      </c>
      <c r="J103" s="138">
        <v>0</v>
      </c>
      <c r="K103" s="138">
        <v>0</v>
      </c>
      <c r="L103" s="138">
        <v>0</v>
      </c>
      <c r="M103" s="138">
        <v>0</v>
      </c>
      <c r="N103" s="138">
        <v>0</v>
      </c>
      <c r="O103" s="138">
        <v>0</v>
      </c>
      <c r="W103" s="52"/>
      <c r="X103" s="52"/>
      <c r="Y103" s="52"/>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row>
    <row r="104" spans="1:68" ht="27.95" customHeight="1" x14ac:dyDescent="0.3">
      <c r="A104" s="45"/>
      <c r="B104" s="102" t="s">
        <v>39</v>
      </c>
      <c r="C104" s="102" t="s">
        <v>40</v>
      </c>
      <c r="D104" s="102" t="s">
        <v>17</v>
      </c>
      <c r="E104" s="102" t="s">
        <v>35</v>
      </c>
      <c r="F104" s="138">
        <v>1257.5080202315421</v>
      </c>
      <c r="G104" s="138">
        <v>0</v>
      </c>
      <c r="H104" s="138">
        <v>110.59119798567006</v>
      </c>
      <c r="I104" s="138">
        <v>0</v>
      </c>
      <c r="J104" s="138">
        <v>0</v>
      </c>
      <c r="K104" s="138">
        <v>0</v>
      </c>
      <c r="L104" s="138">
        <v>0</v>
      </c>
      <c r="M104" s="138">
        <v>0</v>
      </c>
      <c r="N104" s="138">
        <v>0</v>
      </c>
      <c r="O104" s="138">
        <v>0</v>
      </c>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row>
    <row r="105" spans="1:68" ht="27.95" customHeight="1" x14ac:dyDescent="0.3">
      <c r="A105" s="45"/>
      <c r="B105" s="111" t="s">
        <v>42</v>
      </c>
      <c r="C105" s="111"/>
      <c r="D105" s="111"/>
      <c r="E105" s="111"/>
      <c r="F105" s="193">
        <v>7525.6981943800156</v>
      </c>
      <c r="G105" s="193">
        <v>0</v>
      </c>
      <c r="H105" s="193">
        <v>6086.0514963015667</v>
      </c>
      <c r="I105" s="193">
        <v>0</v>
      </c>
      <c r="J105" s="193">
        <v>4929.5795878994186</v>
      </c>
      <c r="K105" s="193">
        <v>0</v>
      </c>
      <c r="L105" s="193">
        <v>3031.439273449359</v>
      </c>
      <c r="M105" s="193">
        <v>0</v>
      </c>
      <c r="N105" s="193">
        <v>1797.8343085600279</v>
      </c>
      <c r="O105" s="193">
        <v>0</v>
      </c>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row>
    <row r="106" spans="1:68" ht="27.95" customHeight="1" x14ac:dyDescent="0.3">
      <c r="A106" s="45"/>
      <c r="B106" s="102" t="s">
        <v>43</v>
      </c>
      <c r="C106" s="102" t="s">
        <v>44</v>
      </c>
      <c r="D106" s="102" t="s">
        <v>17</v>
      </c>
      <c r="E106" s="102" t="s">
        <v>43</v>
      </c>
      <c r="F106" s="138">
        <v>7525.6981943800156</v>
      </c>
      <c r="G106" s="138">
        <v>0</v>
      </c>
      <c r="H106" s="138">
        <v>6086.0514963015667</v>
      </c>
      <c r="I106" s="138">
        <v>0</v>
      </c>
      <c r="J106" s="138">
        <v>4929.5795878994186</v>
      </c>
      <c r="K106" s="138">
        <v>0</v>
      </c>
      <c r="L106" s="138">
        <v>3031.439273449359</v>
      </c>
      <c r="M106" s="138">
        <v>0</v>
      </c>
      <c r="N106" s="138">
        <v>1797.8343085600279</v>
      </c>
      <c r="O106" s="138">
        <v>0</v>
      </c>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row>
    <row r="107" spans="1:68" ht="27.95" customHeight="1" x14ac:dyDescent="0.3">
      <c r="A107" s="45"/>
      <c r="B107" s="111" t="s">
        <v>48</v>
      </c>
      <c r="C107" s="111"/>
      <c r="D107" s="111"/>
      <c r="E107" s="111"/>
      <c r="F107" s="124">
        <v>0</v>
      </c>
      <c r="G107" s="124">
        <v>8.6385354064297992</v>
      </c>
      <c r="H107" s="124">
        <v>0</v>
      </c>
      <c r="I107" s="124">
        <v>7.7453297243155781</v>
      </c>
      <c r="J107" s="124">
        <v>0</v>
      </c>
      <c r="K107" s="124">
        <v>6.3889452787625949</v>
      </c>
      <c r="L107" s="124">
        <v>0</v>
      </c>
      <c r="M107" s="124">
        <v>4.9455866421546055</v>
      </c>
      <c r="N107" s="124">
        <v>0</v>
      </c>
      <c r="O107" s="124">
        <v>1.4348411249548465</v>
      </c>
      <c r="Q107" s="66"/>
      <c r="W107" s="66"/>
      <c r="X107" s="66"/>
      <c r="Y107" s="66"/>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row>
    <row r="108" spans="1:68" ht="27.95" customHeight="1" x14ac:dyDescent="0.3">
      <c r="A108" s="45"/>
      <c r="B108" s="116" t="s">
        <v>49</v>
      </c>
      <c r="C108" s="116"/>
      <c r="D108" s="116"/>
      <c r="E108" s="116"/>
      <c r="F108" s="127">
        <v>0</v>
      </c>
      <c r="G108" s="127">
        <v>7.3760178327612724</v>
      </c>
      <c r="H108" s="127">
        <v>0</v>
      </c>
      <c r="I108" s="127">
        <v>6.6131138174639323</v>
      </c>
      <c r="J108" s="127">
        <v>0</v>
      </c>
      <c r="K108" s="127">
        <v>5.3653030094672074</v>
      </c>
      <c r="L108" s="127">
        <v>0</v>
      </c>
      <c r="M108" s="127">
        <v>4.0179424097340908</v>
      </c>
      <c r="N108" s="127">
        <v>0</v>
      </c>
      <c r="O108" s="127">
        <v>1.2964401272752564</v>
      </c>
      <c r="Q108" s="68"/>
      <c r="W108" s="68"/>
      <c r="X108" s="68"/>
      <c r="Y108" s="68"/>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row>
    <row r="109" spans="1:68" ht="27.95" customHeight="1" x14ac:dyDescent="0.3">
      <c r="A109" s="45"/>
      <c r="B109" s="102" t="s">
        <v>50</v>
      </c>
      <c r="C109" s="102" t="s">
        <v>51</v>
      </c>
      <c r="D109" s="102" t="s">
        <v>18</v>
      </c>
      <c r="E109" s="102" t="s">
        <v>111</v>
      </c>
      <c r="F109" s="138">
        <v>0</v>
      </c>
      <c r="G109" s="138">
        <v>2.04692780266992</v>
      </c>
      <c r="H109" s="138">
        <v>0</v>
      </c>
      <c r="I109" s="138">
        <v>1.8777265461224928</v>
      </c>
      <c r="J109" s="138">
        <v>0</v>
      </c>
      <c r="K109" s="138">
        <v>1.5522312930896047</v>
      </c>
      <c r="L109" s="138">
        <v>0</v>
      </c>
      <c r="M109" s="138">
        <v>1.2053804362575566</v>
      </c>
      <c r="N109" s="138">
        <v>0</v>
      </c>
      <c r="O109" s="138">
        <v>0.1642497850755239</v>
      </c>
      <c r="Q109" s="52"/>
      <c r="W109" s="52"/>
      <c r="X109" s="52"/>
      <c r="Y109" s="52"/>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c r="BO109" s="68"/>
      <c r="BP109" s="68"/>
    </row>
    <row r="110" spans="1:68" ht="27.95" customHeight="1" x14ac:dyDescent="0.3">
      <c r="A110" s="45"/>
      <c r="B110" s="102" t="s">
        <v>54</v>
      </c>
      <c r="C110" s="102" t="s">
        <v>55</v>
      </c>
      <c r="D110" s="102" t="s">
        <v>18</v>
      </c>
      <c r="E110" s="102" t="s">
        <v>111</v>
      </c>
      <c r="F110" s="138">
        <v>0</v>
      </c>
      <c r="G110" s="138">
        <v>1.8545109761991705</v>
      </c>
      <c r="H110" s="138">
        <v>0</v>
      </c>
      <c r="I110" s="138">
        <v>1.5699142353403326</v>
      </c>
      <c r="J110" s="138">
        <v>0</v>
      </c>
      <c r="K110" s="138">
        <v>1.3164533991280225</v>
      </c>
      <c r="L110" s="138">
        <v>0</v>
      </c>
      <c r="M110" s="138">
        <v>0.97055833619949405</v>
      </c>
      <c r="N110" s="138">
        <v>0</v>
      </c>
      <c r="O110" s="138">
        <v>0</v>
      </c>
      <c r="Q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row>
    <row r="111" spans="1:68" ht="27.95" customHeight="1" x14ac:dyDescent="0.3">
      <c r="A111" s="45"/>
      <c r="B111" s="102" t="s">
        <v>56</v>
      </c>
      <c r="C111" s="102" t="s">
        <v>57</v>
      </c>
      <c r="D111" s="102" t="s">
        <v>18</v>
      </c>
      <c r="E111" s="102" t="s">
        <v>111</v>
      </c>
      <c r="F111" s="138">
        <v>0</v>
      </c>
      <c r="G111" s="138">
        <v>1.5136158916803149</v>
      </c>
      <c r="H111" s="138">
        <v>0</v>
      </c>
      <c r="I111" s="138">
        <v>1.2662607167094957</v>
      </c>
      <c r="J111" s="138">
        <v>0</v>
      </c>
      <c r="K111" s="138">
        <v>0.98216491787611948</v>
      </c>
      <c r="L111" s="138">
        <v>0</v>
      </c>
      <c r="M111" s="138">
        <v>0.72880511943213833</v>
      </c>
      <c r="N111" s="138">
        <v>0</v>
      </c>
      <c r="O111" s="138">
        <v>0</v>
      </c>
      <c r="Q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row>
    <row r="112" spans="1:68" ht="27.95" customHeight="1" x14ac:dyDescent="0.3">
      <c r="A112" s="45"/>
      <c r="B112" s="102" t="s">
        <v>58</v>
      </c>
      <c r="C112" s="102" t="s">
        <v>59</v>
      </c>
      <c r="D112" s="102" t="s">
        <v>18</v>
      </c>
      <c r="E112" s="102" t="s">
        <v>111</v>
      </c>
      <c r="F112" s="138">
        <v>0</v>
      </c>
      <c r="G112" s="138">
        <v>0.90511507000000002</v>
      </c>
      <c r="H112" s="138">
        <v>0</v>
      </c>
      <c r="I112" s="138">
        <v>0.99688286000000015</v>
      </c>
      <c r="J112" s="138">
        <v>0</v>
      </c>
      <c r="K112" s="138">
        <v>0.76037337000000005</v>
      </c>
      <c r="L112" s="138">
        <v>0</v>
      </c>
      <c r="M112" s="138">
        <v>0.52093159</v>
      </c>
      <c r="N112" s="138">
        <v>0</v>
      </c>
      <c r="O112" s="138">
        <v>0.7321722707809275</v>
      </c>
      <c r="Q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row>
    <row r="113" spans="1:68" ht="27.95" customHeight="1" x14ac:dyDescent="0.3">
      <c r="A113" s="45"/>
      <c r="B113" s="102" t="s">
        <v>60</v>
      </c>
      <c r="C113" s="102" t="s">
        <v>61</v>
      </c>
      <c r="D113" s="102" t="s">
        <v>18</v>
      </c>
      <c r="E113" s="102" t="s">
        <v>111</v>
      </c>
      <c r="F113" s="138">
        <v>0</v>
      </c>
      <c r="G113" s="138">
        <v>0.63593703504485244</v>
      </c>
      <c r="H113" s="138">
        <v>0</v>
      </c>
      <c r="I113" s="138">
        <v>0.537490315173768</v>
      </c>
      <c r="J113" s="138">
        <v>0</v>
      </c>
      <c r="K113" s="138">
        <v>0.44638722529214075</v>
      </c>
      <c r="L113" s="138">
        <v>0</v>
      </c>
      <c r="M113" s="138">
        <v>0.33749522064917348</v>
      </c>
      <c r="N113" s="138">
        <v>0</v>
      </c>
      <c r="O113" s="138">
        <v>6.5413902841702842E-2</v>
      </c>
      <c r="Q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row>
    <row r="114" spans="1:68" ht="27.95" customHeight="1" x14ac:dyDescent="0.3">
      <c r="A114" s="45"/>
      <c r="B114" s="102" t="s">
        <v>62</v>
      </c>
      <c r="C114" s="102" t="s">
        <v>63</v>
      </c>
      <c r="D114" s="102" t="s">
        <v>18</v>
      </c>
      <c r="E114" s="102" t="s">
        <v>111</v>
      </c>
      <c r="F114" s="138">
        <v>0</v>
      </c>
      <c r="G114" s="138">
        <v>0.25822202240924358</v>
      </c>
      <c r="H114" s="138">
        <v>0</v>
      </c>
      <c r="I114" s="138">
        <v>0.23750458392815882</v>
      </c>
      <c r="J114" s="138">
        <v>0</v>
      </c>
      <c r="K114" s="138">
        <v>0.21247419626376302</v>
      </c>
      <c r="L114" s="138">
        <v>0</v>
      </c>
      <c r="M114" s="138">
        <v>0.19017899130417232</v>
      </c>
      <c r="N114" s="138">
        <v>0</v>
      </c>
      <c r="O114" s="138">
        <v>0.22042434166455632</v>
      </c>
      <c r="Q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row>
    <row r="115" spans="1:68" ht="27.95" customHeight="1" x14ac:dyDescent="0.3">
      <c r="A115" s="45"/>
      <c r="B115" s="102" t="s">
        <v>65</v>
      </c>
      <c r="C115" s="102" t="s">
        <v>66</v>
      </c>
      <c r="D115" s="102" t="s">
        <v>18</v>
      </c>
      <c r="E115" s="102" t="s">
        <v>111</v>
      </c>
      <c r="F115" s="138">
        <v>0</v>
      </c>
      <c r="G115" s="138">
        <v>0.15850760012403056</v>
      </c>
      <c r="H115" s="138">
        <v>0</v>
      </c>
      <c r="I115" s="138">
        <v>0.12448520273128379</v>
      </c>
      <c r="J115" s="138">
        <v>0</v>
      </c>
      <c r="K115" s="138">
        <v>9.2705296922427599E-2</v>
      </c>
      <c r="L115" s="138">
        <v>0</v>
      </c>
      <c r="M115" s="138">
        <v>6.2419468394553215E-2</v>
      </c>
      <c r="N115" s="138">
        <v>0</v>
      </c>
      <c r="O115" s="138">
        <v>0</v>
      </c>
      <c r="Q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row>
    <row r="116" spans="1:68" ht="27.95" customHeight="1" x14ac:dyDescent="0.3">
      <c r="A116" s="45"/>
      <c r="B116" s="102" t="s">
        <v>69</v>
      </c>
      <c r="C116" s="102" t="s">
        <v>70</v>
      </c>
      <c r="D116" s="102" t="s">
        <v>18</v>
      </c>
      <c r="E116" s="102" t="s">
        <v>111</v>
      </c>
      <c r="F116" s="138">
        <v>0</v>
      </c>
      <c r="G116" s="138">
        <v>3.181434633739902E-3</v>
      </c>
      <c r="H116" s="138">
        <v>0</v>
      </c>
      <c r="I116" s="138">
        <v>2.8493574583996852E-3</v>
      </c>
      <c r="J116" s="138">
        <v>0</v>
      </c>
      <c r="K116" s="138">
        <v>2.5133108951284266E-3</v>
      </c>
      <c r="L116" s="138">
        <v>0</v>
      </c>
      <c r="M116" s="138">
        <v>2.1732474970019913E-3</v>
      </c>
      <c r="N116" s="138">
        <v>0</v>
      </c>
      <c r="O116" s="138">
        <v>0.11417982691254573</v>
      </c>
      <c r="Q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row>
    <row r="117" spans="1:68" ht="27.95" customHeight="1" x14ac:dyDescent="0.3">
      <c r="A117" s="45"/>
      <c r="B117" s="102" t="s">
        <v>71</v>
      </c>
      <c r="C117" s="102" t="s">
        <v>72</v>
      </c>
      <c r="D117" s="102" t="s">
        <v>18</v>
      </c>
      <c r="E117" s="102" t="s">
        <v>111</v>
      </c>
      <c r="F117" s="138">
        <v>0</v>
      </c>
      <c r="G117" s="138">
        <v>0</v>
      </c>
      <c r="H117" s="138">
        <v>0</v>
      </c>
      <c r="I117" s="138">
        <v>0</v>
      </c>
      <c r="J117" s="138">
        <v>0</v>
      </c>
      <c r="K117" s="138">
        <v>0</v>
      </c>
      <c r="L117" s="138">
        <v>0</v>
      </c>
      <c r="M117" s="138">
        <v>0</v>
      </c>
      <c r="N117" s="138">
        <v>0</v>
      </c>
      <c r="O117" s="138">
        <v>0</v>
      </c>
      <c r="Q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row>
    <row r="118" spans="1:68" ht="27.95" customHeight="1" x14ac:dyDescent="0.3">
      <c r="A118" s="45"/>
      <c r="B118" s="116" t="s">
        <v>73</v>
      </c>
      <c r="C118" s="116"/>
      <c r="D118" s="116"/>
      <c r="E118" s="116"/>
      <c r="F118" s="127">
        <v>0</v>
      </c>
      <c r="G118" s="127">
        <v>1.2625175736685261</v>
      </c>
      <c r="H118" s="127">
        <v>0</v>
      </c>
      <c r="I118" s="127">
        <v>1.1322159068516462</v>
      </c>
      <c r="J118" s="127">
        <v>0</v>
      </c>
      <c r="K118" s="127">
        <v>1.0236422692953875</v>
      </c>
      <c r="L118" s="127">
        <v>0</v>
      </c>
      <c r="M118" s="127">
        <v>0.92764423242051519</v>
      </c>
      <c r="N118" s="127">
        <v>0</v>
      </c>
      <c r="O118" s="127">
        <v>0.13840099767959022</v>
      </c>
      <c r="P118" s="68"/>
      <c r="Q118" s="68"/>
      <c r="W118" s="68"/>
      <c r="X118" s="68"/>
      <c r="Y118" s="68"/>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row>
    <row r="119" spans="1:68" ht="27.95" customHeight="1" x14ac:dyDescent="0.3">
      <c r="A119" s="45"/>
      <c r="B119" s="102" t="s">
        <v>74</v>
      </c>
      <c r="C119" s="102" t="s">
        <v>75</v>
      </c>
      <c r="D119" s="102" t="s">
        <v>18</v>
      </c>
      <c r="E119" s="102" t="s">
        <v>111</v>
      </c>
      <c r="F119" s="138">
        <v>0</v>
      </c>
      <c r="G119" s="138">
        <v>0.85804589019639455</v>
      </c>
      <c r="H119" s="138">
        <v>0</v>
      </c>
      <c r="I119" s="138">
        <v>0.80908195573507735</v>
      </c>
      <c r="J119" s="138">
        <v>0</v>
      </c>
      <c r="K119" s="138">
        <v>0.73261100931003176</v>
      </c>
      <c r="L119" s="138">
        <v>0</v>
      </c>
      <c r="M119" s="138">
        <v>0.66259023160271813</v>
      </c>
      <c r="N119" s="138">
        <v>0</v>
      </c>
      <c r="O119" s="138">
        <v>0</v>
      </c>
      <c r="Q119" s="52"/>
      <c r="W119" s="52"/>
      <c r="X119" s="52"/>
      <c r="Y119" s="52"/>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c r="BO119" s="68"/>
      <c r="BP119" s="68"/>
    </row>
    <row r="120" spans="1:68" ht="27.95" customHeight="1" x14ac:dyDescent="0.3">
      <c r="A120" s="45"/>
      <c r="B120" s="102" t="s">
        <v>112</v>
      </c>
      <c r="C120" s="102" t="s">
        <v>79</v>
      </c>
      <c r="D120" s="102" t="s">
        <v>18</v>
      </c>
      <c r="E120" s="102" t="s">
        <v>111</v>
      </c>
      <c r="F120" s="138">
        <v>0</v>
      </c>
      <c r="G120" s="138">
        <v>0.2665954334721316</v>
      </c>
      <c r="H120" s="138">
        <v>0</v>
      </c>
      <c r="I120" s="138">
        <v>0.19989438111656893</v>
      </c>
      <c r="J120" s="138">
        <v>0</v>
      </c>
      <c r="K120" s="138">
        <v>0.17533414998535585</v>
      </c>
      <c r="L120" s="138">
        <v>0</v>
      </c>
      <c r="M120" s="138">
        <v>0.15485477081779711</v>
      </c>
      <c r="N120" s="138">
        <v>0</v>
      </c>
      <c r="O120" s="138">
        <v>0</v>
      </c>
      <c r="Q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row>
    <row r="121" spans="1:68" ht="27.95" customHeight="1" x14ac:dyDescent="0.3">
      <c r="A121" s="45"/>
      <c r="B121" s="102" t="s">
        <v>80</v>
      </c>
      <c r="C121" s="102" t="s">
        <v>81</v>
      </c>
      <c r="D121" s="102" t="s">
        <v>18</v>
      </c>
      <c r="E121" s="102" t="s">
        <v>111</v>
      </c>
      <c r="F121" s="138">
        <v>0</v>
      </c>
      <c r="G121" s="138">
        <v>0.13787625000000001</v>
      </c>
      <c r="H121" s="138">
        <v>0</v>
      </c>
      <c r="I121" s="138">
        <v>0.12323957000000001</v>
      </c>
      <c r="J121" s="138">
        <v>0</v>
      </c>
      <c r="K121" s="138">
        <v>0.11569710999999999</v>
      </c>
      <c r="L121" s="138">
        <v>0</v>
      </c>
      <c r="M121" s="138">
        <v>0.11019923000000001</v>
      </c>
      <c r="N121" s="138">
        <v>0</v>
      </c>
      <c r="O121" s="138">
        <v>0.13840099767959022</v>
      </c>
      <c r="Q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row>
    <row r="122" spans="1:68" ht="27.95" customHeight="1" x14ac:dyDescent="0.3">
      <c r="A122" s="45"/>
      <c r="B122" s="111" t="s">
        <v>82</v>
      </c>
      <c r="C122" s="111"/>
      <c r="D122" s="111"/>
      <c r="E122" s="111"/>
      <c r="F122" s="124">
        <v>46368.546774090442</v>
      </c>
      <c r="G122" s="124">
        <v>14.893103762307696</v>
      </c>
      <c r="H122" s="124">
        <v>635.17929277157759</v>
      </c>
      <c r="I122" s="124">
        <v>10.310610288461547</v>
      </c>
      <c r="J122" s="124">
        <v>361.01164564885045</v>
      </c>
      <c r="K122" s="124">
        <v>5.7281168269230855</v>
      </c>
      <c r="L122" s="124">
        <v>114.3651483472941</v>
      </c>
      <c r="M122" s="124">
        <v>1.1456233653846195</v>
      </c>
      <c r="N122" s="124">
        <v>0</v>
      </c>
      <c r="O122" s="124">
        <v>0</v>
      </c>
      <c r="Q122" s="66"/>
      <c r="W122" s="66"/>
      <c r="X122" s="66"/>
      <c r="Y122" s="66"/>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row>
    <row r="123" spans="1:68" ht="27.95" customHeight="1" x14ac:dyDescent="0.3">
      <c r="A123" s="45"/>
      <c r="B123" s="102" t="s">
        <v>113</v>
      </c>
      <c r="C123" s="102" t="s">
        <v>84</v>
      </c>
      <c r="D123" s="102" t="s">
        <v>18</v>
      </c>
      <c r="E123" s="102" t="s">
        <v>82</v>
      </c>
      <c r="F123" s="138">
        <v>0</v>
      </c>
      <c r="G123" s="138">
        <v>14.893103762307696</v>
      </c>
      <c r="H123" s="138">
        <v>0</v>
      </c>
      <c r="I123" s="138">
        <v>10.310610288461547</v>
      </c>
      <c r="J123" s="138">
        <v>0</v>
      </c>
      <c r="K123" s="138">
        <v>5.7281168269230855</v>
      </c>
      <c r="L123" s="138">
        <v>0</v>
      </c>
      <c r="M123" s="138">
        <v>1.1456233653846195</v>
      </c>
      <c r="N123" s="138">
        <v>0</v>
      </c>
      <c r="O123" s="138">
        <v>0</v>
      </c>
      <c r="Q123" s="52"/>
      <c r="W123" s="52"/>
      <c r="X123" s="52"/>
      <c r="Y123" s="52"/>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row>
    <row r="124" spans="1:68" ht="27.95" customHeight="1" x14ac:dyDescent="0.3">
      <c r="A124" s="45"/>
      <c r="B124" s="102" t="s">
        <v>87</v>
      </c>
      <c r="C124" s="102" t="s">
        <v>88</v>
      </c>
      <c r="D124" s="102" t="s">
        <v>17</v>
      </c>
      <c r="E124" s="102" t="s">
        <v>82</v>
      </c>
      <c r="F124" s="138">
        <v>16910.122926439999</v>
      </c>
      <c r="G124" s="138">
        <v>0</v>
      </c>
      <c r="H124" s="138">
        <v>0</v>
      </c>
      <c r="I124" s="138">
        <v>0</v>
      </c>
      <c r="J124" s="138">
        <v>0</v>
      </c>
      <c r="K124" s="138">
        <v>0</v>
      </c>
      <c r="L124" s="138">
        <v>0</v>
      </c>
      <c r="M124" s="138">
        <v>0</v>
      </c>
      <c r="N124" s="138">
        <v>0</v>
      </c>
      <c r="O124" s="138">
        <v>0</v>
      </c>
      <c r="Q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row>
    <row r="125" spans="1:68" ht="27.95" customHeight="1" x14ac:dyDescent="0.3">
      <c r="A125" s="45"/>
      <c r="B125" s="102" t="s">
        <v>90</v>
      </c>
      <c r="C125" s="102" t="s">
        <v>91</v>
      </c>
      <c r="D125" s="102" t="s">
        <v>17</v>
      </c>
      <c r="E125" s="102" t="s">
        <v>82</v>
      </c>
      <c r="F125" s="138">
        <v>28419.401629659998</v>
      </c>
      <c r="G125" s="138">
        <v>0</v>
      </c>
      <c r="H125" s="138">
        <v>0</v>
      </c>
      <c r="I125" s="138">
        <v>0</v>
      </c>
      <c r="J125" s="138">
        <v>0</v>
      </c>
      <c r="K125" s="138">
        <v>0</v>
      </c>
      <c r="L125" s="138">
        <v>0</v>
      </c>
      <c r="M125" s="138">
        <v>0</v>
      </c>
      <c r="N125" s="138">
        <v>0</v>
      </c>
      <c r="O125" s="138">
        <v>0</v>
      </c>
      <c r="Q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row>
    <row r="126" spans="1:68" ht="27.95" customHeight="1" x14ac:dyDescent="0.3">
      <c r="A126" s="45"/>
      <c r="B126" s="102" t="s">
        <v>93</v>
      </c>
      <c r="C126" s="102" t="s">
        <v>94</v>
      </c>
      <c r="D126" s="102" t="s">
        <v>95</v>
      </c>
      <c r="E126" s="102" t="s">
        <v>82</v>
      </c>
      <c r="F126" s="138">
        <v>0</v>
      </c>
      <c r="G126" s="138">
        <v>0</v>
      </c>
      <c r="H126" s="138">
        <v>0</v>
      </c>
      <c r="I126" s="138">
        <v>0</v>
      </c>
      <c r="J126" s="138">
        <v>0</v>
      </c>
      <c r="K126" s="138">
        <v>0</v>
      </c>
      <c r="L126" s="138">
        <v>0</v>
      </c>
      <c r="M126" s="138">
        <v>0</v>
      </c>
      <c r="N126" s="138">
        <v>0</v>
      </c>
      <c r="O126" s="138">
        <v>0</v>
      </c>
      <c r="Q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row>
    <row r="127" spans="1:68" ht="27.95" customHeight="1" x14ac:dyDescent="0.3">
      <c r="A127" s="45"/>
      <c r="B127" s="102" t="s">
        <v>98</v>
      </c>
      <c r="C127" s="102" t="s">
        <v>99</v>
      </c>
      <c r="D127" s="102" t="s">
        <v>17</v>
      </c>
      <c r="E127" s="102" t="s">
        <v>82</v>
      </c>
      <c r="F127" s="138">
        <v>1039.0222179904472</v>
      </c>
      <c r="G127" s="138">
        <v>0</v>
      </c>
      <c r="H127" s="138">
        <v>635.17929277157759</v>
      </c>
      <c r="I127" s="138">
        <v>0</v>
      </c>
      <c r="J127" s="138">
        <v>361.01164564885045</v>
      </c>
      <c r="K127" s="138">
        <v>0</v>
      </c>
      <c r="L127" s="138">
        <v>114.3651483472941</v>
      </c>
      <c r="M127" s="138">
        <v>0</v>
      </c>
      <c r="N127" s="138">
        <v>0</v>
      </c>
      <c r="O127" s="138">
        <v>0</v>
      </c>
      <c r="Q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row>
    <row r="128" spans="1:68" ht="27.95" customHeight="1" x14ac:dyDescent="0.3">
      <c r="A128" s="45"/>
      <c r="B128" s="221" t="s">
        <v>114</v>
      </c>
      <c r="C128" s="212"/>
      <c r="D128" s="212"/>
      <c r="E128" s="222"/>
      <c r="F128" s="124">
        <v>64073.164646355595</v>
      </c>
      <c r="G128" s="124">
        <v>23.531639168737495</v>
      </c>
      <c r="H128" s="124">
        <v>12555.123857171016</v>
      </c>
      <c r="I128" s="124">
        <v>18.055940012777125</v>
      </c>
      <c r="J128" s="124">
        <v>5399.9602777837581</v>
      </c>
      <c r="K128" s="124">
        <v>12.11706210568568</v>
      </c>
      <c r="L128" s="124">
        <v>3232.0940846264407</v>
      </c>
      <c r="M128" s="124">
        <v>6.0912100075392246</v>
      </c>
      <c r="N128" s="124">
        <v>1833.2717092769337</v>
      </c>
      <c r="O128" s="124">
        <v>1.4348411249548465</v>
      </c>
      <c r="Q128" s="52"/>
      <c r="W128" s="51"/>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row>
    <row r="129" spans="2:84" ht="32.25" customHeight="1" x14ac:dyDescent="0.3">
      <c r="B129" s="32"/>
      <c r="C129" s="32"/>
      <c r="D129" s="32"/>
      <c r="E129" s="55"/>
      <c r="F129" s="85"/>
      <c r="G129" s="57"/>
      <c r="H129" s="57"/>
      <c r="I129" s="57"/>
      <c r="J129" s="57"/>
      <c r="K129" s="57"/>
      <c r="L129" s="57"/>
      <c r="M129" s="57"/>
      <c r="N129" s="57"/>
      <c r="O129" s="57"/>
      <c r="Q129" s="66"/>
      <c r="W129" s="66"/>
      <c r="X129" s="66"/>
      <c r="Y129" s="66"/>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row>
    <row r="130" spans="2:84" ht="29.25" customHeight="1" x14ac:dyDescent="0.3">
      <c r="P130" s="57"/>
      <c r="Q130" s="57"/>
      <c r="R130" s="57"/>
      <c r="S130" s="57"/>
      <c r="T130" s="60"/>
      <c r="U130" s="60"/>
      <c r="V130" s="60"/>
      <c r="W130" s="60"/>
      <c r="X130" s="60"/>
      <c r="Y130" s="60"/>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row>
    <row r="131" spans="2:84" x14ac:dyDescent="0.3">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0"/>
      <c r="BS131" s="60"/>
      <c r="BT131" s="60"/>
      <c r="BU131" s="60"/>
      <c r="BV131" s="60"/>
      <c r="BW131" s="60"/>
      <c r="BX131" s="60"/>
      <c r="BY131" s="60"/>
      <c r="BZ131" s="60"/>
      <c r="CA131" s="60"/>
      <c r="CB131" s="60"/>
      <c r="CC131" s="60"/>
      <c r="CD131" s="60"/>
      <c r="CE131" s="60"/>
      <c r="CF131" s="60"/>
    </row>
  </sheetData>
  <mergeCells count="19">
    <mergeCell ref="B128:E128"/>
    <mergeCell ref="N6:N8"/>
    <mergeCell ref="B45:N45"/>
    <mergeCell ref="I6:I8"/>
    <mergeCell ref="K6:K8"/>
    <mergeCell ref="L6:L8"/>
    <mergeCell ref="B44:N44"/>
    <mergeCell ref="B88:E88"/>
    <mergeCell ref="B41:D41"/>
    <mergeCell ref="B2:S2"/>
    <mergeCell ref="E6:E7"/>
    <mergeCell ref="C6:C8"/>
    <mergeCell ref="D6:D8"/>
    <mergeCell ref="J6:J8"/>
    <mergeCell ref="M6:M8"/>
    <mergeCell ref="H6:H8"/>
    <mergeCell ref="G6:G8"/>
    <mergeCell ref="F6:F7"/>
    <mergeCell ref="B6:B8"/>
  </mergeCells>
  <hyperlinks>
    <hyperlink ref="C12" location="FFFIRF26!A1" display="FFFIRF26" xr:uid="{00000000-0004-0000-0000-000000000000}"/>
    <hyperlink ref="C13" location="FFFIRE26!A1" display="FFFIRE26" xr:uid="{00000000-0004-0000-0000-000002000000}"/>
    <hyperlink ref="C16" location="BNAM27!A1" display="BNAM27" xr:uid="{00000000-0004-0000-0000-000003000000}"/>
    <hyperlink ref="C22" location="BIDF40!A1" display="BIDF40" xr:uid="{00000000-0004-0000-0000-000004000000}"/>
    <hyperlink ref="C25" location="BIDY42!A1" display="BIDY42" xr:uid="{00000000-0004-0000-0000-000005000000}"/>
    <hyperlink ref="C27" location="BIDN32!A1" display="BIDN32" xr:uid="{00000000-0004-0000-0000-000006000000}"/>
    <hyperlink ref="C28" location="BIDS34!A1" display="BIDS34" xr:uid="{00000000-0004-0000-0000-000007000000}"/>
    <hyperlink ref="C29" location="BIDS23!A1" display="BIDS23" xr:uid="{00000000-0004-0000-0000-000008000000}"/>
    <hyperlink ref="C31" location="BIRS38!A1" display="BIRS38" xr:uid="{00000000-0004-0000-0000-000009000000}"/>
    <hyperlink ref="C36" location="'TAMAR 1'!A1" display="TAMAR 1" xr:uid="{00000000-0004-0000-0000-00000A000000}"/>
    <hyperlink ref="C37" location="'TAMAR 2'!A1" display="'TAMAR 2'!A1" xr:uid="{00000000-0004-0000-0000-00000B000000}"/>
    <hyperlink ref="C59" location="FFFIRF26!A1" display="FFFIRF26" xr:uid="{00000000-0004-0000-0000-00000E000000}"/>
    <hyperlink ref="C60" location="IPVO26!A1" display="IPVO26" xr:uid="{00000000-0004-0000-0000-00000F000000}"/>
    <hyperlink ref="C61" location="FFFIRE26!A1" display="FFFIRE26" xr:uid="{00000000-0004-0000-0000-000010000000}"/>
    <hyperlink ref="C64" location="BNAM27!A1" display="BNAM27" xr:uid="{00000000-0004-0000-0000-000011000000}"/>
    <hyperlink ref="C69" location="BIDN44!A1" display="BIDN44" xr:uid="{00000000-0004-0000-0000-000012000000}"/>
    <hyperlink ref="C70" location="BIDF40!A1" display="BIDF40" xr:uid="{00000000-0004-0000-0000-000013000000}"/>
    <hyperlink ref="C73" location="BIDY42!A1" display="BIDY42" xr:uid="{00000000-0004-0000-0000-000014000000}"/>
    <hyperlink ref="C75" location="BIDN32!A1" display="BIDN32" xr:uid="{00000000-0004-0000-0000-000015000000}"/>
    <hyperlink ref="C76" location="BIDS34!A1" display="BIDS34" xr:uid="{00000000-0004-0000-0000-000016000000}"/>
    <hyperlink ref="C77" location="BIDS23!A1" display="BIDS23" xr:uid="{00000000-0004-0000-0000-000017000000}"/>
    <hyperlink ref="C79" location="BIRS38!A1" display="BIRS38" xr:uid="{00000000-0004-0000-0000-000018000000}"/>
    <hyperlink ref="C80" location="BIRFE50!A1" display="BIRFE50" xr:uid="{00000000-0004-0000-0000-000019000000}"/>
    <hyperlink ref="C85" location="'TAMAR 2'!A1" display="'TAMAR 2'!A1" xr:uid="{00000000-0004-0000-0000-00001A000000}"/>
    <hyperlink ref="C99" location="FFFIRF26!A1" display="FFFIRF26" xr:uid="{00000000-0004-0000-0000-00001C000000}"/>
    <hyperlink ref="C100" location="IPVO26!A1" display="IPVO26" xr:uid="{00000000-0004-0000-0000-00001D000000}"/>
    <hyperlink ref="C101" location="FFFIRE26!A1" display="FFFIRE26" xr:uid="{00000000-0004-0000-0000-00001E000000}"/>
    <hyperlink ref="C104" location="BNAM27!A1" display="BNAM27" xr:uid="{00000000-0004-0000-0000-00001F000000}"/>
    <hyperlink ref="C109" location="BIDN44!A1" display="BIDN44" xr:uid="{00000000-0004-0000-0000-000020000000}"/>
    <hyperlink ref="C110" location="BIDF40!A1" display="BIDF40" xr:uid="{00000000-0004-0000-0000-000021000000}"/>
    <hyperlink ref="C113" location="BIDY42!A1" display="BIDY42" xr:uid="{00000000-0004-0000-0000-000022000000}"/>
    <hyperlink ref="C115" location="BIDN32!A1" display="BIDN32" xr:uid="{00000000-0004-0000-0000-000023000000}"/>
    <hyperlink ref="C116" location="BIDS34!A1" display="BIDS34" xr:uid="{00000000-0004-0000-0000-000025000000}"/>
    <hyperlink ref="C117" location="BIDS23!A1" display="BIDS23" xr:uid="{00000000-0004-0000-0000-000026000000}"/>
    <hyperlink ref="C119" location="BIRS38!A1" display="BIRS38" xr:uid="{00000000-0004-0000-0000-000027000000}"/>
    <hyperlink ref="C124" location="'TAMAR 1'!A1" display="TAMAR 1" xr:uid="{00000000-0004-0000-0000-000028000000}"/>
    <hyperlink ref="C125" location="'TAMAR 2'!A1" display="'TAMAR 2'!A1" xr:uid="{00000000-0004-0000-0000-000029000000}"/>
    <hyperlink ref="C11" location="IPVO26!A1" display="IPVO26" xr:uid="{10AE1DE0-F7E4-48FB-8A7D-19CFC9C01CBE}"/>
  </hyperlinks>
  <pageMargins left="0.7" right="0.7" top="0.75" bottom="0.75" header="0.3" footer="0.3"/>
  <pageSetup paperSize="9"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48"/>
  <sheetViews>
    <sheetView showGridLines="0" zoomScale="85" zoomScaleNormal="85" workbookViewId="0">
      <pane xSplit="2" ySplit="1" topLeftCell="C2" activePane="bottomRight" state="frozen"/>
      <selection activeCell="F22" sqref="F22:Q22"/>
      <selection pane="topRight" activeCell="F22" sqref="F22:Q22"/>
      <selection pane="bottomLeft" activeCell="F22" sqref="F22:Q22"/>
      <selection pane="bottomRight" sqref="A1:XFD1048576"/>
    </sheetView>
  </sheetViews>
  <sheetFormatPr baseColWidth="10" defaultRowHeight="16.5" x14ac:dyDescent="0.3"/>
  <cols>
    <col min="1" max="1" width="5.28515625" style="13" customWidth="1"/>
    <col min="2" max="2" width="38.85546875" style="1" bestFit="1" customWidth="1"/>
    <col min="3" max="3" width="12.5703125" style="1" customWidth="1"/>
    <col min="4" max="4" width="30.85546875" style="1" customWidth="1"/>
    <col min="5" max="5" width="13.7109375" style="10" customWidth="1"/>
    <col min="6" max="6" width="12" style="10" customWidth="1"/>
    <col min="7" max="7" width="11.42578125" style="10" customWidth="1"/>
    <col min="8" max="16384" width="11.42578125" style="10"/>
  </cols>
  <sheetData>
    <row r="1" spans="1:70" ht="28.5" customHeight="1" x14ac:dyDescent="0.3">
      <c r="B1" s="211" t="s">
        <v>116</v>
      </c>
      <c r="C1" s="228"/>
      <c r="D1" s="228"/>
      <c r="E1" s="229"/>
    </row>
    <row r="2" spans="1:70" ht="17.25" customHeight="1" x14ac:dyDescent="0.3">
      <c r="B2" s="107" t="s">
        <v>2</v>
      </c>
    </row>
    <row r="4" spans="1:70" ht="30.75" customHeight="1" x14ac:dyDescent="0.3">
      <c r="B4" s="232" t="s">
        <v>117</v>
      </c>
      <c r="C4" s="225"/>
      <c r="D4" s="225"/>
      <c r="F4" s="73"/>
      <c r="G4" s="73"/>
      <c r="H4" s="73"/>
      <c r="I4" s="73"/>
      <c r="J4" s="73"/>
      <c r="K4" s="73"/>
      <c r="L4" s="73"/>
      <c r="M4" s="73"/>
      <c r="N4" s="73"/>
      <c r="O4" s="73"/>
      <c r="P4" s="73"/>
      <c r="Q4" s="73"/>
    </row>
    <row r="5" spans="1:70" ht="15.75" customHeight="1" x14ac:dyDescent="0.3">
      <c r="B5" s="237" t="s">
        <v>3</v>
      </c>
      <c r="C5" s="233" t="s">
        <v>4</v>
      </c>
      <c r="D5" s="239" t="s">
        <v>108</v>
      </c>
      <c r="F5" s="132">
        <v>2026</v>
      </c>
      <c r="G5" s="132">
        <v>2026</v>
      </c>
      <c r="H5" s="132">
        <v>2026</v>
      </c>
      <c r="I5" s="132">
        <v>2026</v>
      </c>
      <c r="J5" s="132">
        <v>2026</v>
      </c>
      <c r="K5" s="132">
        <v>2026</v>
      </c>
      <c r="L5" s="132">
        <v>2026</v>
      </c>
      <c r="M5" s="132">
        <v>2026</v>
      </c>
      <c r="N5" s="132">
        <v>2026</v>
      </c>
      <c r="O5" s="132">
        <v>2026</v>
      </c>
      <c r="P5" s="132">
        <v>2026</v>
      </c>
      <c r="Q5" s="132">
        <v>2026</v>
      </c>
      <c r="R5" s="132">
        <v>2027</v>
      </c>
      <c r="S5" s="132">
        <v>2027</v>
      </c>
      <c r="T5" s="132">
        <v>2027</v>
      </c>
      <c r="U5" s="132">
        <v>2027</v>
      </c>
      <c r="V5" s="132">
        <v>2027</v>
      </c>
      <c r="W5" s="132">
        <v>2027</v>
      </c>
      <c r="X5" s="132">
        <v>2027</v>
      </c>
      <c r="Y5" s="132">
        <v>2027</v>
      </c>
      <c r="Z5" s="132">
        <v>2027</v>
      </c>
      <c r="AA5" s="132">
        <v>2027</v>
      </c>
      <c r="AB5" s="132">
        <v>2027</v>
      </c>
      <c r="AC5" s="132">
        <v>2027</v>
      </c>
    </row>
    <row r="6" spans="1:70" x14ac:dyDescent="0.3">
      <c r="B6" s="215"/>
      <c r="C6" s="215"/>
      <c r="D6" s="215"/>
      <c r="F6" s="132">
        <v>1</v>
      </c>
      <c r="G6" s="132">
        <v>2</v>
      </c>
      <c r="H6" s="132">
        <v>3</v>
      </c>
      <c r="I6" s="132">
        <v>4</v>
      </c>
      <c r="J6" s="132">
        <v>5</v>
      </c>
      <c r="K6" s="132">
        <v>6</v>
      </c>
      <c r="L6" s="132">
        <v>7</v>
      </c>
      <c r="M6" s="132">
        <v>8</v>
      </c>
      <c r="N6" s="132">
        <v>9</v>
      </c>
      <c r="O6" s="132">
        <v>10</v>
      </c>
      <c r="P6" s="132">
        <v>11</v>
      </c>
      <c r="Q6" s="132">
        <v>12</v>
      </c>
      <c r="R6" s="132">
        <v>1</v>
      </c>
      <c r="S6" s="132">
        <v>2</v>
      </c>
      <c r="T6" s="132">
        <v>3</v>
      </c>
      <c r="U6" s="132">
        <v>4</v>
      </c>
      <c r="V6" s="132">
        <v>5</v>
      </c>
      <c r="W6" s="132">
        <v>6</v>
      </c>
      <c r="X6" s="132">
        <v>7</v>
      </c>
      <c r="Y6" s="132">
        <v>8</v>
      </c>
      <c r="Z6" s="132">
        <v>9</v>
      </c>
      <c r="AA6" s="132">
        <v>10</v>
      </c>
      <c r="AB6" s="132">
        <v>11</v>
      </c>
      <c r="AC6" s="132">
        <v>12</v>
      </c>
    </row>
    <row r="7" spans="1:70" x14ac:dyDescent="0.3">
      <c r="A7" s="56"/>
      <c r="B7" s="143" t="s">
        <v>28</v>
      </c>
      <c r="C7" s="143" t="s">
        <v>29</v>
      </c>
      <c r="D7" s="143" t="s">
        <v>19</v>
      </c>
      <c r="E7" s="44"/>
      <c r="F7" s="155">
        <v>2.1147366600000002</v>
      </c>
      <c r="G7" s="155">
        <v>0</v>
      </c>
      <c r="H7" s="155">
        <v>0</v>
      </c>
      <c r="I7" s="155">
        <v>0.86314481999999992</v>
      </c>
      <c r="J7" s="155">
        <v>0</v>
      </c>
      <c r="K7" s="155">
        <v>0</v>
      </c>
      <c r="L7" s="155">
        <v>0.55761346000000001</v>
      </c>
      <c r="M7" s="155">
        <v>0</v>
      </c>
      <c r="N7" s="155">
        <v>0</v>
      </c>
      <c r="O7" s="155">
        <v>0.27315933000000003</v>
      </c>
      <c r="P7" s="155">
        <v>0</v>
      </c>
      <c r="Q7" s="155">
        <v>0</v>
      </c>
      <c r="R7" s="155">
        <v>0</v>
      </c>
      <c r="S7" s="155">
        <v>0</v>
      </c>
      <c r="T7" s="155">
        <v>0</v>
      </c>
      <c r="U7" s="155">
        <v>0</v>
      </c>
      <c r="V7" s="155">
        <v>0</v>
      </c>
      <c r="W7" s="155">
        <v>0</v>
      </c>
      <c r="X7" s="155">
        <v>0</v>
      </c>
      <c r="Y7" s="155">
        <v>0</v>
      </c>
      <c r="Z7" s="155">
        <v>0</v>
      </c>
      <c r="AA7" s="155">
        <v>0</v>
      </c>
      <c r="AB7" s="155">
        <v>0</v>
      </c>
      <c r="AC7" s="155">
        <v>0</v>
      </c>
    </row>
    <row r="8" spans="1:70" x14ac:dyDescent="0.3">
      <c r="A8" s="56"/>
      <c r="B8" s="143" t="s">
        <v>98</v>
      </c>
      <c r="C8" s="143" t="s">
        <v>99</v>
      </c>
      <c r="D8" s="143" t="s">
        <v>82</v>
      </c>
      <c r="E8" s="44"/>
      <c r="F8" s="155">
        <v>0</v>
      </c>
      <c r="G8" s="155">
        <v>0</v>
      </c>
      <c r="H8" s="155">
        <v>329.23261756963126</v>
      </c>
      <c r="I8" s="155">
        <v>0</v>
      </c>
      <c r="J8" s="155">
        <v>0</v>
      </c>
      <c r="K8" s="155">
        <v>257.33467665171895</v>
      </c>
      <c r="L8" s="155">
        <v>0</v>
      </c>
      <c r="M8" s="155">
        <v>0</v>
      </c>
      <c r="N8" s="155">
        <v>244.61663803559551</v>
      </c>
      <c r="O8" s="155">
        <v>0</v>
      </c>
      <c r="P8" s="155">
        <v>0</v>
      </c>
      <c r="Q8" s="155">
        <v>207.83828573350141</v>
      </c>
      <c r="R8" s="155">
        <v>0</v>
      </c>
      <c r="S8" s="155">
        <v>0</v>
      </c>
      <c r="T8" s="155">
        <v>193.117886085225</v>
      </c>
      <c r="U8" s="155">
        <v>0</v>
      </c>
      <c r="V8" s="155">
        <v>0</v>
      </c>
      <c r="W8" s="155">
        <v>164.53768027700818</v>
      </c>
      <c r="X8" s="155">
        <v>0</v>
      </c>
      <c r="Y8" s="155">
        <v>0</v>
      </c>
      <c r="Z8" s="155">
        <v>153.49953326240941</v>
      </c>
      <c r="AA8" s="155">
        <v>0</v>
      </c>
      <c r="AB8" s="155">
        <v>0</v>
      </c>
      <c r="AC8" s="155">
        <v>124.02419314693503</v>
      </c>
    </row>
    <row r="9" spans="1:70" x14ac:dyDescent="0.3">
      <c r="A9" s="56"/>
      <c r="B9" s="143" t="s">
        <v>93</v>
      </c>
      <c r="C9" s="143" t="s">
        <v>94</v>
      </c>
      <c r="D9" s="143" t="s">
        <v>82</v>
      </c>
      <c r="E9" s="44"/>
      <c r="F9" s="155">
        <v>0</v>
      </c>
      <c r="G9" s="155">
        <v>0</v>
      </c>
      <c r="H9" s="155">
        <v>0</v>
      </c>
      <c r="I9" s="155">
        <v>0</v>
      </c>
      <c r="J9" s="155">
        <v>0</v>
      </c>
      <c r="K9" s="155">
        <v>0</v>
      </c>
      <c r="L9" s="155">
        <v>0</v>
      </c>
      <c r="M9" s="155">
        <v>0</v>
      </c>
      <c r="N9" s="155">
        <v>0</v>
      </c>
      <c r="O9" s="155">
        <v>0</v>
      </c>
      <c r="P9" s="155">
        <v>0</v>
      </c>
      <c r="Q9" s="155">
        <v>0</v>
      </c>
      <c r="R9" s="155">
        <v>0</v>
      </c>
      <c r="S9" s="155">
        <v>0</v>
      </c>
      <c r="T9" s="155">
        <v>0</v>
      </c>
      <c r="U9" s="155">
        <v>0</v>
      </c>
      <c r="V9" s="155">
        <v>0</v>
      </c>
      <c r="W9" s="155">
        <v>0</v>
      </c>
      <c r="X9" s="155">
        <v>0</v>
      </c>
      <c r="Y9" s="155">
        <v>0</v>
      </c>
      <c r="Z9" s="155">
        <v>0</v>
      </c>
      <c r="AA9" s="155">
        <v>0</v>
      </c>
      <c r="AB9" s="155">
        <v>0</v>
      </c>
      <c r="AC9" s="155">
        <v>0</v>
      </c>
    </row>
    <row r="10" spans="1:70" x14ac:dyDescent="0.3">
      <c r="A10" s="56"/>
      <c r="B10" s="143" t="s">
        <v>26</v>
      </c>
      <c r="C10" s="143" t="s">
        <v>27</v>
      </c>
      <c r="D10" s="143" t="s">
        <v>19</v>
      </c>
      <c r="E10" s="44"/>
      <c r="F10" s="155">
        <v>0.20254916999999997</v>
      </c>
      <c r="G10" s="155">
        <v>0.10260835</v>
      </c>
      <c r="H10" s="155">
        <v>0</v>
      </c>
      <c r="I10" s="155">
        <v>0</v>
      </c>
      <c r="J10" s="155">
        <v>0</v>
      </c>
      <c r="K10" s="155">
        <v>0</v>
      </c>
      <c r="L10" s="155">
        <v>0</v>
      </c>
      <c r="M10" s="155">
        <v>0</v>
      </c>
      <c r="N10" s="155">
        <v>0</v>
      </c>
      <c r="O10" s="155">
        <v>0</v>
      </c>
      <c r="P10" s="155">
        <v>0</v>
      </c>
      <c r="Q10" s="155">
        <v>0</v>
      </c>
      <c r="R10" s="155">
        <v>0</v>
      </c>
      <c r="S10" s="155">
        <v>0</v>
      </c>
      <c r="T10" s="155">
        <v>0</v>
      </c>
      <c r="U10" s="155">
        <v>0</v>
      </c>
      <c r="V10" s="155">
        <v>0</v>
      </c>
      <c r="W10" s="155">
        <v>0</v>
      </c>
      <c r="X10" s="155">
        <v>0</v>
      </c>
      <c r="Y10" s="155">
        <v>0</v>
      </c>
      <c r="Z10" s="155">
        <v>0</v>
      </c>
      <c r="AA10" s="155">
        <v>0</v>
      </c>
      <c r="AB10" s="155">
        <v>0</v>
      </c>
      <c r="AC10" s="155">
        <v>0</v>
      </c>
    </row>
    <row r="11" spans="1:70" x14ac:dyDescent="0.3">
      <c r="A11" s="56"/>
      <c r="B11" s="143" t="s">
        <v>33</v>
      </c>
      <c r="C11" s="143" t="s">
        <v>34</v>
      </c>
      <c r="D11" s="143" t="s">
        <v>19</v>
      </c>
      <c r="E11" s="44"/>
      <c r="F11" s="155">
        <v>1.0705784538065486E-2</v>
      </c>
      <c r="G11" s="155">
        <v>0</v>
      </c>
      <c r="H11" s="155">
        <v>0</v>
      </c>
      <c r="I11" s="155">
        <v>0</v>
      </c>
      <c r="J11" s="155">
        <v>0</v>
      </c>
      <c r="K11" s="155">
        <v>0</v>
      </c>
      <c r="L11" s="155">
        <v>0</v>
      </c>
      <c r="M11" s="155">
        <v>0</v>
      </c>
      <c r="N11" s="155">
        <v>0</v>
      </c>
      <c r="O11" s="155">
        <v>0</v>
      </c>
      <c r="P11" s="155">
        <v>0</v>
      </c>
      <c r="Q11" s="155">
        <v>0</v>
      </c>
      <c r="R11" s="155">
        <v>0</v>
      </c>
      <c r="S11" s="155">
        <v>0</v>
      </c>
      <c r="T11" s="155">
        <v>0</v>
      </c>
      <c r="U11" s="155">
        <v>0</v>
      </c>
      <c r="V11" s="155">
        <v>0</v>
      </c>
      <c r="W11" s="155">
        <v>0</v>
      </c>
      <c r="X11" s="155">
        <v>0</v>
      </c>
      <c r="Y11" s="155">
        <v>0</v>
      </c>
      <c r="Z11" s="155">
        <v>0</v>
      </c>
      <c r="AA11" s="155">
        <v>0</v>
      </c>
      <c r="AB11" s="155">
        <v>0</v>
      </c>
      <c r="AC11" s="155">
        <v>0</v>
      </c>
    </row>
    <row r="12" spans="1:70" x14ac:dyDescent="0.3">
      <c r="A12" s="56"/>
      <c r="B12" s="143" t="s">
        <v>20</v>
      </c>
      <c r="C12" s="143" t="s">
        <v>21</v>
      </c>
      <c r="D12" s="143" t="s">
        <v>19</v>
      </c>
      <c r="E12" s="44"/>
      <c r="F12" s="155">
        <v>13.719001925731739</v>
      </c>
      <c r="G12" s="155">
        <v>13.571485776002863</v>
      </c>
      <c r="H12" s="155">
        <v>12.124875791473281</v>
      </c>
      <c r="I12" s="155">
        <v>13.411754913248759</v>
      </c>
      <c r="J12" s="155">
        <v>12.834905239570917</v>
      </c>
      <c r="K12" s="155">
        <v>13.113715915197806</v>
      </c>
      <c r="L12" s="155">
        <v>13.020121698682292</v>
      </c>
      <c r="M12" s="155">
        <v>13.299480631692246</v>
      </c>
      <c r="N12" s="155">
        <v>13.144835508079453</v>
      </c>
      <c r="O12" s="155">
        <v>12.443852246133014</v>
      </c>
      <c r="P12" s="155">
        <v>12.705568186241948</v>
      </c>
      <c r="Q12" s="155">
        <v>12.147570049819141</v>
      </c>
      <c r="R12" s="155">
        <v>12.27256481980694</v>
      </c>
      <c r="S12" s="155">
        <v>12.121051673895398</v>
      </c>
      <c r="T12" s="155">
        <v>10.811196089791869</v>
      </c>
      <c r="U12" s="155">
        <v>11.708092964749397</v>
      </c>
      <c r="V12" s="155">
        <v>11.185150847229112</v>
      </c>
      <c r="W12" s="155">
        <v>11.407885452857437</v>
      </c>
      <c r="X12" s="155">
        <v>10.792333015630867</v>
      </c>
      <c r="Y12" s="155">
        <v>11.003383083504811</v>
      </c>
      <c r="Z12" s="155">
        <v>10.854688717524395</v>
      </c>
      <c r="AA12" s="155">
        <v>10.262437039368807</v>
      </c>
      <c r="AB12" s="155">
        <v>10.457233297999581</v>
      </c>
      <c r="AC12" s="155">
        <v>9.9773693438561857</v>
      </c>
    </row>
    <row r="13" spans="1:70" s="189" customFormat="1" x14ac:dyDescent="0.3">
      <c r="A13" s="181"/>
      <c r="B13" s="143" t="s">
        <v>39</v>
      </c>
      <c r="C13" s="143" t="s">
        <v>40</v>
      </c>
      <c r="D13" s="143" t="s">
        <v>35</v>
      </c>
      <c r="E13" s="188"/>
      <c r="F13" s="155">
        <v>181.00937938494266</v>
      </c>
      <c r="G13" s="155">
        <v>144.29371408001759</v>
      </c>
      <c r="H13" s="155">
        <v>148.67936191611722</v>
      </c>
      <c r="I13" s="155">
        <v>174.64662546485161</v>
      </c>
      <c r="J13" s="155">
        <v>96.85730700047003</v>
      </c>
      <c r="K13" s="155">
        <v>102.49848045568599</v>
      </c>
      <c r="L13" s="155">
        <v>88.502456420260785</v>
      </c>
      <c r="M13" s="155">
        <v>82.427193597013371</v>
      </c>
      <c r="N13" s="155">
        <v>74.568672785507147</v>
      </c>
      <c r="O13" s="155">
        <v>62.283318086316896</v>
      </c>
      <c r="P13" s="155">
        <v>56.085404717122671</v>
      </c>
      <c r="Q13" s="155">
        <v>45.656106323236415</v>
      </c>
      <c r="R13" s="155">
        <v>38.584640257559769</v>
      </c>
      <c r="S13" s="155">
        <v>30.295722614263862</v>
      </c>
      <c r="T13" s="155">
        <v>20.155614170957033</v>
      </c>
      <c r="U13" s="155">
        <v>14.611183083525683</v>
      </c>
      <c r="V13" s="155">
        <v>6.9440378593637009</v>
      </c>
      <c r="W13" s="155">
        <v>0</v>
      </c>
      <c r="X13" s="155">
        <v>0</v>
      </c>
      <c r="Y13" s="155">
        <v>0</v>
      </c>
      <c r="Z13" s="155">
        <v>0</v>
      </c>
      <c r="AA13" s="155">
        <v>0</v>
      </c>
      <c r="AB13" s="155">
        <v>0</v>
      </c>
      <c r="AC13" s="155">
        <v>0</v>
      </c>
    </row>
    <row r="14" spans="1:70" s="190" customFormat="1" x14ac:dyDescent="0.3">
      <c r="A14" s="56"/>
      <c r="B14" s="156" t="s">
        <v>36</v>
      </c>
      <c r="C14" s="156" t="s">
        <v>37</v>
      </c>
      <c r="D14" s="156" t="s">
        <v>35</v>
      </c>
      <c r="E14" s="44"/>
      <c r="F14" s="184">
        <v>821.55994847687509</v>
      </c>
      <c r="G14" s="184">
        <v>840.35764888235883</v>
      </c>
      <c r="H14" s="184">
        <v>799.86022568704846</v>
      </c>
      <c r="I14" s="184">
        <v>770.11957083834318</v>
      </c>
      <c r="J14" s="184">
        <v>749.03508561636534</v>
      </c>
      <c r="K14" s="184">
        <v>768.64417899536818</v>
      </c>
      <c r="L14" s="184">
        <v>706.05513698624998</v>
      </c>
      <c r="M14" s="184">
        <v>713.7282876711904</v>
      </c>
      <c r="N14" s="184">
        <v>700.96789497713689</v>
      </c>
      <c r="O14" s="184">
        <v>646.41291385081706</v>
      </c>
      <c r="P14" s="184">
        <v>650.15481260272929</v>
      </c>
      <c r="Q14" s="184">
        <v>594.85426761270332</v>
      </c>
      <c r="R14" s="155">
        <v>599.68903706982258</v>
      </c>
      <c r="S14" s="155">
        <v>575.4863277524297</v>
      </c>
      <c r="T14" s="155">
        <v>491.25629717887864</v>
      </c>
      <c r="U14" s="155">
        <v>521.6285540335233</v>
      </c>
      <c r="V14" s="155">
        <v>491.15707762561641</v>
      </c>
      <c r="W14" s="155">
        <v>485.23167053268679</v>
      </c>
      <c r="X14" s="155">
        <v>448.62897096917283</v>
      </c>
      <c r="Y14" s="155">
        <v>442.56389077919744</v>
      </c>
      <c r="Z14" s="155">
        <v>415.31568670266353</v>
      </c>
      <c r="AA14" s="155">
        <v>389.35690616889195</v>
      </c>
      <c r="AB14" s="155">
        <v>383.08943080269796</v>
      </c>
      <c r="AC14" s="155">
        <v>347.04463415040647</v>
      </c>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row>
    <row r="15" spans="1:70" s="190" customFormat="1" x14ac:dyDescent="0.3">
      <c r="A15" s="56"/>
      <c r="B15" s="5" t="s">
        <v>87</v>
      </c>
      <c r="C15" s="5" t="s">
        <v>88</v>
      </c>
      <c r="D15" s="156" t="s">
        <v>82</v>
      </c>
      <c r="E15" s="44"/>
      <c r="F15" s="184">
        <v>0</v>
      </c>
      <c r="G15" s="184">
        <v>0</v>
      </c>
      <c r="H15" s="184">
        <v>10579.473702020001</v>
      </c>
      <c r="I15" s="184">
        <v>0</v>
      </c>
      <c r="J15" s="184">
        <v>0</v>
      </c>
      <c r="K15" s="184">
        <v>6330.6492244199999</v>
      </c>
      <c r="L15" s="184">
        <v>0</v>
      </c>
      <c r="M15" s="184">
        <v>0</v>
      </c>
      <c r="N15" s="184">
        <v>0</v>
      </c>
      <c r="O15" s="184">
        <v>0</v>
      </c>
      <c r="P15" s="184">
        <v>0</v>
      </c>
      <c r="Q15" s="184">
        <v>0</v>
      </c>
      <c r="R15" s="155">
        <v>0</v>
      </c>
      <c r="S15" s="155">
        <v>0</v>
      </c>
      <c r="T15" s="155">
        <v>0</v>
      </c>
      <c r="U15" s="155">
        <v>0</v>
      </c>
      <c r="V15" s="155">
        <v>0</v>
      </c>
      <c r="W15" s="155">
        <v>0</v>
      </c>
      <c r="X15" s="155">
        <v>0</v>
      </c>
      <c r="Y15" s="155">
        <v>0</v>
      </c>
      <c r="Z15" s="155">
        <v>0</v>
      </c>
      <c r="AA15" s="155">
        <v>0</v>
      </c>
      <c r="AB15" s="155">
        <v>0</v>
      </c>
      <c r="AC15" s="155">
        <v>0</v>
      </c>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row>
    <row r="16" spans="1:70" s="190" customFormat="1" x14ac:dyDescent="0.3">
      <c r="A16" s="56"/>
      <c r="B16" s="5" t="s">
        <v>90</v>
      </c>
      <c r="C16" s="5" t="s">
        <v>91</v>
      </c>
      <c r="D16" s="156" t="s">
        <v>82</v>
      </c>
      <c r="E16" s="44"/>
      <c r="F16" s="184">
        <v>0</v>
      </c>
      <c r="G16" s="184">
        <v>0</v>
      </c>
      <c r="H16" s="184">
        <v>9975.9615346999999</v>
      </c>
      <c r="I16" s="184">
        <v>0</v>
      </c>
      <c r="J16" s="184">
        <v>0</v>
      </c>
      <c r="K16" s="184">
        <v>8784.1990778999989</v>
      </c>
      <c r="L16" s="184">
        <v>0</v>
      </c>
      <c r="M16" s="184">
        <v>0</v>
      </c>
      <c r="N16" s="184">
        <v>4949.9632888999995</v>
      </c>
      <c r="O16" s="184">
        <v>0</v>
      </c>
      <c r="P16" s="184">
        <v>0</v>
      </c>
      <c r="Q16" s="184">
        <v>4709.2777281600002</v>
      </c>
      <c r="R16" s="155">
        <v>0</v>
      </c>
      <c r="S16" s="155">
        <v>0</v>
      </c>
      <c r="T16" s="155">
        <v>0</v>
      </c>
      <c r="U16" s="155">
        <v>0</v>
      </c>
      <c r="V16" s="155">
        <v>0</v>
      </c>
      <c r="W16" s="155">
        <v>0</v>
      </c>
      <c r="X16" s="155">
        <v>0</v>
      </c>
      <c r="Y16" s="155">
        <v>0</v>
      </c>
      <c r="Z16" s="155">
        <v>0</v>
      </c>
      <c r="AA16" s="155">
        <v>0</v>
      </c>
      <c r="AB16" s="155">
        <v>0</v>
      </c>
      <c r="AC16" s="155">
        <v>0</v>
      </c>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row>
    <row r="17" spans="1:70" s="190" customFormat="1" x14ac:dyDescent="0.3">
      <c r="A17" s="56"/>
      <c r="B17" s="5" t="s">
        <v>110</v>
      </c>
      <c r="C17" s="9" t="s">
        <v>44</v>
      </c>
      <c r="D17" s="156" t="s">
        <v>43</v>
      </c>
      <c r="E17" s="44"/>
      <c r="F17" s="184">
        <v>636.10075951896886</v>
      </c>
      <c r="G17" s="184">
        <v>759.60359825679245</v>
      </c>
      <c r="H17" s="184">
        <v>655.16855646750412</v>
      </c>
      <c r="I17" s="184">
        <v>738.66610007664656</v>
      </c>
      <c r="J17" s="184">
        <v>533.29085888458258</v>
      </c>
      <c r="K17" s="184">
        <v>620.20435453291225</v>
      </c>
      <c r="L17" s="184">
        <v>615.3131529987412</v>
      </c>
      <c r="M17" s="184">
        <v>598.30439411539726</v>
      </c>
      <c r="N17" s="184">
        <v>640.53597484559964</v>
      </c>
      <c r="O17" s="184">
        <v>541.45285421886251</v>
      </c>
      <c r="P17" s="184">
        <v>589.20827783218181</v>
      </c>
      <c r="Q17" s="184">
        <v>597.84931263182557</v>
      </c>
      <c r="R17" s="155">
        <v>532.60451286285206</v>
      </c>
      <c r="S17" s="155">
        <v>560.01722639570096</v>
      </c>
      <c r="T17" s="155">
        <v>497.57650234605251</v>
      </c>
      <c r="U17" s="155">
        <v>541.94512998617267</v>
      </c>
      <c r="V17" s="155">
        <v>515.02621801713633</v>
      </c>
      <c r="W17" s="155">
        <v>556.38351960662635</v>
      </c>
      <c r="X17" s="155">
        <v>463.66985502576398</v>
      </c>
      <c r="Y17" s="155">
        <v>504.24525234707016</v>
      </c>
      <c r="Z17" s="155">
        <v>511.32694543804593</v>
      </c>
      <c r="AA17" s="155">
        <v>455.25535287097068</v>
      </c>
      <c r="AB17" s="155">
        <v>478.15357185493667</v>
      </c>
      <c r="AC17" s="155">
        <v>469.84740955023841</v>
      </c>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row>
    <row r="18" spans="1:70" ht="28.5" customHeight="1" x14ac:dyDescent="0.3">
      <c r="B18" s="230" t="s">
        <v>118</v>
      </c>
      <c r="C18" s="228"/>
      <c r="D18" s="228"/>
      <c r="E18" s="7"/>
      <c r="F18" s="131">
        <v>1654.7170809210565</v>
      </c>
      <c r="G18" s="131">
        <v>1757.9290553451717</v>
      </c>
      <c r="H18" s="131">
        <v>22500.500874151774</v>
      </c>
      <c r="I18" s="131">
        <v>1697.70719611309</v>
      </c>
      <c r="J18" s="131">
        <v>1392.0181567409888</v>
      </c>
      <c r="K18" s="131">
        <v>16876.643708870881</v>
      </c>
      <c r="L18" s="131">
        <v>1423.4484815639344</v>
      </c>
      <c r="M18" s="131">
        <v>1407.7593560152932</v>
      </c>
      <c r="N18" s="131">
        <v>6623.7973050519176</v>
      </c>
      <c r="O18" s="131">
        <v>1262.8660977321294</v>
      </c>
      <c r="P18" s="131">
        <v>1308.1540633382756</v>
      </c>
      <c r="Q18" s="131">
        <v>6167.623270511086</v>
      </c>
      <c r="R18" s="131">
        <v>1183.1507550100414</v>
      </c>
      <c r="S18" s="131">
        <v>1177.9203284362898</v>
      </c>
      <c r="T18" s="131">
        <v>1212.917495870905</v>
      </c>
      <c r="U18" s="131">
        <v>1089.8929600679712</v>
      </c>
      <c r="V18" s="131">
        <v>1024.3124843493456</v>
      </c>
      <c r="W18" s="131">
        <v>1217.5607558691788</v>
      </c>
      <c r="X18" s="131">
        <v>923.09115901056771</v>
      </c>
      <c r="Y18" s="131">
        <v>957.81252620977239</v>
      </c>
      <c r="Z18" s="131">
        <v>1090.9968541206433</v>
      </c>
      <c r="AA18" s="131">
        <v>854.8746960792314</v>
      </c>
      <c r="AB18" s="131">
        <v>871.7002359556343</v>
      </c>
      <c r="AC18" s="131">
        <v>950.89360619143611</v>
      </c>
    </row>
    <row r="19" spans="1:70" ht="16.5" customHeight="1" x14ac:dyDescent="0.3">
      <c r="B19" s="231" t="s">
        <v>119</v>
      </c>
      <c r="C19" s="228"/>
      <c r="D19" s="228"/>
      <c r="F19" s="191"/>
      <c r="G19" s="191"/>
      <c r="H19" s="191"/>
      <c r="I19" s="191"/>
      <c r="J19" s="191"/>
      <c r="K19" s="191"/>
      <c r="L19" s="191"/>
      <c r="M19" s="191"/>
      <c r="N19" s="191"/>
      <c r="O19" s="191"/>
      <c r="P19" s="191"/>
      <c r="Q19" s="191"/>
    </row>
    <row r="20" spans="1:70" x14ac:dyDescent="0.3">
      <c r="B20" s="228"/>
      <c r="C20" s="228"/>
      <c r="D20" s="228"/>
    </row>
    <row r="21" spans="1:70" x14ac:dyDescent="0.3">
      <c r="B21" s="53"/>
      <c r="C21" s="53"/>
      <c r="D21" s="53"/>
    </row>
    <row r="22" spans="1:70" x14ac:dyDescent="0.3">
      <c r="B22" s="53"/>
      <c r="C22" s="53"/>
      <c r="D22" s="53"/>
    </row>
    <row r="23" spans="1:70" x14ac:dyDescent="0.3">
      <c r="B23" s="53"/>
      <c r="C23" s="53"/>
      <c r="D23" s="53"/>
    </row>
    <row r="24" spans="1:70" x14ac:dyDescent="0.3">
      <c r="B24" s="53"/>
      <c r="C24" s="53"/>
      <c r="D24" s="53"/>
    </row>
    <row r="25" spans="1:70" ht="30.75" customHeight="1" x14ac:dyDescent="0.3">
      <c r="B25" s="234" t="s">
        <v>120</v>
      </c>
      <c r="C25" s="235"/>
      <c r="D25" s="236"/>
      <c r="F25" s="192"/>
      <c r="G25" s="192"/>
      <c r="H25" s="192"/>
      <c r="I25" s="192"/>
      <c r="J25" s="192"/>
      <c r="K25" s="192"/>
      <c r="L25" s="192"/>
      <c r="M25" s="192"/>
      <c r="N25" s="192"/>
      <c r="O25" s="192"/>
      <c r="P25" s="192"/>
      <c r="Q25" s="192"/>
    </row>
    <row r="26" spans="1:70" x14ac:dyDescent="0.3">
      <c r="B26" s="238" t="s">
        <v>3</v>
      </c>
      <c r="C26" s="239" t="s">
        <v>4</v>
      </c>
      <c r="D26" s="239" t="s">
        <v>108</v>
      </c>
      <c r="F26" s="132">
        <v>2026</v>
      </c>
      <c r="G26" s="132">
        <v>2026</v>
      </c>
      <c r="H26" s="132">
        <v>2026</v>
      </c>
      <c r="I26" s="132">
        <v>2026</v>
      </c>
      <c r="J26" s="132">
        <v>2026</v>
      </c>
      <c r="K26" s="132">
        <v>2026</v>
      </c>
      <c r="L26" s="132">
        <v>2026</v>
      </c>
      <c r="M26" s="132">
        <v>2026</v>
      </c>
      <c r="N26" s="132">
        <v>2026</v>
      </c>
      <c r="O26" s="132">
        <v>2026</v>
      </c>
      <c r="P26" s="132">
        <v>2026</v>
      </c>
      <c r="Q26" s="132">
        <v>2026</v>
      </c>
      <c r="R26" s="132">
        <v>2027</v>
      </c>
      <c r="S26" s="132">
        <v>2027</v>
      </c>
      <c r="T26" s="132">
        <v>2027</v>
      </c>
      <c r="U26" s="132">
        <v>2027</v>
      </c>
      <c r="V26" s="132">
        <v>2027</v>
      </c>
      <c r="W26" s="132">
        <v>2027</v>
      </c>
      <c r="X26" s="132">
        <v>2027</v>
      </c>
      <c r="Y26" s="132">
        <v>2027</v>
      </c>
      <c r="Z26" s="132">
        <v>2027</v>
      </c>
      <c r="AA26" s="132">
        <v>2027</v>
      </c>
      <c r="AB26" s="132">
        <v>2027</v>
      </c>
      <c r="AC26" s="132">
        <v>2027</v>
      </c>
    </row>
    <row r="27" spans="1:70" x14ac:dyDescent="0.3">
      <c r="B27" s="215"/>
      <c r="C27" s="215"/>
      <c r="D27" s="215"/>
      <c r="F27" s="132">
        <v>1</v>
      </c>
      <c r="G27" s="132">
        <v>2</v>
      </c>
      <c r="H27" s="132">
        <v>3</v>
      </c>
      <c r="I27" s="132">
        <v>4</v>
      </c>
      <c r="J27" s="132">
        <v>5</v>
      </c>
      <c r="K27" s="132">
        <v>6</v>
      </c>
      <c r="L27" s="132">
        <v>7</v>
      </c>
      <c r="M27" s="132">
        <v>8</v>
      </c>
      <c r="N27" s="132">
        <v>9</v>
      </c>
      <c r="O27" s="132">
        <v>10</v>
      </c>
      <c r="P27" s="132">
        <v>11</v>
      </c>
      <c r="Q27" s="132">
        <v>12</v>
      </c>
      <c r="R27" s="132">
        <v>1</v>
      </c>
      <c r="S27" s="132">
        <v>2</v>
      </c>
      <c r="T27" s="132">
        <v>3</v>
      </c>
      <c r="U27" s="132">
        <v>4</v>
      </c>
      <c r="V27" s="132">
        <v>5</v>
      </c>
      <c r="W27" s="132">
        <v>6</v>
      </c>
      <c r="X27" s="132">
        <v>7</v>
      </c>
      <c r="Y27" s="132">
        <v>8</v>
      </c>
      <c r="Z27" s="132">
        <v>9</v>
      </c>
      <c r="AA27" s="132">
        <v>10</v>
      </c>
      <c r="AB27" s="132">
        <v>11</v>
      </c>
      <c r="AC27" s="132">
        <v>12</v>
      </c>
    </row>
    <row r="28" spans="1:70" x14ac:dyDescent="0.3">
      <c r="A28" s="14" t="s">
        <v>121</v>
      </c>
      <c r="B28" s="102" t="s">
        <v>56</v>
      </c>
      <c r="C28" s="102" t="s">
        <v>57</v>
      </c>
      <c r="D28" s="102" t="s">
        <v>111</v>
      </c>
      <c r="E28" s="44"/>
      <c r="F28" s="155">
        <v>0</v>
      </c>
      <c r="G28" s="155">
        <v>0</v>
      </c>
      <c r="H28" s="155">
        <v>0</v>
      </c>
      <c r="I28" s="155">
        <v>0</v>
      </c>
      <c r="J28" s="155">
        <v>0</v>
      </c>
      <c r="K28" s="155">
        <v>0.79206030432197383</v>
      </c>
      <c r="L28" s="155">
        <v>0</v>
      </c>
      <c r="M28" s="155">
        <v>0</v>
      </c>
      <c r="N28" s="155">
        <v>0</v>
      </c>
      <c r="O28" s="155">
        <v>0</v>
      </c>
      <c r="P28" s="155">
        <v>0</v>
      </c>
      <c r="Q28" s="155">
        <v>0.72155558735834113</v>
      </c>
      <c r="R28" s="155">
        <v>0</v>
      </c>
      <c r="S28" s="155">
        <v>0</v>
      </c>
      <c r="T28" s="155">
        <v>0</v>
      </c>
      <c r="U28" s="155">
        <v>0</v>
      </c>
      <c r="V28" s="155">
        <v>0</v>
      </c>
      <c r="W28" s="155">
        <v>0.65813360737202919</v>
      </c>
      <c r="X28" s="155">
        <v>0</v>
      </c>
      <c r="Y28" s="155">
        <v>0</v>
      </c>
      <c r="Z28" s="155">
        <v>0</v>
      </c>
      <c r="AA28" s="155">
        <v>0</v>
      </c>
      <c r="AB28" s="155">
        <v>0</v>
      </c>
      <c r="AC28" s="155">
        <v>0</v>
      </c>
    </row>
    <row r="29" spans="1:70" x14ac:dyDescent="0.3">
      <c r="A29" s="14" t="s">
        <v>121</v>
      </c>
      <c r="B29" s="102" t="s">
        <v>54</v>
      </c>
      <c r="C29" s="102" t="s">
        <v>55</v>
      </c>
      <c r="D29" s="102" t="s">
        <v>111</v>
      </c>
      <c r="E29" s="44"/>
      <c r="F29" s="155">
        <v>0</v>
      </c>
      <c r="G29" s="155">
        <v>0.98318818000000019</v>
      </c>
      <c r="H29" s="155">
        <v>0</v>
      </c>
      <c r="I29" s="155">
        <v>0</v>
      </c>
      <c r="J29" s="155">
        <v>0</v>
      </c>
      <c r="K29" s="155">
        <v>0</v>
      </c>
      <c r="L29" s="155">
        <v>0</v>
      </c>
      <c r="M29" s="155">
        <v>0.87132279619917041</v>
      </c>
      <c r="N29" s="155">
        <v>0</v>
      </c>
      <c r="O29" s="155">
        <v>0</v>
      </c>
      <c r="P29" s="155">
        <v>0</v>
      </c>
      <c r="Q29" s="155">
        <v>0</v>
      </c>
      <c r="R29" s="155">
        <v>0</v>
      </c>
      <c r="S29" s="155">
        <v>0.82016569733513756</v>
      </c>
      <c r="T29" s="155">
        <v>0</v>
      </c>
      <c r="U29" s="155">
        <v>0</v>
      </c>
      <c r="V29" s="155">
        <v>0</v>
      </c>
      <c r="W29" s="155">
        <v>0</v>
      </c>
      <c r="X29" s="155">
        <v>0</v>
      </c>
      <c r="Y29" s="155">
        <v>0.74974853800519503</v>
      </c>
      <c r="Z29" s="155">
        <v>0.87132279619917041</v>
      </c>
      <c r="AA29" s="155">
        <v>0</v>
      </c>
      <c r="AB29" s="155">
        <v>0</v>
      </c>
      <c r="AC29" s="155">
        <v>0</v>
      </c>
    </row>
    <row r="30" spans="1:70" x14ac:dyDescent="0.3">
      <c r="A30" s="14" t="s">
        <v>121</v>
      </c>
      <c r="B30" s="102" t="s">
        <v>58</v>
      </c>
      <c r="C30" s="102" t="s">
        <v>59</v>
      </c>
      <c r="D30" s="102" t="s">
        <v>111</v>
      </c>
      <c r="E30" s="44"/>
      <c r="F30" s="155">
        <v>0</v>
      </c>
      <c r="G30" s="155">
        <v>0</v>
      </c>
      <c r="H30" s="155">
        <v>0</v>
      </c>
      <c r="I30" s="155">
        <v>0.31836734</v>
      </c>
      <c r="J30" s="155">
        <v>0</v>
      </c>
      <c r="K30" s="155">
        <v>0</v>
      </c>
      <c r="L30" s="155">
        <v>0</v>
      </c>
      <c r="M30" s="155">
        <v>0</v>
      </c>
      <c r="N30" s="155">
        <v>0</v>
      </c>
      <c r="O30" s="155">
        <v>0.58674773000000002</v>
      </c>
      <c r="P30" s="155">
        <v>0</v>
      </c>
      <c r="Q30" s="155">
        <v>0</v>
      </c>
      <c r="R30" s="155">
        <v>0</v>
      </c>
      <c r="S30" s="155">
        <v>0</v>
      </c>
      <c r="T30" s="155">
        <v>0</v>
      </c>
      <c r="U30" s="155">
        <v>0.5239954</v>
      </c>
      <c r="V30" s="155">
        <v>0</v>
      </c>
      <c r="W30" s="155">
        <v>0</v>
      </c>
      <c r="X30" s="155">
        <v>0</v>
      </c>
      <c r="Y30" s="155">
        <v>0</v>
      </c>
      <c r="Z30" s="155">
        <v>0</v>
      </c>
      <c r="AA30" s="155">
        <v>0</v>
      </c>
      <c r="AB30" s="155">
        <v>0.58674773000000002</v>
      </c>
      <c r="AC30" s="155">
        <v>0</v>
      </c>
    </row>
    <row r="31" spans="1:70" x14ac:dyDescent="0.3">
      <c r="A31" s="14" t="s">
        <v>121</v>
      </c>
      <c r="B31" s="102" t="s">
        <v>67</v>
      </c>
      <c r="C31" s="102" t="s">
        <v>68</v>
      </c>
      <c r="D31" s="102" t="s">
        <v>111</v>
      </c>
      <c r="E31" s="44"/>
      <c r="F31" s="155">
        <v>0</v>
      </c>
      <c r="G31" s="155">
        <v>0</v>
      </c>
      <c r="H31" s="155">
        <v>0</v>
      </c>
      <c r="I31" s="155">
        <v>0</v>
      </c>
      <c r="J31" s="155">
        <v>0</v>
      </c>
      <c r="K31" s="155">
        <v>0</v>
      </c>
      <c r="L31" s="155">
        <v>0</v>
      </c>
      <c r="M31" s="155">
        <v>0</v>
      </c>
      <c r="N31" s="155">
        <v>0</v>
      </c>
      <c r="O31" s="155">
        <v>0</v>
      </c>
      <c r="P31" s="155">
        <v>0</v>
      </c>
      <c r="Q31" s="155">
        <v>0</v>
      </c>
      <c r="R31" s="155">
        <v>0</v>
      </c>
      <c r="S31" s="155">
        <v>0</v>
      </c>
      <c r="T31" s="155">
        <v>0</v>
      </c>
      <c r="U31" s="155">
        <v>0</v>
      </c>
      <c r="V31" s="155">
        <v>0</v>
      </c>
      <c r="W31" s="155">
        <v>0</v>
      </c>
      <c r="X31" s="155">
        <v>0</v>
      </c>
      <c r="Y31" s="155">
        <v>0</v>
      </c>
      <c r="Z31" s="155">
        <v>0</v>
      </c>
      <c r="AA31" s="155">
        <v>0</v>
      </c>
      <c r="AB31" s="155">
        <v>0</v>
      </c>
      <c r="AC31" s="155">
        <v>0</v>
      </c>
    </row>
    <row r="32" spans="1:70" x14ac:dyDescent="0.3">
      <c r="A32" s="14" t="s">
        <v>121</v>
      </c>
      <c r="B32" s="102" t="s">
        <v>60</v>
      </c>
      <c r="C32" s="102" t="s">
        <v>61</v>
      </c>
      <c r="D32" s="102" t="s">
        <v>111</v>
      </c>
      <c r="E32" s="44"/>
      <c r="F32" s="155">
        <v>0</v>
      </c>
      <c r="G32" s="155">
        <v>0</v>
      </c>
      <c r="H32" s="155">
        <v>0</v>
      </c>
      <c r="I32" s="155">
        <v>0.33677599483255105</v>
      </c>
      <c r="J32" s="155">
        <v>0</v>
      </c>
      <c r="K32" s="155">
        <v>0</v>
      </c>
      <c r="L32" s="155">
        <v>0</v>
      </c>
      <c r="M32" s="155">
        <v>0</v>
      </c>
      <c r="N32" s="155">
        <v>0</v>
      </c>
      <c r="O32" s="155">
        <v>0.29916104021230144</v>
      </c>
      <c r="P32" s="155">
        <v>0</v>
      </c>
      <c r="Q32" s="155">
        <v>0</v>
      </c>
      <c r="R32" s="155">
        <v>0</v>
      </c>
      <c r="S32" s="155">
        <v>0</v>
      </c>
      <c r="T32" s="155">
        <v>0</v>
      </c>
      <c r="U32" s="155">
        <v>0.27693055747977768</v>
      </c>
      <c r="V32" s="155">
        <v>0</v>
      </c>
      <c r="W32" s="155">
        <v>0</v>
      </c>
      <c r="X32" s="155">
        <v>0</v>
      </c>
      <c r="Y32" s="155">
        <v>0</v>
      </c>
      <c r="Z32" s="155">
        <v>0</v>
      </c>
      <c r="AA32" s="155">
        <v>0</v>
      </c>
      <c r="AB32" s="155">
        <v>0.29916104021230144</v>
      </c>
      <c r="AC32" s="155">
        <v>0</v>
      </c>
    </row>
    <row r="33" spans="1:29" x14ac:dyDescent="0.3">
      <c r="A33" s="14" t="s">
        <v>121</v>
      </c>
      <c r="B33" s="102" t="s">
        <v>65</v>
      </c>
      <c r="C33" s="102" t="s">
        <v>66</v>
      </c>
      <c r="D33" s="102" t="s">
        <v>111</v>
      </c>
      <c r="E33" s="44"/>
      <c r="F33" s="155">
        <v>0</v>
      </c>
      <c r="G33" s="155">
        <v>0</v>
      </c>
      <c r="H33" s="155">
        <v>0</v>
      </c>
      <c r="I33" s="155">
        <v>0</v>
      </c>
      <c r="J33" s="155">
        <v>8.4181908371012734E-2</v>
      </c>
      <c r="K33" s="155">
        <v>0</v>
      </c>
      <c r="L33" s="155">
        <v>0</v>
      </c>
      <c r="M33" s="155">
        <v>0</v>
      </c>
      <c r="N33" s="155">
        <v>0</v>
      </c>
      <c r="O33" s="155">
        <v>0</v>
      </c>
      <c r="P33" s="155">
        <v>7.4325691753017814E-2</v>
      </c>
      <c r="Q33" s="155">
        <v>0</v>
      </c>
      <c r="R33" s="155">
        <v>0</v>
      </c>
      <c r="S33" s="155">
        <v>0</v>
      </c>
      <c r="T33" s="155">
        <v>0</v>
      </c>
      <c r="U33" s="155">
        <v>0</v>
      </c>
      <c r="V33" s="155">
        <v>6.5306093675317714E-2</v>
      </c>
      <c r="W33" s="155">
        <v>0</v>
      </c>
      <c r="X33" s="155">
        <v>0</v>
      </c>
      <c r="Y33" s="155">
        <v>0</v>
      </c>
      <c r="Z33" s="155">
        <v>0</v>
      </c>
      <c r="AA33" s="155">
        <v>0</v>
      </c>
      <c r="AB33" s="155">
        <v>0</v>
      </c>
      <c r="AC33" s="155">
        <v>7.4325691753017814E-2</v>
      </c>
    </row>
    <row r="34" spans="1:29" x14ac:dyDescent="0.3">
      <c r="A34" s="14" t="s">
        <v>121</v>
      </c>
      <c r="B34" s="102" t="s">
        <v>50</v>
      </c>
      <c r="C34" s="102" t="s">
        <v>51</v>
      </c>
      <c r="D34" s="102" t="s">
        <v>111</v>
      </c>
      <c r="E34" s="44"/>
      <c r="F34" s="155">
        <v>0</v>
      </c>
      <c r="G34" s="155">
        <v>0</v>
      </c>
      <c r="H34" s="155">
        <v>0</v>
      </c>
      <c r="I34" s="155">
        <v>0</v>
      </c>
      <c r="J34" s="155">
        <v>1.0040952924931508</v>
      </c>
      <c r="K34" s="155">
        <v>0</v>
      </c>
      <c r="L34" s="155">
        <v>0</v>
      </c>
      <c r="M34" s="155">
        <v>0</v>
      </c>
      <c r="N34" s="155">
        <v>0</v>
      </c>
      <c r="O34" s="155">
        <v>0</v>
      </c>
      <c r="P34" s="155">
        <v>1.0428325101767695</v>
      </c>
      <c r="Q34" s="155">
        <v>0</v>
      </c>
      <c r="R34" s="155">
        <v>0</v>
      </c>
      <c r="S34" s="155">
        <v>0</v>
      </c>
      <c r="T34" s="155">
        <v>0</v>
      </c>
      <c r="U34" s="155">
        <v>0</v>
      </c>
      <c r="V34" s="155">
        <v>0.96005082467128833</v>
      </c>
      <c r="W34" s="155">
        <v>0</v>
      </c>
      <c r="X34" s="155">
        <v>0</v>
      </c>
      <c r="Y34" s="155">
        <v>0</v>
      </c>
      <c r="Z34" s="155">
        <v>0</v>
      </c>
      <c r="AA34" s="155">
        <v>0</v>
      </c>
      <c r="AB34" s="155">
        <v>0</v>
      </c>
      <c r="AC34" s="155">
        <v>1.0428325101767695</v>
      </c>
    </row>
    <row r="35" spans="1:29" x14ac:dyDescent="0.3">
      <c r="A35" s="14"/>
      <c r="B35" s="102" t="s">
        <v>62</v>
      </c>
      <c r="C35" s="102" t="s">
        <v>63</v>
      </c>
      <c r="D35" s="102" t="s">
        <v>111</v>
      </c>
      <c r="E35" s="44"/>
      <c r="F35" s="155">
        <v>0.12555601</v>
      </c>
      <c r="G35" s="155">
        <v>0</v>
      </c>
      <c r="H35" s="155">
        <v>0</v>
      </c>
      <c r="I35" s="155">
        <v>0</v>
      </c>
      <c r="J35" s="155">
        <v>0</v>
      </c>
      <c r="K35" s="155">
        <v>0</v>
      </c>
      <c r="L35" s="155">
        <v>0.13266601240924358</v>
      </c>
      <c r="M35" s="155">
        <v>0</v>
      </c>
      <c r="N35" s="155">
        <v>0</v>
      </c>
      <c r="O35" s="155">
        <v>0</v>
      </c>
      <c r="P35" s="155">
        <v>0</v>
      </c>
      <c r="Q35" s="155">
        <v>0</v>
      </c>
      <c r="R35" s="155">
        <v>0.12436162791827325</v>
      </c>
      <c r="S35" s="155">
        <v>0</v>
      </c>
      <c r="T35" s="155">
        <v>0</v>
      </c>
      <c r="U35" s="155">
        <v>0</v>
      </c>
      <c r="V35" s="155">
        <v>0</v>
      </c>
      <c r="W35" s="155">
        <v>0</v>
      </c>
      <c r="X35" s="155">
        <v>0.11314295600988557</v>
      </c>
      <c r="Y35" s="155">
        <v>0</v>
      </c>
      <c r="Z35" s="155">
        <v>0</v>
      </c>
      <c r="AA35" s="155">
        <v>0</v>
      </c>
      <c r="AB35" s="155">
        <v>0</v>
      </c>
      <c r="AC35" s="155">
        <v>0</v>
      </c>
    </row>
    <row r="36" spans="1:29" x14ac:dyDescent="0.3">
      <c r="A36" s="14" t="s">
        <v>121</v>
      </c>
      <c r="B36" s="102" t="s">
        <v>122</v>
      </c>
      <c r="C36" s="102" t="s">
        <v>123</v>
      </c>
      <c r="D36" s="102" t="s">
        <v>111</v>
      </c>
      <c r="E36" s="44"/>
      <c r="F36" s="155">
        <v>0</v>
      </c>
      <c r="G36" s="155">
        <v>0</v>
      </c>
      <c r="H36" s="155">
        <v>0</v>
      </c>
      <c r="I36" s="155">
        <v>0</v>
      </c>
      <c r="J36" s="155">
        <v>0</v>
      </c>
      <c r="K36" s="155">
        <v>0</v>
      </c>
      <c r="L36" s="155">
        <v>0</v>
      </c>
      <c r="M36" s="155">
        <v>0</v>
      </c>
      <c r="N36" s="155">
        <v>0</v>
      </c>
      <c r="O36" s="155">
        <v>0</v>
      </c>
      <c r="P36" s="155">
        <v>0</v>
      </c>
      <c r="Q36" s="155">
        <v>0</v>
      </c>
      <c r="R36" s="155">
        <v>0</v>
      </c>
      <c r="S36" s="155">
        <v>0</v>
      </c>
      <c r="T36" s="155">
        <v>0</v>
      </c>
      <c r="U36" s="155">
        <v>0</v>
      </c>
      <c r="V36" s="155">
        <v>0</v>
      </c>
      <c r="W36" s="155">
        <v>0</v>
      </c>
      <c r="X36" s="155">
        <v>0</v>
      </c>
      <c r="Y36" s="155">
        <v>0</v>
      </c>
      <c r="Z36" s="155">
        <v>0</v>
      </c>
      <c r="AA36" s="155">
        <v>0</v>
      </c>
      <c r="AB36" s="155">
        <v>0</v>
      </c>
      <c r="AC36" s="155">
        <v>0</v>
      </c>
    </row>
    <row r="37" spans="1:29" x14ac:dyDescent="0.3">
      <c r="A37" s="14" t="s">
        <v>121</v>
      </c>
      <c r="B37" s="102" t="s">
        <v>69</v>
      </c>
      <c r="C37" s="102" t="s">
        <v>70</v>
      </c>
      <c r="D37" s="102" t="s">
        <v>111</v>
      </c>
      <c r="E37" s="44"/>
      <c r="F37" s="155">
        <v>0</v>
      </c>
      <c r="G37" s="155">
        <v>0</v>
      </c>
      <c r="H37" s="155">
        <v>8.2627558577121518E-4</v>
      </c>
      <c r="I37" s="155">
        <v>0</v>
      </c>
      <c r="J37" s="155">
        <v>0</v>
      </c>
      <c r="K37" s="155">
        <v>8.0570512929596389E-4</v>
      </c>
      <c r="L37" s="155">
        <v>0</v>
      </c>
      <c r="M37" s="155">
        <v>0</v>
      </c>
      <c r="N37" s="155">
        <v>7.850734757126989E-4</v>
      </c>
      <c r="O37" s="155">
        <v>0</v>
      </c>
      <c r="P37" s="155">
        <v>0</v>
      </c>
      <c r="Q37" s="155">
        <v>7.6438044296002396E-4</v>
      </c>
      <c r="R37" s="155">
        <v>0</v>
      </c>
      <c r="S37" s="155">
        <v>0</v>
      </c>
      <c r="T37" s="155">
        <v>7.4362584843491015E-4</v>
      </c>
      <c r="U37" s="155">
        <v>0</v>
      </c>
      <c r="V37" s="155">
        <v>0</v>
      </c>
      <c r="W37" s="155">
        <v>7.2280950899108304E-4</v>
      </c>
      <c r="X37" s="155">
        <v>0</v>
      </c>
      <c r="Y37" s="155">
        <v>0</v>
      </c>
      <c r="Z37" s="155">
        <v>0</v>
      </c>
      <c r="AA37" s="155">
        <v>7.850734757126989E-4</v>
      </c>
      <c r="AB37" s="155">
        <v>0</v>
      </c>
      <c r="AC37" s="155">
        <v>0</v>
      </c>
    </row>
    <row r="38" spans="1:29" s="189" customFormat="1" x14ac:dyDescent="0.3">
      <c r="A38" s="160" t="s">
        <v>121</v>
      </c>
      <c r="B38" s="102" t="s">
        <v>71</v>
      </c>
      <c r="C38" s="102" t="s">
        <v>72</v>
      </c>
      <c r="D38" s="102" t="s">
        <v>111</v>
      </c>
      <c r="E38" s="188"/>
      <c r="F38" s="155">
        <v>0</v>
      </c>
      <c r="G38" s="155">
        <v>0</v>
      </c>
      <c r="H38" s="155">
        <v>0</v>
      </c>
      <c r="I38" s="155">
        <v>0</v>
      </c>
      <c r="J38" s="155">
        <v>0</v>
      </c>
      <c r="K38" s="155">
        <v>0</v>
      </c>
      <c r="L38" s="155">
        <v>0</v>
      </c>
      <c r="M38" s="155">
        <v>0</v>
      </c>
      <c r="N38" s="155">
        <v>0</v>
      </c>
      <c r="O38" s="155">
        <v>0</v>
      </c>
      <c r="P38" s="155">
        <v>0</v>
      </c>
      <c r="Q38" s="155">
        <v>0</v>
      </c>
      <c r="R38" s="155">
        <v>0</v>
      </c>
      <c r="S38" s="155">
        <v>0</v>
      </c>
      <c r="T38" s="155">
        <v>0</v>
      </c>
      <c r="U38" s="155">
        <v>0</v>
      </c>
      <c r="V38" s="155">
        <v>0</v>
      </c>
      <c r="W38" s="155">
        <v>0</v>
      </c>
      <c r="X38" s="155">
        <v>0</v>
      </c>
      <c r="Y38" s="155">
        <v>0</v>
      </c>
      <c r="Z38" s="155">
        <v>0</v>
      </c>
      <c r="AA38" s="155">
        <v>0</v>
      </c>
      <c r="AB38" s="155">
        <v>0</v>
      </c>
      <c r="AC38" s="155">
        <v>0</v>
      </c>
    </row>
    <row r="39" spans="1:29" s="189" customFormat="1" x14ac:dyDescent="0.3">
      <c r="A39" s="160"/>
      <c r="B39" s="102" t="s">
        <v>76</v>
      </c>
      <c r="C39" s="102" t="s">
        <v>77</v>
      </c>
      <c r="D39" s="102" t="s">
        <v>111</v>
      </c>
      <c r="E39" s="188"/>
      <c r="F39" s="155">
        <v>0.51000217287913607</v>
      </c>
      <c r="G39" s="155">
        <v>0</v>
      </c>
      <c r="H39" s="155">
        <v>0</v>
      </c>
      <c r="I39" s="155">
        <v>0</v>
      </c>
      <c r="J39" s="155">
        <v>0</v>
      </c>
      <c r="K39" s="155">
        <v>0</v>
      </c>
      <c r="L39" s="155">
        <v>0.23768589539505827</v>
      </c>
      <c r="M39" s="155">
        <v>0</v>
      </c>
      <c r="N39" s="155">
        <v>0</v>
      </c>
      <c r="O39" s="155">
        <v>0</v>
      </c>
      <c r="P39" s="155">
        <v>0</v>
      </c>
      <c r="Q39" s="155">
        <v>0</v>
      </c>
      <c r="R39" s="155">
        <v>0.37554808741742091</v>
      </c>
      <c r="S39" s="155">
        <v>0</v>
      </c>
      <c r="T39" s="155">
        <v>0</v>
      </c>
      <c r="U39" s="155">
        <v>0</v>
      </c>
      <c r="V39" s="155">
        <v>0</v>
      </c>
      <c r="W39" s="155">
        <v>0</v>
      </c>
      <c r="X39" s="155">
        <v>0.3777609487360391</v>
      </c>
      <c r="Y39" s="155">
        <v>0</v>
      </c>
      <c r="Z39" s="155">
        <v>0</v>
      </c>
      <c r="AA39" s="155">
        <v>0</v>
      </c>
      <c r="AB39" s="155">
        <v>0</v>
      </c>
      <c r="AC39" s="155">
        <v>0</v>
      </c>
    </row>
    <row r="40" spans="1:29" x14ac:dyDescent="0.3">
      <c r="A40" s="14" t="s">
        <v>121</v>
      </c>
      <c r="B40" s="102" t="s">
        <v>74</v>
      </c>
      <c r="C40" s="102" t="s">
        <v>75</v>
      </c>
      <c r="D40" s="102" t="s">
        <v>111</v>
      </c>
      <c r="E40" s="44"/>
      <c r="F40" s="155">
        <v>0</v>
      </c>
      <c r="G40" s="155">
        <v>0</v>
      </c>
      <c r="H40" s="155">
        <v>0.39622122999999998</v>
      </c>
      <c r="I40" s="155">
        <v>0</v>
      </c>
      <c r="J40" s="155">
        <v>0</v>
      </c>
      <c r="K40" s="155">
        <v>0</v>
      </c>
      <c r="L40" s="155">
        <v>0</v>
      </c>
      <c r="M40" s="155">
        <v>0</v>
      </c>
      <c r="N40" s="155">
        <v>0.46182466019639457</v>
      </c>
      <c r="O40" s="155">
        <v>0</v>
      </c>
      <c r="P40" s="155">
        <v>0</v>
      </c>
      <c r="Q40" s="155">
        <v>0</v>
      </c>
      <c r="R40" s="155">
        <v>0</v>
      </c>
      <c r="S40" s="155">
        <v>0</v>
      </c>
      <c r="T40" s="155">
        <v>0.41502885565881215</v>
      </c>
      <c r="U40" s="155">
        <v>0</v>
      </c>
      <c r="V40" s="155">
        <v>0</v>
      </c>
      <c r="W40" s="155">
        <v>0</v>
      </c>
      <c r="X40" s="155">
        <v>0</v>
      </c>
      <c r="Y40" s="155">
        <v>0</v>
      </c>
      <c r="Z40" s="155">
        <v>0</v>
      </c>
      <c r="AA40" s="155">
        <v>0.46182466019639457</v>
      </c>
      <c r="AB40" s="155">
        <v>0</v>
      </c>
      <c r="AC40" s="155">
        <v>0</v>
      </c>
    </row>
    <row r="41" spans="1:29" x14ac:dyDescent="0.3">
      <c r="A41" s="14"/>
      <c r="B41" s="102" t="s">
        <v>80</v>
      </c>
      <c r="C41" s="102" t="s">
        <v>81</v>
      </c>
      <c r="D41" s="102" t="s">
        <v>111</v>
      </c>
      <c r="E41" s="44"/>
      <c r="F41" s="155">
        <v>7.0263149999999996E-2</v>
      </c>
      <c r="G41" s="155">
        <v>0</v>
      </c>
      <c r="H41" s="155">
        <v>0</v>
      </c>
      <c r="I41" s="155">
        <v>0</v>
      </c>
      <c r="J41" s="155">
        <v>0</v>
      </c>
      <c r="K41" s="155">
        <v>0</v>
      </c>
      <c r="L41" s="155">
        <v>6.7613100000000009E-2</v>
      </c>
      <c r="M41" s="155">
        <v>0</v>
      </c>
      <c r="N41" s="155">
        <v>0</v>
      </c>
      <c r="O41" s="155">
        <v>0</v>
      </c>
      <c r="P41" s="155">
        <v>0</v>
      </c>
      <c r="Q41" s="155">
        <v>0</v>
      </c>
      <c r="R41" s="155">
        <v>6.4098230000000006E-2</v>
      </c>
      <c r="S41" s="155">
        <v>0</v>
      </c>
      <c r="T41" s="155">
        <v>0</v>
      </c>
      <c r="U41" s="155">
        <v>0</v>
      </c>
      <c r="V41" s="155">
        <v>0</v>
      </c>
      <c r="W41" s="155">
        <v>0</v>
      </c>
      <c r="X41" s="155">
        <v>5.9141339999999994E-2</v>
      </c>
      <c r="Y41" s="155">
        <v>0</v>
      </c>
      <c r="Z41" s="155">
        <v>0</v>
      </c>
      <c r="AA41" s="155">
        <v>0</v>
      </c>
      <c r="AB41" s="155">
        <v>0</v>
      </c>
      <c r="AC41" s="155">
        <v>0</v>
      </c>
    </row>
    <row r="42" spans="1:29" x14ac:dyDescent="0.3">
      <c r="A42" s="14"/>
      <c r="B42" s="5" t="s">
        <v>112</v>
      </c>
      <c r="C42" s="5" t="s">
        <v>79</v>
      </c>
      <c r="D42" s="5" t="s">
        <v>111</v>
      </c>
      <c r="E42" s="44"/>
      <c r="F42" s="155">
        <v>0</v>
      </c>
      <c r="G42" s="155">
        <v>0</v>
      </c>
      <c r="H42" s="155">
        <v>0</v>
      </c>
      <c r="I42" s="155">
        <v>0</v>
      </c>
      <c r="J42" s="155">
        <v>0.13916722424323255</v>
      </c>
      <c r="K42" s="155">
        <v>0</v>
      </c>
      <c r="L42" s="155">
        <v>0</v>
      </c>
      <c r="M42" s="155">
        <v>0</v>
      </c>
      <c r="N42" s="155">
        <v>0</v>
      </c>
      <c r="O42" s="155">
        <v>0</v>
      </c>
      <c r="P42" s="155">
        <v>0.12742820922889903</v>
      </c>
      <c r="Q42" s="155">
        <v>0</v>
      </c>
      <c r="R42" s="155">
        <v>0</v>
      </c>
      <c r="S42" s="155">
        <v>0</v>
      </c>
      <c r="T42" s="155">
        <v>0</v>
      </c>
      <c r="U42" s="155">
        <v>0</v>
      </c>
      <c r="V42" s="155">
        <v>0.10356367662588593</v>
      </c>
      <c r="W42" s="155">
        <v>0</v>
      </c>
      <c r="X42" s="155">
        <v>0</v>
      </c>
      <c r="Y42" s="155">
        <v>0</v>
      </c>
      <c r="Z42" s="155">
        <v>0</v>
      </c>
      <c r="AA42" s="155">
        <v>0</v>
      </c>
      <c r="AB42" s="155">
        <v>0</v>
      </c>
      <c r="AC42" s="155">
        <v>0.12742820922889903</v>
      </c>
    </row>
    <row r="43" spans="1:29" x14ac:dyDescent="0.3">
      <c r="A43" s="14" t="s">
        <v>121</v>
      </c>
      <c r="B43" s="102" t="s">
        <v>113</v>
      </c>
      <c r="C43" s="102" t="s">
        <v>84</v>
      </c>
      <c r="D43" s="102" t="s">
        <v>82</v>
      </c>
      <c r="E43" s="44"/>
      <c r="F43" s="155">
        <v>0</v>
      </c>
      <c r="G43" s="155">
        <v>0</v>
      </c>
      <c r="H43" s="155">
        <v>8.0193635699999994</v>
      </c>
      <c r="I43" s="155">
        <v>0</v>
      </c>
      <c r="J43" s="155">
        <v>0</v>
      </c>
      <c r="K43" s="155">
        <v>0</v>
      </c>
      <c r="L43" s="155">
        <v>0</v>
      </c>
      <c r="M43" s="155">
        <v>0</v>
      </c>
      <c r="N43" s="155">
        <v>6.8737401923076957</v>
      </c>
      <c r="O43" s="155">
        <v>0</v>
      </c>
      <c r="P43" s="155">
        <v>0</v>
      </c>
      <c r="Q43" s="155">
        <v>0</v>
      </c>
      <c r="R43" s="155">
        <v>0</v>
      </c>
      <c r="S43" s="155">
        <v>0</v>
      </c>
      <c r="T43" s="155">
        <v>5.728116826923082</v>
      </c>
      <c r="U43" s="155">
        <v>0</v>
      </c>
      <c r="V43" s="155">
        <v>0</v>
      </c>
      <c r="W43" s="155">
        <v>0</v>
      </c>
      <c r="X43" s="155">
        <v>0</v>
      </c>
      <c r="Y43" s="155">
        <v>0</v>
      </c>
      <c r="Z43" s="155">
        <v>0</v>
      </c>
      <c r="AA43" s="155">
        <v>6.8737401923076957</v>
      </c>
      <c r="AB43" s="155">
        <v>0</v>
      </c>
      <c r="AC43" s="155">
        <v>0</v>
      </c>
    </row>
    <row r="44" spans="1:29" ht="6.75" customHeight="1" x14ac:dyDescent="0.3">
      <c r="B44" s="11"/>
      <c r="C44" s="9"/>
      <c r="D44" s="9"/>
      <c r="E44" s="12"/>
    </row>
    <row r="45" spans="1:29" ht="28.5" customHeight="1" x14ac:dyDescent="0.3">
      <c r="B45" s="230" t="s">
        <v>124</v>
      </c>
      <c r="C45" s="228"/>
      <c r="D45" s="228"/>
      <c r="E45" s="7"/>
      <c r="F45" s="131">
        <v>0.70582133287913607</v>
      </c>
      <c r="G45" s="131">
        <v>0.98318818000000019</v>
      </c>
      <c r="H45" s="131">
        <v>8.4164110755857706</v>
      </c>
      <c r="I45" s="131">
        <v>0.65514333483255105</v>
      </c>
      <c r="J45" s="131">
        <v>1.2274444251073959</v>
      </c>
      <c r="K45" s="131">
        <v>0.79286600945126984</v>
      </c>
      <c r="L45" s="131">
        <v>0.43796500780430181</v>
      </c>
      <c r="M45" s="131">
        <v>0.87132279619917041</v>
      </c>
      <c r="N45" s="131">
        <v>7.3363499259798033</v>
      </c>
      <c r="O45" s="131">
        <v>0.88590877021230141</v>
      </c>
      <c r="P45" s="131">
        <v>1.2445864111586862</v>
      </c>
      <c r="Q45" s="131">
        <v>0.72231996780130114</v>
      </c>
      <c r="R45" s="131">
        <v>0.56400794533569421</v>
      </c>
      <c r="S45" s="131">
        <v>0.82016569733513756</v>
      </c>
      <c r="T45" s="131">
        <v>6.143889308430329</v>
      </c>
      <c r="U45" s="131">
        <v>0.80092595747977768</v>
      </c>
      <c r="V45" s="131">
        <v>1.1289205949724919</v>
      </c>
      <c r="W45" s="131">
        <v>0.65885641688102026</v>
      </c>
      <c r="X45" s="131">
        <v>0.55004524474592464</v>
      </c>
      <c r="Y45" s="131">
        <v>0.74974853800519503</v>
      </c>
      <c r="Z45" s="131">
        <v>0.87132279619917041</v>
      </c>
      <c r="AA45" s="131">
        <v>7.3363499259798033</v>
      </c>
      <c r="AB45" s="131">
        <v>0.88590877021230141</v>
      </c>
      <c r="AC45" s="131">
        <v>1.2445864111586862</v>
      </c>
    </row>
    <row r="46" spans="1:29" x14ac:dyDescent="0.3">
      <c r="B46" s="2"/>
      <c r="C46" s="2"/>
      <c r="D46" s="2"/>
    </row>
    <row r="47" spans="1:29" x14ac:dyDescent="0.3">
      <c r="B47" s="2"/>
      <c r="C47" s="2"/>
      <c r="D47" s="2"/>
    </row>
    <row r="48" spans="1:29" x14ac:dyDescent="0.3">
      <c r="B48" s="2"/>
      <c r="C48" s="2"/>
      <c r="D48" s="2"/>
    </row>
  </sheetData>
  <mergeCells count="12">
    <mergeCell ref="B1:E1"/>
    <mergeCell ref="B18:D18"/>
    <mergeCell ref="B19:D20"/>
    <mergeCell ref="B45:D45"/>
    <mergeCell ref="B4:D4"/>
    <mergeCell ref="C5:C6"/>
    <mergeCell ref="B25:D25"/>
    <mergeCell ref="B5:B6"/>
    <mergeCell ref="B26:B27"/>
    <mergeCell ref="D5:D6"/>
    <mergeCell ref="C26:C27"/>
    <mergeCell ref="D26:D27"/>
  </mergeCells>
  <hyperlinks>
    <hyperlink ref="C7" location="FFDPO23!A1" display="FFDPO23" xr:uid="{00000000-0004-0000-0100-000000000000}"/>
    <hyperlink ref="C8" location="IPVO26!A1" display="IPVO26" xr:uid="{00000000-0004-0000-0100-000002000000}"/>
    <hyperlink ref="C11" location="'PMG25'!A1" display="PMG25" xr:uid="{00000000-0004-0000-0100-000003000000}"/>
    <hyperlink ref="C12" location="FFFIRO24!A1" display="FFFIRO24" xr:uid="{00000000-0004-0000-0100-000004000000}"/>
    <hyperlink ref="C13" location="FFFIRF26!A1" display="FFFIRF26" xr:uid="{00000000-0004-0000-0100-000005000000}"/>
    <hyperlink ref="C15" location="'TAMAR 1'!A1" display="TAMAR 1" xr:uid="{00000000-0004-0000-0100-000006000000}"/>
    <hyperlink ref="C16" location="'TAMAR 2'!A1" display="'TAMAR 2'!A1" xr:uid="{00000000-0004-0000-0100-000007000000}"/>
    <hyperlink ref="C29" location="BIDF40!A1" display="BIDF40" xr:uid="{00000000-0004-0000-0100-000008000000}"/>
    <hyperlink ref="C32" location="BIDY42!A1" display="BIDY42" xr:uid="{00000000-0004-0000-0100-000009000000}"/>
    <hyperlink ref="C33" location="BIDN32!A1" display="BIDN32" xr:uid="{00000000-0004-0000-0100-00000A000000}"/>
    <hyperlink ref="C36" location="BIDO24!A1" display="BIDO24" xr:uid="{00000000-0004-0000-0100-00000B000000}"/>
    <hyperlink ref="C37" location="BIDS34!A1" display="BIDS34" xr:uid="{00000000-0004-0000-0100-00000C000000}"/>
    <hyperlink ref="C38" location="BIDS23!A1" display="BIDS23" xr:uid="{00000000-0004-0000-0100-00000D000000}"/>
    <hyperlink ref="C40" location="BIRS38!A1" display="BIRS38" xr:uid="{00000000-0004-0000-0100-00000E000000}"/>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9"/>
  <sheetViews>
    <sheetView showGridLines="0" zoomScale="90" zoomScaleNormal="90" workbookViewId="0">
      <pane xSplit="3" ySplit="6" topLeftCell="M7" activePane="bottomRight" state="frozen"/>
      <selection activeCell="F1" sqref="F1:F1048576"/>
      <selection pane="topRight" activeCell="F1" sqref="F1:F1048576"/>
      <selection pane="bottomLeft" activeCell="F1" sqref="F1:F1048576"/>
      <selection pane="bottomRight" sqref="A1:XFD1048576"/>
    </sheetView>
  </sheetViews>
  <sheetFormatPr baseColWidth="10" defaultRowHeight="16.5" x14ac:dyDescent="0.3"/>
  <cols>
    <col min="1" max="1" width="5.28515625" style="13" customWidth="1"/>
    <col min="2" max="2" width="43.7109375" style="1" bestFit="1" customWidth="1"/>
    <col min="3" max="3" width="12.5703125" style="1" customWidth="1"/>
    <col min="4" max="4" width="30.85546875" style="1" bestFit="1" customWidth="1"/>
    <col min="5" max="5" width="13.7109375" style="72" customWidth="1"/>
    <col min="6" max="9" width="11.42578125" style="72" customWidth="1"/>
    <col min="10" max="10" width="11.42578125" style="10" customWidth="1"/>
    <col min="11" max="16384" width="11.42578125" style="10"/>
  </cols>
  <sheetData>
    <row r="1" spans="1:29" ht="28.5" customHeight="1" x14ac:dyDescent="0.3">
      <c r="A1" s="71"/>
      <c r="B1" s="240" t="s">
        <v>125</v>
      </c>
      <c r="C1" s="228"/>
      <c r="D1" s="228"/>
      <c r="E1" s="241"/>
    </row>
    <row r="2" spans="1:29" x14ac:dyDescent="0.3">
      <c r="B2" s="128" t="s">
        <v>2</v>
      </c>
    </row>
    <row r="4" spans="1:29" ht="30.75" customHeight="1" x14ac:dyDescent="0.3">
      <c r="B4" s="244" t="s">
        <v>117</v>
      </c>
      <c r="C4" s="225"/>
      <c r="D4" s="225"/>
      <c r="F4" s="73"/>
      <c r="G4" s="73"/>
      <c r="H4" s="73"/>
      <c r="I4" s="73"/>
      <c r="J4" s="73"/>
      <c r="K4" s="73"/>
      <c r="L4" s="73"/>
      <c r="M4" s="73"/>
      <c r="N4" s="73"/>
      <c r="O4" s="73"/>
      <c r="P4" s="73"/>
      <c r="Q4" s="73"/>
    </row>
    <row r="5" spans="1:29" ht="15.75" customHeight="1" x14ac:dyDescent="0.3">
      <c r="B5" s="237" t="s">
        <v>3</v>
      </c>
      <c r="C5" s="233" t="s">
        <v>4</v>
      </c>
      <c r="D5" s="239" t="s">
        <v>108</v>
      </c>
      <c r="E5" s="10"/>
      <c r="F5" s="132">
        <v>2026</v>
      </c>
      <c r="G5" s="132">
        <v>2026</v>
      </c>
      <c r="H5" s="132">
        <v>2026</v>
      </c>
      <c r="I5" s="132">
        <v>2026</v>
      </c>
      <c r="J5" s="132">
        <v>2026</v>
      </c>
      <c r="K5" s="132">
        <v>2026</v>
      </c>
      <c r="L5" s="132">
        <v>2026</v>
      </c>
      <c r="M5" s="132">
        <v>2026</v>
      </c>
      <c r="N5" s="132">
        <v>2026</v>
      </c>
      <c r="O5" s="132">
        <v>2026</v>
      </c>
      <c r="P5" s="132">
        <v>2026</v>
      </c>
      <c r="Q5" s="132">
        <v>2026</v>
      </c>
      <c r="R5" s="132">
        <v>2027</v>
      </c>
      <c r="S5" s="132">
        <v>2027</v>
      </c>
      <c r="T5" s="132">
        <v>2027</v>
      </c>
      <c r="U5" s="132">
        <v>2027</v>
      </c>
      <c r="V5" s="132">
        <v>2027</v>
      </c>
      <c r="W5" s="132">
        <v>2027</v>
      </c>
      <c r="X5" s="132">
        <v>2027</v>
      </c>
      <c r="Y5" s="132">
        <v>2027</v>
      </c>
      <c r="Z5" s="132">
        <v>2027</v>
      </c>
      <c r="AA5" s="132">
        <v>2027</v>
      </c>
      <c r="AB5" s="132">
        <v>2027</v>
      </c>
      <c r="AC5" s="132">
        <v>2027</v>
      </c>
    </row>
    <row r="6" spans="1:29" x14ac:dyDescent="0.3">
      <c r="B6" s="215"/>
      <c r="C6" s="215"/>
      <c r="D6" s="215"/>
      <c r="E6" s="10"/>
      <c r="F6" s="132">
        <v>1</v>
      </c>
      <c r="G6" s="132">
        <v>2</v>
      </c>
      <c r="H6" s="132">
        <v>3</v>
      </c>
      <c r="I6" s="132">
        <v>4</v>
      </c>
      <c r="J6" s="132">
        <v>5</v>
      </c>
      <c r="K6" s="132">
        <v>6</v>
      </c>
      <c r="L6" s="132">
        <v>7</v>
      </c>
      <c r="M6" s="132">
        <v>8</v>
      </c>
      <c r="N6" s="132">
        <v>9</v>
      </c>
      <c r="O6" s="132">
        <v>10</v>
      </c>
      <c r="P6" s="132">
        <v>11</v>
      </c>
      <c r="Q6" s="132">
        <v>12</v>
      </c>
      <c r="R6" s="132">
        <v>1</v>
      </c>
      <c r="S6" s="132">
        <v>2</v>
      </c>
      <c r="T6" s="132">
        <v>3</v>
      </c>
      <c r="U6" s="132">
        <v>4</v>
      </c>
      <c r="V6" s="132">
        <v>5</v>
      </c>
      <c r="W6" s="132">
        <v>6</v>
      </c>
      <c r="X6" s="132">
        <v>7</v>
      </c>
      <c r="Y6" s="132">
        <v>8</v>
      </c>
      <c r="Z6" s="132">
        <v>9</v>
      </c>
      <c r="AA6" s="132">
        <v>10</v>
      </c>
      <c r="AB6" s="132">
        <v>11</v>
      </c>
      <c r="AC6" s="132">
        <v>12</v>
      </c>
    </row>
    <row r="7" spans="1:29" x14ac:dyDescent="0.3">
      <c r="A7" s="56"/>
      <c r="B7" s="143" t="s">
        <v>28</v>
      </c>
      <c r="C7" s="143" t="s">
        <v>29</v>
      </c>
      <c r="D7" s="143" t="s">
        <v>19</v>
      </c>
      <c r="F7" s="155">
        <v>6.5570930000000001</v>
      </c>
      <c r="G7" s="155">
        <v>0</v>
      </c>
      <c r="H7" s="155">
        <v>0</v>
      </c>
      <c r="I7" s="155">
        <v>4.1629693799999998</v>
      </c>
      <c r="J7" s="155">
        <v>0</v>
      </c>
      <c r="K7" s="155">
        <v>0</v>
      </c>
      <c r="L7" s="155">
        <v>4.2672564500000005</v>
      </c>
      <c r="M7" s="155">
        <v>0</v>
      </c>
      <c r="N7" s="155">
        <v>0</v>
      </c>
      <c r="O7" s="155">
        <v>4.3843216100000006</v>
      </c>
      <c r="P7" s="155">
        <v>0</v>
      </c>
      <c r="Q7" s="155">
        <v>0</v>
      </c>
      <c r="R7" s="155">
        <v>0</v>
      </c>
      <c r="S7" s="155">
        <v>0</v>
      </c>
      <c r="T7" s="155">
        <v>0</v>
      </c>
      <c r="U7" s="155">
        <v>0</v>
      </c>
      <c r="V7" s="155">
        <v>0</v>
      </c>
      <c r="W7" s="155">
        <v>0</v>
      </c>
      <c r="X7" s="155">
        <v>0</v>
      </c>
      <c r="Y7" s="155">
        <v>0</v>
      </c>
      <c r="Z7" s="155">
        <v>0</v>
      </c>
      <c r="AA7" s="155">
        <v>0</v>
      </c>
      <c r="AB7" s="155">
        <v>0</v>
      </c>
      <c r="AC7" s="155">
        <v>0</v>
      </c>
    </row>
    <row r="8" spans="1:29" x14ac:dyDescent="0.3">
      <c r="A8" s="56"/>
      <c r="B8" s="143" t="s">
        <v>98</v>
      </c>
      <c r="C8" s="143" t="s">
        <v>99</v>
      </c>
      <c r="D8" s="143" t="s">
        <v>82</v>
      </c>
      <c r="F8" s="155">
        <v>0</v>
      </c>
      <c r="G8" s="155">
        <v>0</v>
      </c>
      <c r="H8" s="155">
        <v>406.55448841666663</v>
      </c>
      <c r="I8" s="155">
        <v>0</v>
      </c>
      <c r="J8" s="155">
        <v>0</v>
      </c>
      <c r="K8" s="155">
        <v>0</v>
      </c>
      <c r="L8" s="155">
        <v>0</v>
      </c>
      <c r="M8" s="155">
        <v>0</v>
      </c>
      <c r="N8" s="155">
        <v>406.55448841666663</v>
      </c>
      <c r="O8" s="155">
        <v>0</v>
      </c>
      <c r="P8" s="155">
        <v>0</v>
      </c>
      <c r="Q8" s="155">
        <v>0</v>
      </c>
      <c r="R8" s="155">
        <v>0</v>
      </c>
      <c r="S8" s="155">
        <v>0</v>
      </c>
      <c r="T8" s="155">
        <v>406.55448841666663</v>
      </c>
      <c r="U8" s="155">
        <v>0</v>
      </c>
      <c r="V8" s="155">
        <v>0</v>
      </c>
      <c r="W8" s="155">
        <v>0</v>
      </c>
      <c r="X8" s="155">
        <v>0</v>
      </c>
      <c r="Y8" s="155">
        <v>0</v>
      </c>
      <c r="Z8" s="155">
        <v>406.55448841666663</v>
      </c>
      <c r="AA8" s="155">
        <v>0</v>
      </c>
      <c r="AB8" s="155">
        <v>0</v>
      </c>
      <c r="AC8" s="155">
        <v>0</v>
      </c>
    </row>
    <row r="9" spans="1:29" x14ac:dyDescent="0.3">
      <c r="A9" s="56"/>
      <c r="B9" s="143" t="s">
        <v>93</v>
      </c>
      <c r="C9" s="143" t="s">
        <v>94</v>
      </c>
      <c r="D9" s="143" t="s">
        <v>82</v>
      </c>
      <c r="F9" s="155">
        <v>0</v>
      </c>
      <c r="G9" s="155">
        <v>0</v>
      </c>
      <c r="H9" s="155">
        <v>0</v>
      </c>
      <c r="I9" s="155">
        <v>0</v>
      </c>
      <c r="J9" s="155">
        <v>0</v>
      </c>
      <c r="K9" s="155">
        <v>0</v>
      </c>
      <c r="L9" s="155">
        <v>0</v>
      </c>
      <c r="M9" s="155">
        <v>0</v>
      </c>
      <c r="N9" s="155">
        <v>6850.6506664199997</v>
      </c>
      <c r="O9" s="155">
        <v>0</v>
      </c>
      <c r="P9" s="155">
        <v>0</v>
      </c>
      <c r="Q9" s="155">
        <v>6850.6506664199997</v>
      </c>
      <c r="R9" s="155">
        <v>0</v>
      </c>
      <c r="S9" s="155">
        <v>0</v>
      </c>
      <c r="T9" s="155">
        <v>6852.7060671600002</v>
      </c>
      <c r="U9" s="155">
        <v>0</v>
      </c>
      <c r="V9" s="155">
        <v>0</v>
      </c>
      <c r="W9" s="155">
        <v>0</v>
      </c>
      <c r="X9" s="155">
        <v>0</v>
      </c>
      <c r="Y9" s="155">
        <v>0</v>
      </c>
      <c r="Z9" s="155">
        <v>0</v>
      </c>
      <c r="AA9" s="155">
        <v>0</v>
      </c>
      <c r="AB9" s="155">
        <v>0</v>
      </c>
      <c r="AC9" s="155">
        <v>0</v>
      </c>
    </row>
    <row r="10" spans="1:29" x14ac:dyDescent="0.3">
      <c r="A10" s="56"/>
      <c r="B10" s="143" t="s">
        <v>26</v>
      </c>
      <c r="C10" s="143" t="s">
        <v>27</v>
      </c>
      <c r="D10" s="143" t="s">
        <v>19</v>
      </c>
      <c r="F10" s="155">
        <v>14.982063330000001</v>
      </c>
      <c r="G10" s="155">
        <v>15.179374190000001</v>
      </c>
      <c r="H10" s="155">
        <v>0</v>
      </c>
      <c r="I10" s="155">
        <v>0</v>
      </c>
      <c r="J10" s="155">
        <v>0</v>
      </c>
      <c r="K10" s="155">
        <v>0</v>
      </c>
      <c r="L10" s="155">
        <v>0</v>
      </c>
      <c r="M10" s="155">
        <v>0</v>
      </c>
      <c r="N10" s="155">
        <v>0</v>
      </c>
      <c r="O10" s="155">
        <v>0</v>
      </c>
      <c r="P10" s="155">
        <v>0</v>
      </c>
      <c r="Q10" s="155">
        <v>0</v>
      </c>
      <c r="R10" s="155">
        <v>0</v>
      </c>
      <c r="S10" s="155">
        <v>0</v>
      </c>
      <c r="T10" s="155">
        <v>0</v>
      </c>
      <c r="U10" s="155">
        <v>0</v>
      </c>
      <c r="V10" s="155">
        <v>0</v>
      </c>
      <c r="W10" s="155">
        <v>0</v>
      </c>
      <c r="X10" s="155">
        <v>0</v>
      </c>
      <c r="Y10" s="155">
        <v>0</v>
      </c>
      <c r="Z10" s="155">
        <v>0</v>
      </c>
      <c r="AA10" s="155">
        <v>0</v>
      </c>
      <c r="AB10" s="155">
        <v>0</v>
      </c>
      <c r="AC10" s="155">
        <v>0</v>
      </c>
    </row>
    <row r="11" spans="1:29" x14ac:dyDescent="0.3">
      <c r="A11" s="56"/>
      <c r="B11" s="143" t="s">
        <v>33</v>
      </c>
      <c r="C11" s="143" t="s">
        <v>34</v>
      </c>
      <c r="D11" s="143" t="s">
        <v>19</v>
      </c>
      <c r="F11" s="155">
        <v>1.618380651125749</v>
      </c>
      <c r="G11" s="155">
        <v>0</v>
      </c>
      <c r="H11" s="155">
        <v>0</v>
      </c>
      <c r="I11" s="155">
        <v>0</v>
      </c>
      <c r="J11" s="155">
        <v>0</v>
      </c>
      <c r="K11" s="155">
        <v>0</v>
      </c>
      <c r="L11" s="155">
        <v>0</v>
      </c>
      <c r="M11" s="155">
        <v>0</v>
      </c>
      <c r="N11" s="155">
        <v>0</v>
      </c>
      <c r="O11" s="155">
        <v>0</v>
      </c>
      <c r="P11" s="155">
        <v>0</v>
      </c>
      <c r="Q11" s="155">
        <v>0</v>
      </c>
      <c r="R11" s="155">
        <v>0</v>
      </c>
      <c r="S11" s="155">
        <v>0</v>
      </c>
      <c r="T11" s="155">
        <v>0</v>
      </c>
      <c r="U11" s="155">
        <v>0</v>
      </c>
      <c r="V11" s="155">
        <v>0</v>
      </c>
      <c r="W11" s="155">
        <v>0</v>
      </c>
      <c r="X11" s="155">
        <v>0</v>
      </c>
      <c r="Y11" s="155">
        <v>0</v>
      </c>
      <c r="Z11" s="155">
        <v>0</v>
      </c>
      <c r="AA11" s="155">
        <v>0</v>
      </c>
      <c r="AB11" s="155">
        <v>0</v>
      </c>
      <c r="AC11" s="155">
        <v>0</v>
      </c>
    </row>
    <row r="12" spans="1:29" x14ac:dyDescent="0.3">
      <c r="A12" s="56"/>
      <c r="B12" s="143" t="s">
        <v>20</v>
      </c>
      <c r="C12" s="143" t="s">
        <v>21</v>
      </c>
      <c r="D12" s="143" t="s">
        <v>19</v>
      </c>
      <c r="F12" s="155">
        <v>21.822812370000001</v>
      </c>
      <c r="G12" s="155">
        <v>21.822812370000001</v>
      </c>
      <c r="H12" s="155">
        <v>21.822812370000001</v>
      </c>
      <c r="I12" s="155">
        <v>21.822812370000001</v>
      </c>
      <c r="J12" s="155">
        <v>21.822812370000001</v>
      </c>
      <c r="K12" s="155">
        <v>21.822812370000001</v>
      </c>
      <c r="L12" s="155">
        <v>21.822812370000001</v>
      </c>
      <c r="M12" s="155">
        <v>21.822812370000001</v>
      </c>
      <c r="N12" s="155">
        <v>21.822812370000001</v>
      </c>
      <c r="O12" s="155">
        <v>21.822812370000001</v>
      </c>
      <c r="P12" s="155">
        <v>21.822812370000001</v>
      </c>
      <c r="Q12" s="155">
        <v>21.822812370000001</v>
      </c>
      <c r="R12" s="155">
        <v>21.822812370000001</v>
      </c>
      <c r="S12" s="155">
        <v>21.822812370000001</v>
      </c>
      <c r="T12" s="155">
        <v>21.822812370000001</v>
      </c>
      <c r="U12" s="155">
        <v>21.822812370000001</v>
      </c>
      <c r="V12" s="155">
        <v>21.822812370000001</v>
      </c>
      <c r="W12" s="155">
        <v>21.822812370000001</v>
      </c>
      <c r="X12" s="155">
        <v>21.822812370000001</v>
      </c>
      <c r="Y12" s="155">
        <v>21.822812370000001</v>
      </c>
      <c r="Z12" s="155">
        <v>21.822812370000001</v>
      </c>
      <c r="AA12" s="155">
        <v>21.822812370000001</v>
      </c>
      <c r="AB12" s="155">
        <v>21.822812370000001</v>
      </c>
      <c r="AC12" s="155">
        <v>21.822812370000001</v>
      </c>
    </row>
    <row r="13" spans="1:29" x14ac:dyDescent="0.3">
      <c r="A13" s="56"/>
      <c r="B13" s="143" t="s">
        <v>39</v>
      </c>
      <c r="C13" s="143" t="s">
        <v>40</v>
      </c>
      <c r="D13" s="143" t="s">
        <v>35</v>
      </c>
      <c r="F13" s="155">
        <v>358.91512632999996</v>
      </c>
      <c r="G13" s="155">
        <v>358.91512632999996</v>
      </c>
      <c r="H13" s="155">
        <v>358.91512632999996</v>
      </c>
      <c r="I13" s="155">
        <v>358.91512632999996</v>
      </c>
      <c r="J13" s="155">
        <v>358.91512632999996</v>
      </c>
      <c r="K13" s="155">
        <v>358.91512632999996</v>
      </c>
      <c r="L13" s="155">
        <v>358.91512632999996</v>
      </c>
      <c r="M13" s="155">
        <v>358.91512632999996</v>
      </c>
      <c r="N13" s="155">
        <v>358.91512632999996</v>
      </c>
      <c r="O13" s="155">
        <v>358.91512632999996</v>
      </c>
      <c r="P13" s="155">
        <v>358.91512632999996</v>
      </c>
      <c r="Q13" s="155">
        <v>358.91512632999996</v>
      </c>
      <c r="R13" s="155">
        <v>358.91512632999996</v>
      </c>
      <c r="S13" s="155">
        <v>358.91512632999996</v>
      </c>
      <c r="T13" s="155">
        <v>358.91512632999996</v>
      </c>
      <c r="U13" s="155">
        <v>358.91512632999996</v>
      </c>
      <c r="V13" s="155">
        <v>358.91531553999999</v>
      </c>
      <c r="W13" s="155">
        <v>0</v>
      </c>
      <c r="X13" s="155">
        <v>0</v>
      </c>
      <c r="Y13" s="155">
        <v>0</v>
      </c>
      <c r="Z13" s="155">
        <v>0</v>
      </c>
      <c r="AA13" s="155">
        <v>0</v>
      </c>
      <c r="AB13" s="155">
        <v>0</v>
      </c>
      <c r="AC13" s="155">
        <v>0</v>
      </c>
    </row>
    <row r="14" spans="1:29" x14ac:dyDescent="0.3">
      <c r="A14" s="56"/>
      <c r="B14" s="156" t="s">
        <v>36</v>
      </c>
      <c r="C14" s="156" t="s">
        <v>37</v>
      </c>
      <c r="D14" s="156" t="s">
        <v>35</v>
      </c>
      <c r="F14" s="184">
        <v>553.37037037037044</v>
      </c>
      <c r="G14" s="184">
        <v>553.37037037037044</v>
      </c>
      <c r="H14" s="184">
        <v>553.37037037037044</v>
      </c>
      <c r="I14" s="184">
        <v>553.37037037037044</v>
      </c>
      <c r="J14" s="184">
        <v>553.37037037037044</v>
      </c>
      <c r="K14" s="184">
        <v>553.37037037037044</v>
      </c>
      <c r="L14" s="184">
        <v>553.37037037037044</v>
      </c>
      <c r="M14" s="184">
        <v>553.37037037037044</v>
      </c>
      <c r="N14" s="184">
        <v>553.37037037037044</v>
      </c>
      <c r="O14" s="184">
        <v>553.37037037037044</v>
      </c>
      <c r="P14" s="184">
        <v>553.37037037037044</v>
      </c>
      <c r="Q14" s="184">
        <v>553.37037037037044</v>
      </c>
      <c r="R14" s="155">
        <v>553.37037037037044</v>
      </c>
      <c r="S14" s="155">
        <v>553.37037037037044</v>
      </c>
      <c r="T14" s="155">
        <v>553.37037037037044</v>
      </c>
      <c r="U14" s="155">
        <v>553.37037037037044</v>
      </c>
      <c r="V14" s="155">
        <v>553.37037037037044</v>
      </c>
      <c r="W14" s="155">
        <v>553.37037037037044</v>
      </c>
      <c r="X14" s="155">
        <v>553.37037037037044</v>
      </c>
      <c r="Y14" s="155">
        <v>553.37037037037044</v>
      </c>
      <c r="Z14" s="155">
        <v>553.37037037037044</v>
      </c>
      <c r="AA14" s="155">
        <v>553.37037037037044</v>
      </c>
      <c r="AB14" s="155">
        <v>553.37037037037044</v>
      </c>
      <c r="AC14" s="155">
        <v>553.37037037037044</v>
      </c>
    </row>
    <row r="15" spans="1:29" x14ac:dyDescent="0.3">
      <c r="A15" s="56"/>
      <c r="B15" s="5" t="s">
        <v>87</v>
      </c>
      <c r="C15" s="5" t="s">
        <v>88</v>
      </c>
      <c r="D15" s="156" t="s">
        <v>82</v>
      </c>
      <c r="F15" s="184">
        <v>0</v>
      </c>
      <c r="G15" s="184">
        <v>0</v>
      </c>
      <c r="H15" s="184">
        <v>0</v>
      </c>
      <c r="I15" s="184">
        <v>0</v>
      </c>
      <c r="J15" s="184">
        <v>0</v>
      </c>
      <c r="K15" s="184">
        <v>79594.677863999997</v>
      </c>
      <c r="L15" s="184">
        <v>0</v>
      </c>
      <c r="M15" s="184">
        <v>0</v>
      </c>
      <c r="N15" s="184">
        <v>0</v>
      </c>
      <c r="O15" s="184">
        <v>0</v>
      </c>
      <c r="P15" s="184">
        <v>0</v>
      </c>
      <c r="Q15" s="184">
        <v>0</v>
      </c>
      <c r="R15" s="155">
        <v>0</v>
      </c>
      <c r="S15" s="155">
        <v>0</v>
      </c>
      <c r="T15" s="155">
        <v>0</v>
      </c>
      <c r="U15" s="155">
        <v>0</v>
      </c>
      <c r="V15" s="155">
        <v>0</v>
      </c>
      <c r="W15" s="155">
        <v>0</v>
      </c>
      <c r="X15" s="155">
        <v>0</v>
      </c>
      <c r="Y15" s="155">
        <v>0</v>
      </c>
      <c r="Z15" s="155">
        <v>0</v>
      </c>
      <c r="AA15" s="155">
        <v>0</v>
      </c>
      <c r="AB15" s="155">
        <v>0</v>
      </c>
      <c r="AC15" s="155">
        <v>0</v>
      </c>
    </row>
    <row r="16" spans="1:29" ht="18.75" customHeight="1" x14ac:dyDescent="0.3">
      <c r="B16" s="5" t="s">
        <v>90</v>
      </c>
      <c r="C16" s="5" t="s">
        <v>91</v>
      </c>
      <c r="D16" s="156" t="s">
        <v>82</v>
      </c>
      <c r="E16" s="75"/>
      <c r="F16" s="184">
        <v>0</v>
      </c>
      <c r="G16" s="184">
        <v>0</v>
      </c>
      <c r="H16" s="184">
        <v>0</v>
      </c>
      <c r="I16" s="184">
        <v>0</v>
      </c>
      <c r="J16" s="184">
        <v>0</v>
      </c>
      <c r="K16" s="184">
        <v>0</v>
      </c>
      <c r="L16" s="184">
        <v>0</v>
      </c>
      <c r="M16" s="184">
        <v>0</v>
      </c>
      <c r="N16" s="184">
        <v>0</v>
      </c>
      <c r="O16" s="184">
        <v>0</v>
      </c>
      <c r="P16" s="184">
        <v>0</v>
      </c>
      <c r="Q16" s="184">
        <v>63277.757721000002</v>
      </c>
      <c r="R16" s="155">
        <v>0</v>
      </c>
      <c r="S16" s="155">
        <v>0</v>
      </c>
      <c r="T16" s="155">
        <v>0</v>
      </c>
      <c r="U16" s="155">
        <v>0</v>
      </c>
      <c r="V16" s="155">
        <v>0</v>
      </c>
      <c r="W16" s="155">
        <v>0</v>
      </c>
      <c r="X16" s="155">
        <v>0</v>
      </c>
      <c r="Y16" s="155">
        <v>0</v>
      </c>
      <c r="Z16" s="155">
        <v>0</v>
      </c>
      <c r="AA16" s="155">
        <v>0</v>
      </c>
      <c r="AB16" s="155">
        <v>0</v>
      </c>
      <c r="AC16" s="155">
        <v>0</v>
      </c>
    </row>
    <row r="17" spans="1:29" ht="18.75" customHeight="1" x14ac:dyDescent="0.3">
      <c r="B17" s="5" t="s">
        <v>110</v>
      </c>
      <c r="C17" s="9" t="s">
        <v>44</v>
      </c>
      <c r="D17" s="156" t="s">
        <v>43</v>
      </c>
      <c r="E17" s="75"/>
      <c r="F17" s="184">
        <v>0</v>
      </c>
      <c r="G17" s="184">
        <v>0</v>
      </c>
      <c r="H17" s="184">
        <v>0</v>
      </c>
      <c r="I17" s="184">
        <v>0</v>
      </c>
      <c r="J17" s="184">
        <v>0</v>
      </c>
      <c r="K17" s="184">
        <v>0</v>
      </c>
      <c r="L17" s="184">
        <v>0</v>
      </c>
      <c r="M17" s="184">
        <v>470.12206977551017</v>
      </c>
      <c r="N17" s="184">
        <v>470.12206977551017</v>
      </c>
      <c r="O17" s="184">
        <v>470.12206977551017</v>
      </c>
      <c r="P17" s="184">
        <v>470.12206977551017</v>
      </c>
      <c r="Q17" s="184">
        <v>470.12206977551017</v>
      </c>
      <c r="R17" s="155">
        <v>470.12206977551017</v>
      </c>
      <c r="S17" s="155">
        <v>470.12206977551017</v>
      </c>
      <c r="T17" s="155">
        <v>470.12206977551017</v>
      </c>
      <c r="U17" s="155">
        <v>470.12206977551017</v>
      </c>
      <c r="V17" s="155">
        <v>470.12206977551017</v>
      </c>
      <c r="W17" s="155">
        <v>470.12206977551017</v>
      </c>
      <c r="X17" s="155">
        <v>470.12206977551017</v>
      </c>
      <c r="Y17" s="155">
        <v>470.12206977551017</v>
      </c>
      <c r="Z17" s="155">
        <v>470.12206977551017</v>
      </c>
      <c r="AA17" s="155">
        <v>470.12206977551017</v>
      </c>
      <c r="AB17" s="155">
        <v>470.12206977551017</v>
      </c>
      <c r="AC17" s="155">
        <v>470.12206977551017</v>
      </c>
    </row>
    <row r="18" spans="1:29" ht="28.5" customHeight="1" x14ac:dyDescent="0.3">
      <c r="B18" s="242" t="s">
        <v>126</v>
      </c>
      <c r="C18" s="228"/>
      <c r="D18" s="228"/>
      <c r="E18" s="74"/>
      <c r="F18" s="129">
        <v>957.26584605149617</v>
      </c>
      <c r="G18" s="129">
        <v>949.28768326037039</v>
      </c>
      <c r="H18" s="129">
        <v>1340.6627974870371</v>
      </c>
      <c r="I18" s="129">
        <v>938.27127845037035</v>
      </c>
      <c r="J18" s="129">
        <v>934.10830907037041</v>
      </c>
      <c r="K18" s="129">
        <v>80528.786173070373</v>
      </c>
      <c r="L18" s="129">
        <v>938.3755655203704</v>
      </c>
      <c r="M18" s="129">
        <v>1404.2303788458805</v>
      </c>
      <c r="N18" s="129">
        <v>8661.4355336825465</v>
      </c>
      <c r="O18" s="129">
        <v>1408.6147004558807</v>
      </c>
      <c r="P18" s="129">
        <v>1404.2303788458805</v>
      </c>
      <c r="Q18" s="129">
        <v>71532.638766265882</v>
      </c>
      <c r="R18" s="129">
        <v>1404.2303788458805</v>
      </c>
      <c r="S18" s="129">
        <v>1404.2303788458805</v>
      </c>
      <c r="T18" s="129">
        <v>8663.4909344225471</v>
      </c>
      <c r="U18" s="129">
        <v>1404.2303788458805</v>
      </c>
      <c r="V18" s="129">
        <v>1404.2305680558807</v>
      </c>
      <c r="W18" s="129">
        <v>1045.3152525158805</v>
      </c>
      <c r="X18" s="129">
        <v>1045.3152525158805</v>
      </c>
      <c r="Y18" s="129">
        <v>1045.3152525158805</v>
      </c>
      <c r="Z18" s="129">
        <v>1451.8697409325473</v>
      </c>
      <c r="AA18" s="129">
        <v>1045.3152525158805</v>
      </c>
      <c r="AB18" s="129">
        <v>1045.3152525158805</v>
      </c>
      <c r="AC18" s="129">
        <v>1045.3152525158805</v>
      </c>
    </row>
    <row r="19" spans="1:29" x14ac:dyDescent="0.3">
      <c r="B19" s="243" t="s">
        <v>127</v>
      </c>
      <c r="C19" s="228"/>
      <c r="D19" s="228"/>
      <c r="E19" s="74"/>
    </row>
    <row r="20" spans="1:29" x14ac:dyDescent="0.3">
      <c r="B20" s="228"/>
      <c r="C20" s="228"/>
      <c r="D20" s="228"/>
      <c r="E20" s="74"/>
    </row>
    <row r="21" spans="1:29" ht="16.5" customHeight="1" x14ac:dyDescent="0.3">
      <c r="B21" s="243"/>
      <c r="C21" s="228"/>
      <c r="D21" s="228"/>
      <c r="E21" s="74"/>
    </row>
    <row r="22" spans="1:29" x14ac:dyDescent="0.3">
      <c r="B22" s="228"/>
      <c r="C22" s="228"/>
      <c r="D22" s="228"/>
      <c r="E22" s="74"/>
    </row>
    <row r="23" spans="1:29" x14ac:dyDescent="0.3">
      <c r="B23" s="77"/>
      <c r="C23" s="77"/>
      <c r="D23" s="77"/>
      <c r="E23" s="74"/>
    </row>
    <row r="24" spans="1:29" x14ac:dyDescent="0.3">
      <c r="B24" s="72"/>
      <c r="C24" s="77"/>
      <c r="D24" s="77"/>
      <c r="E24" s="74"/>
    </row>
    <row r="25" spans="1:29" ht="30.75" customHeight="1" x14ac:dyDescent="0.3">
      <c r="B25" s="244" t="s">
        <v>120</v>
      </c>
      <c r="C25" s="225"/>
      <c r="D25" s="225"/>
      <c r="E25" s="74"/>
    </row>
    <row r="26" spans="1:29" x14ac:dyDescent="0.3">
      <c r="B26" s="237" t="s">
        <v>3</v>
      </c>
      <c r="C26" s="233" t="s">
        <v>4</v>
      </c>
      <c r="D26" s="233" t="s">
        <v>108</v>
      </c>
      <c r="E26" s="74"/>
      <c r="F26" s="130">
        <v>2026</v>
      </c>
      <c r="G26" s="130">
        <v>2026</v>
      </c>
      <c r="H26" s="130">
        <v>2026</v>
      </c>
      <c r="I26" s="130">
        <v>2026</v>
      </c>
      <c r="J26" s="130">
        <v>2026</v>
      </c>
      <c r="K26" s="130">
        <v>2026</v>
      </c>
      <c r="L26" s="130">
        <v>2026</v>
      </c>
      <c r="M26" s="130">
        <v>2026</v>
      </c>
      <c r="N26" s="130">
        <v>2026</v>
      </c>
      <c r="O26" s="130">
        <v>2026</v>
      </c>
      <c r="P26" s="130">
        <v>2026</v>
      </c>
      <c r="Q26" s="130">
        <v>2026</v>
      </c>
      <c r="R26" s="132">
        <v>2027</v>
      </c>
      <c r="S26" s="132">
        <v>2027</v>
      </c>
      <c r="T26" s="132">
        <v>2027</v>
      </c>
      <c r="U26" s="132">
        <v>2027</v>
      </c>
      <c r="V26" s="132">
        <v>2027</v>
      </c>
      <c r="W26" s="132">
        <v>2027</v>
      </c>
      <c r="X26" s="132">
        <v>2027</v>
      </c>
      <c r="Y26" s="132">
        <v>2027</v>
      </c>
      <c r="Z26" s="132">
        <v>2027</v>
      </c>
      <c r="AA26" s="132">
        <v>2027</v>
      </c>
      <c r="AB26" s="132">
        <v>2027</v>
      </c>
      <c r="AC26" s="132">
        <v>2027</v>
      </c>
    </row>
    <row r="27" spans="1:29" x14ac:dyDescent="0.3">
      <c r="B27" s="215"/>
      <c r="C27" s="215"/>
      <c r="D27" s="215"/>
      <c r="E27" s="74"/>
      <c r="F27" s="130">
        <v>1</v>
      </c>
      <c r="G27" s="130">
        <v>2</v>
      </c>
      <c r="H27" s="130">
        <v>3</v>
      </c>
      <c r="I27" s="130">
        <v>4</v>
      </c>
      <c r="J27" s="130">
        <v>5</v>
      </c>
      <c r="K27" s="130">
        <v>6</v>
      </c>
      <c r="L27" s="130">
        <v>7</v>
      </c>
      <c r="M27" s="130">
        <v>8</v>
      </c>
      <c r="N27" s="130">
        <v>9</v>
      </c>
      <c r="O27" s="130">
        <v>10</v>
      </c>
      <c r="P27" s="130">
        <v>11</v>
      </c>
      <c r="Q27" s="130">
        <v>12</v>
      </c>
      <c r="R27" s="132">
        <v>1</v>
      </c>
      <c r="S27" s="132">
        <v>2</v>
      </c>
      <c r="T27" s="132">
        <v>3</v>
      </c>
      <c r="U27" s="132">
        <v>4</v>
      </c>
      <c r="V27" s="132">
        <v>5</v>
      </c>
      <c r="W27" s="132">
        <v>6</v>
      </c>
      <c r="X27" s="132">
        <v>7</v>
      </c>
      <c r="Y27" s="132">
        <v>8</v>
      </c>
      <c r="Z27" s="132">
        <v>9</v>
      </c>
      <c r="AA27" s="132">
        <v>10</v>
      </c>
      <c r="AB27" s="132">
        <v>11</v>
      </c>
      <c r="AC27" s="132">
        <v>12</v>
      </c>
    </row>
    <row r="28" spans="1:29" x14ac:dyDescent="0.3">
      <c r="A28" s="14" t="s">
        <v>121</v>
      </c>
      <c r="B28" s="143" t="s">
        <v>56</v>
      </c>
      <c r="C28" s="143" t="s">
        <v>57</v>
      </c>
      <c r="D28" s="143" t="s">
        <v>111</v>
      </c>
      <c r="E28" s="74"/>
      <c r="F28" s="155">
        <v>0</v>
      </c>
      <c r="G28" s="155">
        <v>0</v>
      </c>
      <c r="H28" s="155">
        <v>0</v>
      </c>
      <c r="I28" s="155">
        <v>0</v>
      </c>
      <c r="J28" s="155">
        <v>0</v>
      </c>
      <c r="K28" s="155">
        <v>1.4257660471664431</v>
      </c>
      <c r="L28" s="155">
        <v>0</v>
      </c>
      <c r="M28" s="155">
        <v>0</v>
      </c>
      <c r="N28" s="155">
        <v>0</v>
      </c>
      <c r="O28" s="155">
        <v>0</v>
      </c>
      <c r="P28" s="155">
        <v>0</v>
      </c>
      <c r="Q28" s="155">
        <v>1.4257660471664431</v>
      </c>
      <c r="R28" s="155">
        <v>0</v>
      </c>
      <c r="S28" s="155">
        <v>0</v>
      </c>
      <c r="T28" s="155">
        <v>0</v>
      </c>
      <c r="U28" s="155">
        <v>0</v>
      </c>
      <c r="V28" s="155">
        <v>0</v>
      </c>
      <c r="W28" s="155">
        <v>1.4257660471664431</v>
      </c>
      <c r="X28" s="155">
        <v>0</v>
      </c>
      <c r="Y28" s="155">
        <v>0</v>
      </c>
      <c r="Z28" s="155">
        <v>0</v>
      </c>
      <c r="AA28" s="155">
        <v>0</v>
      </c>
      <c r="AB28" s="155">
        <v>0</v>
      </c>
      <c r="AC28" s="155">
        <v>1.4257660471664431</v>
      </c>
    </row>
    <row r="29" spans="1:29" x14ac:dyDescent="0.3">
      <c r="A29" s="14" t="s">
        <v>121</v>
      </c>
      <c r="B29" s="143" t="s">
        <v>54</v>
      </c>
      <c r="C29" s="143" t="s">
        <v>55</v>
      </c>
      <c r="D29" s="143" t="s">
        <v>111</v>
      </c>
      <c r="E29" s="74"/>
      <c r="F29" s="155">
        <v>0</v>
      </c>
      <c r="G29" s="155">
        <v>1.27059031</v>
      </c>
      <c r="H29" s="155">
        <v>0</v>
      </c>
      <c r="I29" s="155">
        <v>0</v>
      </c>
      <c r="J29" s="155">
        <v>0</v>
      </c>
      <c r="K29" s="155">
        <v>0</v>
      </c>
      <c r="L29" s="155">
        <v>0</v>
      </c>
      <c r="M29" s="155">
        <v>1.2705903105221876</v>
      </c>
      <c r="N29" s="155">
        <v>0</v>
      </c>
      <c r="O29" s="155">
        <v>0</v>
      </c>
      <c r="P29" s="155">
        <v>0</v>
      </c>
      <c r="Q29" s="155">
        <v>0</v>
      </c>
      <c r="R29" s="155">
        <v>0</v>
      </c>
      <c r="S29" s="155">
        <v>1.2705903105221876</v>
      </c>
      <c r="T29" s="155">
        <v>0</v>
      </c>
      <c r="U29" s="155">
        <v>0</v>
      </c>
      <c r="V29" s="155">
        <v>0</v>
      </c>
      <c r="W29" s="155">
        <v>0</v>
      </c>
      <c r="X29" s="155">
        <v>0</v>
      </c>
      <c r="Y29" s="155">
        <v>1.2705903105221876</v>
      </c>
      <c r="Z29" s="155">
        <v>0</v>
      </c>
      <c r="AA29" s="155">
        <v>0</v>
      </c>
      <c r="AB29" s="155">
        <v>0</v>
      </c>
      <c r="AC29" s="155">
        <v>0</v>
      </c>
    </row>
    <row r="30" spans="1:29" x14ac:dyDescent="0.3">
      <c r="A30" s="14" t="s">
        <v>121</v>
      </c>
      <c r="B30" s="143" t="s">
        <v>58</v>
      </c>
      <c r="C30" s="143" t="s">
        <v>59</v>
      </c>
      <c r="D30" s="143" t="s">
        <v>111</v>
      </c>
      <c r="E30" s="74"/>
      <c r="F30" s="155">
        <v>0</v>
      </c>
      <c r="G30" s="155">
        <v>0</v>
      </c>
      <c r="H30" s="155">
        <v>0</v>
      </c>
      <c r="I30" s="155">
        <v>1.44594277</v>
      </c>
      <c r="J30" s="155">
        <v>0</v>
      </c>
      <c r="K30" s="155">
        <v>0</v>
      </c>
      <c r="L30" s="155">
        <v>0</v>
      </c>
      <c r="M30" s="155">
        <v>0</v>
      </c>
      <c r="N30" s="155">
        <v>0</v>
      </c>
      <c r="O30" s="155">
        <v>1.4459427699999974</v>
      </c>
      <c r="P30" s="155">
        <v>0</v>
      </c>
      <c r="Q30" s="155">
        <v>0</v>
      </c>
      <c r="R30" s="155">
        <v>0</v>
      </c>
      <c r="S30" s="155">
        <v>0</v>
      </c>
      <c r="T30" s="155">
        <v>0</v>
      </c>
      <c r="U30" s="155">
        <v>1.4459427699999974</v>
      </c>
      <c r="V30" s="155">
        <v>0</v>
      </c>
      <c r="W30" s="155">
        <v>0</v>
      </c>
      <c r="X30" s="155">
        <v>0</v>
      </c>
      <c r="Y30" s="155">
        <v>0</v>
      </c>
      <c r="Z30" s="155">
        <v>0</v>
      </c>
      <c r="AA30" s="155">
        <v>1.4459427699999974</v>
      </c>
      <c r="AB30" s="155">
        <v>0</v>
      </c>
      <c r="AC30" s="155">
        <v>0</v>
      </c>
    </row>
    <row r="31" spans="1:29" x14ac:dyDescent="0.3">
      <c r="A31" s="14" t="s">
        <v>121</v>
      </c>
      <c r="B31" s="143" t="s">
        <v>67</v>
      </c>
      <c r="C31" s="143" t="s">
        <v>68</v>
      </c>
      <c r="D31" s="143" t="s">
        <v>111</v>
      </c>
      <c r="E31" s="74"/>
      <c r="F31" s="155">
        <v>0</v>
      </c>
      <c r="G31" s="155">
        <v>0</v>
      </c>
      <c r="H31" s="155">
        <v>0</v>
      </c>
      <c r="I31" s="155">
        <v>0</v>
      </c>
      <c r="J31" s="155">
        <v>0</v>
      </c>
      <c r="K31" s="155">
        <v>0</v>
      </c>
      <c r="L31" s="155">
        <v>0</v>
      </c>
      <c r="M31" s="155">
        <v>0</v>
      </c>
      <c r="N31" s="155">
        <v>0</v>
      </c>
      <c r="O31" s="155">
        <v>0</v>
      </c>
      <c r="P31" s="155">
        <v>0</v>
      </c>
      <c r="Q31" s="155">
        <v>0</v>
      </c>
      <c r="R31" s="155">
        <v>0</v>
      </c>
      <c r="S31" s="155">
        <v>0</v>
      </c>
      <c r="T31" s="155">
        <v>0</v>
      </c>
      <c r="U31" s="155">
        <v>0</v>
      </c>
      <c r="V31" s="155">
        <v>0</v>
      </c>
      <c r="W31" s="155">
        <v>0</v>
      </c>
      <c r="X31" s="155">
        <v>0</v>
      </c>
      <c r="Y31" s="155">
        <v>0</v>
      </c>
      <c r="Z31" s="155">
        <v>0</v>
      </c>
      <c r="AA31" s="155">
        <v>0</v>
      </c>
      <c r="AB31" s="155">
        <v>0</v>
      </c>
      <c r="AC31" s="155">
        <v>0</v>
      </c>
    </row>
    <row r="32" spans="1:29" x14ac:dyDescent="0.3">
      <c r="A32" s="14" t="s">
        <v>121</v>
      </c>
      <c r="B32" s="143" t="s">
        <v>60</v>
      </c>
      <c r="C32" s="143" t="s">
        <v>61</v>
      </c>
      <c r="D32" s="143" t="s">
        <v>111</v>
      </c>
      <c r="E32" s="74"/>
      <c r="F32" s="155">
        <v>0</v>
      </c>
      <c r="G32" s="155">
        <v>0</v>
      </c>
      <c r="H32" s="155">
        <v>0</v>
      </c>
      <c r="I32" s="155">
        <v>0.38262268338022959</v>
      </c>
      <c r="J32" s="155">
        <v>0</v>
      </c>
      <c r="K32" s="155">
        <v>0</v>
      </c>
      <c r="L32" s="155">
        <v>0</v>
      </c>
      <c r="M32" s="155">
        <v>0</v>
      </c>
      <c r="N32" s="155">
        <v>0</v>
      </c>
      <c r="O32" s="155">
        <v>0.38262268338022953</v>
      </c>
      <c r="P32" s="155">
        <v>0</v>
      </c>
      <c r="Q32" s="155">
        <v>0</v>
      </c>
      <c r="R32" s="155">
        <v>0</v>
      </c>
      <c r="S32" s="155">
        <v>0</v>
      </c>
      <c r="T32" s="155">
        <v>0</v>
      </c>
      <c r="U32" s="155">
        <v>0.38262268338022959</v>
      </c>
      <c r="V32" s="155">
        <v>0</v>
      </c>
      <c r="W32" s="155">
        <v>0</v>
      </c>
      <c r="X32" s="155">
        <v>0</v>
      </c>
      <c r="Y32" s="155">
        <v>0</v>
      </c>
      <c r="Z32" s="155">
        <v>0</v>
      </c>
      <c r="AA32" s="155">
        <v>0.38262268338022953</v>
      </c>
      <c r="AB32" s="155">
        <v>0</v>
      </c>
      <c r="AC32" s="155">
        <v>0</v>
      </c>
    </row>
    <row r="33" spans="1:29" x14ac:dyDescent="0.3">
      <c r="A33" s="14" t="s">
        <v>121</v>
      </c>
      <c r="B33" s="143" t="s">
        <v>65</v>
      </c>
      <c r="C33" s="143" t="s">
        <v>66</v>
      </c>
      <c r="D33" s="143" t="s">
        <v>111</v>
      </c>
      <c r="E33" s="74"/>
      <c r="F33" s="155">
        <v>0</v>
      </c>
      <c r="G33" s="155">
        <v>0</v>
      </c>
      <c r="H33" s="155">
        <v>0</v>
      </c>
      <c r="I33" s="155">
        <v>0</v>
      </c>
      <c r="J33" s="155">
        <v>0.19690854217669154</v>
      </c>
      <c r="K33" s="155">
        <v>0</v>
      </c>
      <c r="L33" s="155">
        <v>0</v>
      </c>
      <c r="M33" s="155">
        <v>0</v>
      </c>
      <c r="N33" s="155">
        <v>0</v>
      </c>
      <c r="O33" s="155">
        <v>0</v>
      </c>
      <c r="P33" s="155">
        <v>0.19690854217669154</v>
      </c>
      <c r="Q33" s="155">
        <v>0</v>
      </c>
      <c r="R33" s="155">
        <v>0</v>
      </c>
      <c r="S33" s="155">
        <v>0</v>
      </c>
      <c r="T33" s="155">
        <v>0</v>
      </c>
      <c r="U33" s="155">
        <v>0</v>
      </c>
      <c r="V33" s="155">
        <v>0.19690854217669154</v>
      </c>
      <c r="W33" s="155">
        <v>0</v>
      </c>
      <c r="X33" s="155">
        <v>0</v>
      </c>
      <c r="Y33" s="155">
        <v>0</v>
      </c>
      <c r="Z33" s="155">
        <v>0</v>
      </c>
      <c r="AA33" s="155">
        <v>0</v>
      </c>
      <c r="AB33" s="155">
        <v>0.19690854217669154</v>
      </c>
      <c r="AC33" s="155">
        <v>0</v>
      </c>
    </row>
    <row r="34" spans="1:29" x14ac:dyDescent="0.3">
      <c r="A34" s="14" t="s">
        <v>121</v>
      </c>
      <c r="B34" s="143" t="s">
        <v>50</v>
      </c>
      <c r="C34" s="143" t="s">
        <v>51</v>
      </c>
      <c r="D34" s="143" t="s">
        <v>111</v>
      </c>
      <c r="E34" s="74"/>
      <c r="F34" s="155">
        <v>0</v>
      </c>
      <c r="G34" s="155">
        <v>0</v>
      </c>
      <c r="H34" s="155">
        <v>0</v>
      </c>
      <c r="I34" s="155">
        <v>0</v>
      </c>
      <c r="J34" s="155">
        <v>1.1551610000000001</v>
      </c>
      <c r="K34" s="155">
        <v>0</v>
      </c>
      <c r="L34" s="155">
        <v>0</v>
      </c>
      <c r="M34" s="155">
        <v>0</v>
      </c>
      <c r="N34" s="155">
        <v>0</v>
      </c>
      <c r="O34" s="155">
        <v>0</v>
      </c>
      <c r="P34" s="155">
        <v>1.1551610000000001</v>
      </c>
      <c r="Q34" s="155">
        <v>0</v>
      </c>
      <c r="R34" s="155">
        <v>0</v>
      </c>
      <c r="S34" s="155">
        <v>0</v>
      </c>
      <c r="T34" s="155">
        <v>0</v>
      </c>
      <c r="U34" s="155">
        <v>0</v>
      </c>
      <c r="V34" s="155">
        <v>1.1551610000000001</v>
      </c>
      <c r="W34" s="155">
        <v>0</v>
      </c>
      <c r="X34" s="155">
        <v>0</v>
      </c>
      <c r="Y34" s="155">
        <v>0</v>
      </c>
      <c r="Z34" s="155">
        <v>0</v>
      </c>
      <c r="AA34" s="155">
        <v>0</v>
      </c>
      <c r="AB34" s="155">
        <v>1.1551610000000001</v>
      </c>
      <c r="AC34" s="155">
        <v>0</v>
      </c>
    </row>
    <row r="35" spans="1:29" x14ac:dyDescent="0.3">
      <c r="A35" s="14"/>
      <c r="B35" s="143" t="s">
        <v>62</v>
      </c>
      <c r="C35" s="143" t="s">
        <v>63</v>
      </c>
      <c r="D35" s="143" t="s">
        <v>111</v>
      </c>
      <c r="E35" s="74"/>
      <c r="F35" s="155">
        <v>0.21060277999999999</v>
      </c>
      <c r="G35" s="155">
        <v>0</v>
      </c>
      <c r="H35" s="155">
        <v>0</v>
      </c>
      <c r="I35" s="155">
        <v>0</v>
      </c>
      <c r="J35" s="155">
        <v>0</v>
      </c>
      <c r="K35" s="155">
        <v>0</v>
      </c>
      <c r="L35" s="155">
        <v>0.21060277503051453</v>
      </c>
      <c r="M35" s="155">
        <v>0</v>
      </c>
      <c r="N35" s="155">
        <v>0</v>
      </c>
      <c r="O35" s="155">
        <v>0</v>
      </c>
      <c r="P35" s="155">
        <v>0</v>
      </c>
      <c r="Q35" s="155">
        <v>0</v>
      </c>
      <c r="R35" s="155">
        <v>0.21060277503051453</v>
      </c>
      <c r="S35" s="155">
        <v>0</v>
      </c>
      <c r="T35" s="155">
        <v>0</v>
      </c>
      <c r="U35" s="155">
        <v>0</v>
      </c>
      <c r="V35" s="155">
        <v>0</v>
      </c>
      <c r="W35" s="155">
        <v>0</v>
      </c>
      <c r="X35" s="155">
        <v>0.21060277503051453</v>
      </c>
      <c r="Y35" s="155">
        <v>0</v>
      </c>
      <c r="Z35" s="155">
        <v>0</v>
      </c>
      <c r="AA35" s="155">
        <v>0</v>
      </c>
      <c r="AB35" s="155">
        <v>0</v>
      </c>
      <c r="AC35" s="155">
        <v>0</v>
      </c>
    </row>
    <row r="36" spans="1:29" x14ac:dyDescent="0.3">
      <c r="A36" s="14" t="s">
        <v>121</v>
      </c>
      <c r="B36" s="143" t="s">
        <v>122</v>
      </c>
      <c r="C36" s="143" t="s">
        <v>123</v>
      </c>
      <c r="D36" s="143" t="s">
        <v>111</v>
      </c>
      <c r="E36" s="74"/>
      <c r="F36" s="155">
        <v>0</v>
      </c>
      <c r="G36" s="155">
        <v>0</v>
      </c>
      <c r="H36" s="155">
        <v>0</v>
      </c>
      <c r="I36" s="155">
        <v>0</v>
      </c>
      <c r="J36" s="155">
        <v>0</v>
      </c>
      <c r="K36" s="155">
        <v>0</v>
      </c>
      <c r="L36" s="155">
        <v>0</v>
      </c>
      <c r="M36" s="155">
        <v>0</v>
      </c>
      <c r="N36" s="155">
        <v>0</v>
      </c>
      <c r="O36" s="155">
        <v>0</v>
      </c>
      <c r="P36" s="155">
        <v>0</v>
      </c>
      <c r="Q36" s="155">
        <v>0</v>
      </c>
      <c r="R36" s="155">
        <v>0</v>
      </c>
      <c r="S36" s="155">
        <v>0</v>
      </c>
      <c r="T36" s="155">
        <v>0</v>
      </c>
      <c r="U36" s="155">
        <v>0</v>
      </c>
      <c r="V36" s="155">
        <v>0</v>
      </c>
      <c r="W36" s="155">
        <v>0</v>
      </c>
      <c r="X36" s="155">
        <v>0</v>
      </c>
      <c r="Y36" s="155">
        <v>0</v>
      </c>
      <c r="Z36" s="155">
        <v>0</v>
      </c>
      <c r="AA36" s="155">
        <v>0</v>
      </c>
      <c r="AB36" s="155">
        <v>0</v>
      </c>
      <c r="AC36" s="155">
        <v>0</v>
      </c>
    </row>
    <row r="37" spans="1:29" x14ac:dyDescent="0.3">
      <c r="A37" s="14" t="s">
        <v>121</v>
      </c>
      <c r="B37" s="143" t="s">
        <v>69</v>
      </c>
      <c r="C37" s="143" t="s">
        <v>70</v>
      </c>
      <c r="D37" s="143" t="s">
        <v>111</v>
      </c>
      <c r="E37" s="74"/>
      <c r="F37" s="155">
        <v>0</v>
      </c>
      <c r="G37" s="155">
        <v>0</v>
      </c>
      <c r="H37" s="155">
        <v>6.91444E-3</v>
      </c>
      <c r="I37" s="155">
        <v>0</v>
      </c>
      <c r="J37" s="155">
        <v>0</v>
      </c>
      <c r="K37" s="155">
        <v>6.9350100000000001E-3</v>
      </c>
      <c r="L37" s="155">
        <v>0</v>
      </c>
      <c r="M37" s="155">
        <v>0</v>
      </c>
      <c r="N37" s="155">
        <v>6.9556399999999999E-3</v>
      </c>
      <c r="O37" s="155">
        <v>0</v>
      </c>
      <c r="P37" s="155">
        <v>0</v>
      </c>
      <c r="Q37" s="155">
        <v>6.9763300000000002E-3</v>
      </c>
      <c r="R37" s="155">
        <v>0</v>
      </c>
      <c r="S37" s="155">
        <v>0</v>
      </c>
      <c r="T37" s="155">
        <v>6.9970900000000001E-3</v>
      </c>
      <c r="U37" s="155">
        <v>0</v>
      </c>
      <c r="V37" s="155">
        <v>0</v>
      </c>
      <c r="W37" s="155">
        <v>7.0179099999999996E-3</v>
      </c>
      <c r="X37" s="155">
        <v>0</v>
      </c>
      <c r="Y37" s="155">
        <v>0</v>
      </c>
      <c r="Z37" s="155">
        <v>7.0387799999999997E-3</v>
      </c>
      <c r="AA37" s="155">
        <v>0</v>
      </c>
      <c r="AB37" s="155">
        <v>0</v>
      </c>
      <c r="AC37" s="155">
        <v>7.0597200000000002E-3</v>
      </c>
    </row>
    <row r="38" spans="1:29" x14ac:dyDescent="0.3">
      <c r="A38" s="14" t="s">
        <v>121</v>
      </c>
      <c r="B38" s="143" t="s">
        <v>71</v>
      </c>
      <c r="C38" s="143" t="s">
        <v>72</v>
      </c>
      <c r="D38" s="143" t="s">
        <v>111</v>
      </c>
      <c r="E38" s="74"/>
      <c r="F38" s="155">
        <v>0</v>
      </c>
      <c r="G38" s="155">
        <v>0</v>
      </c>
      <c r="H38" s="155">
        <v>0</v>
      </c>
      <c r="I38" s="155">
        <v>0</v>
      </c>
      <c r="J38" s="155">
        <v>0</v>
      </c>
      <c r="K38" s="155">
        <v>0</v>
      </c>
      <c r="L38" s="155">
        <v>0</v>
      </c>
      <c r="M38" s="155">
        <v>0</v>
      </c>
      <c r="N38" s="155">
        <v>0</v>
      </c>
      <c r="O38" s="155">
        <v>0</v>
      </c>
      <c r="P38" s="155">
        <v>0</v>
      </c>
      <c r="Q38" s="155">
        <v>0</v>
      </c>
      <c r="R38" s="155">
        <v>0</v>
      </c>
      <c r="S38" s="155">
        <v>0</v>
      </c>
      <c r="T38" s="155">
        <v>0</v>
      </c>
      <c r="U38" s="155">
        <v>0</v>
      </c>
      <c r="V38" s="155">
        <v>0</v>
      </c>
      <c r="W38" s="155">
        <v>0</v>
      </c>
      <c r="X38" s="155">
        <v>0</v>
      </c>
      <c r="Y38" s="155">
        <v>0</v>
      </c>
      <c r="Z38" s="155">
        <v>0</v>
      </c>
      <c r="AA38" s="155">
        <v>0</v>
      </c>
      <c r="AB38" s="155">
        <v>0</v>
      </c>
      <c r="AC38" s="155">
        <v>0</v>
      </c>
    </row>
    <row r="39" spans="1:29" x14ac:dyDescent="0.3">
      <c r="A39" s="14"/>
      <c r="B39" s="143" t="s">
        <v>76</v>
      </c>
      <c r="C39" s="143" t="s">
        <v>77</v>
      </c>
      <c r="D39" s="143" t="s">
        <v>111</v>
      </c>
      <c r="E39" s="74"/>
      <c r="F39" s="155">
        <v>0</v>
      </c>
      <c r="G39" s="155">
        <v>0</v>
      </c>
      <c r="H39" s="155">
        <v>0</v>
      </c>
      <c r="I39" s="155">
        <v>0</v>
      </c>
      <c r="J39" s="155">
        <v>0</v>
      </c>
      <c r="K39" s="155">
        <v>0</v>
      </c>
      <c r="L39" s="155">
        <v>0</v>
      </c>
      <c r="M39" s="155">
        <v>0</v>
      </c>
      <c r="N39" s="155">
        <v>0</v>
      </c>
      <c r="O39" s="155">
        <v>0</v>
      </c>
      <c r="P39" s="155">
        <v>0</v>
      </c>
      <c r="Q39" s="155">
        <v>0</v>
      </c>
      <c r="R39" s="155">
        <v>0</v>
      </c>
      <c r="S39" s="155">
        <v>0</v>
      </c>
      <c r="T39" s="155">
        <v>0</v>
      </c>
      <c r="U39" s="155">
        <v>0</v>
      </c>
      <c r="V39" s="155">
        <v>0</v>
      </c>
      <c r="W39" s="155">
        <v>0</v>
      </c>
      <c r="X39" s="155">
        <v>0</v>
      </c>
      <c r="Y39" s="155">
        <v>0</v>
      </c>
      <c r="Z39" s="155">
        <v>0</v>
      </c>
      <c r="AA39" s="155">
        <v>0</v>
      </c>
      <c r="AB39" s="155">
        <v>0</v>
      </c>
      <c r="AC39" s="155">
        <v>0</v>
      </c>
    </row>
    <row r="40" spans="1:29" x14ac:dyDescent="0.3">
      <c r="A40" s="14" t="s">
        <v>121</v>
      </c>
      <c r="B40" s="143" t="s">
        <v>74</v>
      </c>
      <c r="C40" s="143" t="s">
        <v>75</v>
      </c>
      <c r="D40" s="143" t="s">
        <v>111</v>
      </c>
      <c r="E40" s="74"/>
      <c r="F40" s="155">
        <v>0</v>
      </c>
      <c r="G40" s="155">
        <v>0</v>
      </c>
      <c r="H40" s="155">
        <v>0.89227884999999996</v>
      </c>
      <c r="I40" s="155">
        <v>0</v>
      </c>
      <c r="J40" s="155">
        <v>0</v>
      </c>
      <c r="K40" s="155">
        <v>0</v>
      </c>
      <c r="L40" s="155">
        <v>0</v>
      </c>
      <c r="M40" s="155">
        <v>0</v>
      </c>
      <c r="N40" s="155">
        <v>0.89227885142857055</v>
      </c>
      <c r="O40" s="155">
        <v>0</v>
      </c>
      <c r="P40" s="155">
        <v>0</v>
      </c>
      <c r="Q40" s="155">
        <v>0</v>
      </c>
      <c r="R40" s="155">
        <v>0</v>
      </c>
      <c r="S40" s="155">
        <v>0</v>
      </c>
      <c r="T40" s="155">
        <v>0.89227885142857055</v>
      </c>
      <c r="U40" s="155">
        <v>0</v>
      </c>
      <c r="V40" s="155">
        <v>0</v>
      </c>
      <c r="W40" s="155">
        <v>0</v>
      </c>
      <c r="X40" s="155">
        <v>0</v>
      </c>
      <c r="Y40" s="155">
        <v>0</v>
      </c>
      <c r="Z40" s="155">
        <v>0.89227885142857055</v>
      </c>
      <c r="AA40" s="155">
        <v>0</v>
      </c>
      <c r="AB40" s="155">
        <v>0</v>
      </c>
      <c r="AC40" s="155">
        <v>0</v>
      </c>
    </row>
    <row r="41" spans="1:29" x14ac:dyDescent="0.3">
      <c r="A41" s="14"/>
      <c r="B41" s="143" t="s">
        <v>80</v>
      </c>
      <c r="C41" s="143" t="s">
        <v>81</v>
      </c>
      <c r="D41" s="143" t="s">
        <v>111</v>
      </c>
      <c r="E41" s="78"/>
      <c r="F41" s="155">
        <v>6.0735659999999997E-2</v>
      </c>
      <c r="G41" s="155">
        <v>0</v>
      </c>
      <c r="H41" s="155">
        <v>0</v>
      </c>
      <c r="I41" s="155">
        <v>0</v>
      </c>
      <c r="J41" s="155">
        <v>0</v>
      </c>
      <c r="K41" s="155">
        <v>0</v>
      </c>
      <c r="L41" s="155">
        <v>6.8068516159750486E-2</v>
      </c>
      <c r="M41" s="155">
        <v>0</v>
      </c>
      <c r="N41" s="155">
        <v>0</v>
      </c>
      <c r="O41" s="155">
        <v>0</v>
      </c>
      <c r="P41" s="155">
        <v>0</v>
      </c>
      <c r="Q41" s="155">
        <v>0</v>
      </c>
      <c r="R41" s="155">
        <v>6.8068516159750486E-2</v>
      </c>
      <c r="S41" s="155">
        <v>0</v>
      </c>
      <c r="T41" s="155">
        <v>0</v>
      </c>
      <c r="U41" s="155">
        <v>0</v>
      </c>
      <c r="V41" s="155">
        <v>0</v>
      </c>
      <c r="W41" s="155">
        <v>0</v>
      </c>
      <c r="X41" s="155">
        <v>6.8068516159750486E-2</v>
      </c>
      <c r="Y41" s="155">
        <v>0</v>
      </c>
      <c r="Z41" s="155">
        <v>0</v>
      </c>
      <c r="AA41" s="155">
        <v>0</v>
      </c>
      <c r="AB41" s="155">
        <v>0</v>
      </c>
      <c r="AC41" s="155">
        <v>0</v>
      </c>
    </row>
    <row r="42" spans="1:29" x14ac:dyDescent="0.3">
      <c r="A42" s="14"/>
      <c r="B42" s="156" t="s">
        <v>112</v>
      </c>
      <c r="C42" s="156" t="s">
        <v>79</v>
      </c>
      <c r="D42" s="156" t="s">
        <v>111</v>
      </c>
      <c r="E42" s="78"/>
      <c r="F42" s="155">
        <v>0</v>
      </c>
      <c r="G42" s="155">
        <v>0</v>
      </c>
      <c r="H42" s="155">
        <v>0</v>
      </c>
      <c r="I42" s="155">
        <v>0</v>
      </c>
      <c r="J42" s="155">
        <v>0.19370892319791164</v>
      </c>
      <c r="K42" s="155">
        <v>0</v>
      </c>
      <c r="L42" s="155">
        <v>0</v>
      </c>
      <c r="M42" s="155">
        <v>0</v>
      </c>
      <c r="N42" s="155">
        <v>0</v>
      </c>
      <c r="O42" s="155">
        <v>0</v>
      </c>
      <c r="P42" s="155">
        <v>0.19370892319791164</v>
      </c>
      <c r="Q42" s="155">
        <v>0</v>
      </c>
      <c r="R42" s="155">
        <v>0</v>
      </c>
      <c r="S42" s="155">
        <v>0</v>
      </c>
      <c r="T42" s="155">
        <v>0</v>
      </c>
      <c r="U42" s="155">
        <v>0</v>
      </c>
      <c r="V42" s="155">
        <v>0.19370892319791164</v>
      </c>
      <c r="W42" s="155">
        <v>0</v>
      </c>
      <c r="X42" s="155">
        <v>0</v>
      </c>
      <c r="Y42" s="155">
        <v>0</v>
      </c>
      <c r="Z42" s="155">
        <v>0</v>
      </c>
      <c r="AA42" s="155">
        <v>0</v>
      </c>
      <c r="AB42" s="155">
        <v>0.19370892319791164</v>
      </c>
      <c r="AC42" s="155">
        <v>0</v>
      </c>
    </row>
    <row r="43" spans="1:29" x14ac:dyDescent="0.3">
      <c r="A43" s="14" t="s">
        <v>121</v>
      </c>
      <c r="B43" s="143" t="s">
        <v>113</v>
      </c>
      <c r="C43" s="143" t="s">
        <v>84</v>
      </c>
      <c r="D43" s="143" t="s">
        <v>82</v>
      </c>
      <c r="E43" s="74"/>
      <c r="F43" s="155">
        <v>0</v>
      </c>
      <c r="G43" s="155">
        <v>0</v>
      </c>
      <c r="H43" s="155">
        <v>39.847769219999996</v>
      </c>
      <c r="I43" s="155">
        <v>0</v>
      </c>
      <c r="J43" s="155">
        <v>0</v>
      </c>
      <c r="K43" s="155">
        <v>0</v>
      </c>
      <c r="L43" s="155">
        <v>0</v>
      </c>
      <c r="M43" s="155">
        <v>0</v>
      </c>
      <c r="N43" s="155">
        <v>39.847769230769231</v>
      </c>
      <c r="O43" s="155">
        <v>0</v>
      </c>
      <c r="P43" s="155">
        <v>0</v>
      </c>
      <c r="Q43" s="155">
        <v>0</v>
      </c>
      <c r="R43" s="155">
        <v>0</v>
      </c>
      <c r="S43" s="155">
        <v>0</v>
      </c>
      <c r="T43" s="155">
        <v>39.847769230769231</v>
      </c>
      <c r="U43" s="155">
        <v>0</v>
      </c>
      <c r="V43" s="155">
        <v>0</v>
      </c>
      <c r="W43" s="155">
        <v>0</v>
      </c>
      <c r="X43" s="155">
        <v>0</v>
      </c>
      <c r="Y43" s="155">
        <v>0</v>
      </c>
      <c r="Z43" s="155">
        <v>39.847769230769231</v>
      </c>
      <c r="AA43" s="155">
        <v>0</v>
      </c>
      <c r="AB43" s="155">
        <v>0</v>
      </c>
      <c r="AC43" s="155">
        <v>0</v>
      </c>
    </row>
    <row r="44" spans="1:29" ht="6.75" customHeight="1" x14ac:dyDescent="0.3">
      <c r="B44" s="79"/>
      <c r="C44" s="2"/>
      <c r="D44" s="2"/>
      <c r="E44" s="75"/>
      <c r="F44" s="76"/>
      <c r="G44" s="76"/>
      <c r="H44" s="76"/>
      <c r="I44" s="76"/>
    </row>
    <row r="45" spans="1:29" ht="28.5" customHeight="1" x14ac:dyDescent="0.3">
      <c r="B45" s="242" t="s">
        <v>128</v>
      </c>
      <c r="C45" s="228"/>
      <c r="D45" s="228"/>
      <c r="E45" s="80"/>
      <c r="F45" s="129">
        <v>0.27133843999999996</v>
      </c>
      <c r="G45" s="129">
        <v>1.27059031</v>
      </c>
      <c r="H45" s="129">
        <v>40.746962509999996</v>
      </c>
      <c r="I45" s="129">
        <v>1.8285654533802296</v>
      </c>
      <c r="J45" s="129">
        <v>1.5457784653746034</v>
      </c>
      <c r="K45" s="129">
        <v>1.4327010571664431</v>
      </c>
      <c r="L45" s="129">
        <v>0.27867129119026501</v>
      </c>
      <c r="M45" s="129">
        <v>1.2705903105221876</v>
      </c>
      <c r="N45" s="129">
        <v>40.747003722197803</v>
      </c>
      <c r="O45" s="129">
        <v>1.8285654533802269</v>
      </c>
      <c r="P45" s="129">
        <v>1.5457784653746034</v>
      </c>
      <c r="Q45" s="129">
        <v>1.4327423771664431</v>
      </c>
      <c r="R45" s="129">
        <v>0.27867129119026501</v>
      </c>
      <c r="S45" s="129">
        <v>1.2705903105221876</v>
      </c>
      <c r="T45" s="129">
        <v>40.747045172197801</v>
      </c>
      <c r="U45" s="129">
        <v>1.8285654533802269</v>
      </c>
      <c r="V45" s="129">
        <v>1.5457784653746034</v>
      </c>
      <c r="W45" s="129">
        <v>1.4327839571664431</v>
      </c>
      <c r="X45" s="129">
        <v>0.27867129119026501</v>
      </c>
      <c r="Y45" s="129">
        <v>1.2705903105221876</v>
      </c>
      <c r="Z45" s="129">
        <v>40.747086862197804</v>
      </c>
      <c r="AA45" s="129">
        <v>1.8285654533802269</v>
      </c>
      <c r="AB45" s="129">
        <v>1.5457784653746034</v>
      </c>
      <c r="AC45" s="129">
        <v>1.4328257671664431</v>
      </c>
    </row>
    <row r="46" spans="1:29" x14ac:dyDescent="0.3">
      <c r="B46" s="2"/>
      <c r="C46" s="2"/>
      <c r="D46" s="2"/>
      <c r="E46" s="74"/>
    </row>
    <row r="47" spans="1:29" x14ac:dyDescent="0.3">
      <c r="B47" s="2"/>
      <c r="C47" s="2"/>
      <c r="D47" s="2"/>
      <c r="E47" s="74"/>
    </row>
    <row r="48" spans="1:29" x14ac:dyDescent="0.3">
      <c r="B48" s="2"/>
      <c r="C48" s="2"/>
      <c r="D48" s="2"/>
    </row>
    <row r="49" spans="11:17" x14ac:dyDescent="0.3">
      <c r="K49" s="72"/>
      <c r="N49" s="72"/>
      <c r="Q49" s="72"/>
    </row>
  </sheetData>
  <mergeCells count="13">
    <mergeCell ref="B1:E1"/>
    <mergeCell ref="B18:D18"/>
    <mergeCell ref="B19:D20"/>
    <mergeCell ref="B45:D45"/>
    <mergeCell ref="B4:D4"/>
    <mergeCell ref="C5:C6"/>
    <mergeCell ref="B25:D25"/>
    <mergeCell ref="B5:B6"/>
    <mergeCell ref="B21:D22"/>
    <mergeCell ref="B26:B27"/>
    <mergeCell ref="D5:D6"/>
    <mergeCell ref="C26:C27"/>
    <mergeCell ref="D26:D27"/>
  </mergeCells>
  <hyperlinks>
    <hyperlink ref="C7" location="IPVO26!A1" display="IPVO26" xr:uid="{00000000-0004-0000-0200-000000000000}"/>
    <hyperlink ref="C10" location="FFFIRF26!A1" display="FFFIRF26" xr:uid="{00000000-0004-0000-0200-000003000000}"/>
    <hyperlink ref="C11" location="FFFIRE26!A1" display="FFFIRE26" xr:uid="{00000000-0004-0000-0200-000004000000}"/>
    <hyperlink ref="C15" location="'TAMAR 1'!A1" display="TAMAR 1" xr:uid="{00000000-0004-0000-0200-000005000000}"/>
    <hyperlink ref="C16" location="'TAMAR 2'!A1" display="'TAMAR 2'!A1" xr:uid="{00000000-0004-0000-0200-000006000000}"/>
    <hyperlink ref="C29" location="BIDF40!A1" display="BIDF40" xr:uid="{00000000-0004-0000-0200-000007000000}"/>
    <hyperlink ref="C32" location="BIDY42!A1" display="BIDY42" xr:uid="{00000000-0004-0000-0200-000008000000}"/>
    <hyperlink ref="C33" location="BIDN32!A1" display="BIDN32" xr:uid="{00000000-0004-0000-0200-000009000000}"/>
    <hyperlink ref="C36" location="BIDO24!A1" display="BIDO24" xr:uid="{00000000-0004-0000-0200-00000A000000}"/>
    <hyperlink ref="C37" location="BIDS34!A1" display="BIDS34" xr:uid="{00000000-0004-0000-0200-00000B000000}"/>
    <hyperlink ref="C38" location="BIDS23!A1" display="BIDS23" xr:uid="{00000000-0004-0000-0200-00000C000000}"/>
    <hyperlink ref="C40" location="BIRS38!A1" display="BIRS38" xr:uid="{00000000-0004-0000-0200-00000D000000}"/>
  </hyperlinks>
  <pageMargins left="0.7" right="0.7" top="0.75" bottom="0.75" header="0.3" footer="0.3"/>
  <pageSetup paperSize="9"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7"/>
  <sheetViews>
    <sheetView showGridLines="0" zoomScale="85" zoomScaleNormal="85" workbookViewId="0">
      <pane xSplit="2" ySplit="2" topLeftCell="C3" activePane="bottomRight" state="frozen"/>
      <selection activeCell="F1" sqref="F1"/>
      <selection pane="topRight" activeCell="F1" sqref="F1"/>
      <selection pane="bottomLeft" activeCell="F1" sqref="F1"/>
      <selection pane="bottomRight" sqref="A1:XFD1048576"/>
    </sheetView>
  </sheetViews>
  <sheetFormatPr baseColWidth="10" defaultRowHeight="15" x14ac:dyDescent="0.25"/>
  <cols>
    <col min="1" max="1" width="20.85546875" customWidth="1"/>
    <col min="2" max="2" width="49.85546875" customWidth="1"/>
    <col min="3" max="3" width="19.5703125" customWidth="1"/>
    <col min="5" max="5" width="16.7109375" bestFit="1" customWidth="1"/>
    <col min="6" max="6" width="15.5703125" bestFit="1" customWidth="1"/>
    <col min="12" max="12" width="23.42578125" customWidth="1"/>
  </cols>
  <sheetData>
    <row r="1" spans="1:15" ht="24.75" customHeight="1" x14ac:dyDescent="0.25">
      <c r="A1" s="7"/>
      <c r="B1" s="43"/>
      <c r="C1" s="136">
        <v>2026</v>
      </c>
      <c r="D1" s="7"/>
      <c r="E1" s="30"/>
      <c r="F1" s="28"/>
      <c r="G1" s="7"/>
      <c r="H1" s="7"/>
      <c r="I1" s="7"/>
      <c r="J1" s="7"/>
      <c r="K1" s="7"/>
    </row>
    <row r="2" spans="1:15" ht="21" customHeight="1" x14ac:dyDescent="0.25">
      <c r="A2" s="7"/>
      <c r="B2" s="7"/>
      <c r="C2" s="109" t="s">
        <v>129</v>
      </c>
      <c r="D2" s="7"/>
      <c r="E2" s="30"/>
      <c r="F2" s="30"/>
      <c r="G2" s="7"/>
      <c r="H2" s="7"/>
      <c r="I2" s="7"/>
      <c r="J2" s="7"/>
      <c r="K2" s="7"/>
    </row>
    <row r="3" spans="1:15" ht="57" customHeight="1" x14ac:dyDescent="0.25">
      <c r="A3" s="250" t="s">
        <v>130</v>
      </c>
      <c r="B3" s="109" t="s">
        <v>131</v>
      </c>
      <c r="C3" s="208">
        <v>327789.2880511235</v>
      </c>
      <c r="D3" s="245" t="s">
        <v>132</v>
      </c>
      <c r="E3" s="246"/>
      <c r="F3" s="246"/>
      <c r="G3" s="246"/>
      <c r="H3" s="246"/>
      <c r="I3" s="246"/>
      <c r="J3" s="246"/>
      <c r="K3" s="247"/>
      <c r="L3" s="29"/>
      <c r="M3" s="29"/>
      <c r="N3" s="29"/>
      <c r="O3" s="29"/>
    </row>
    <row r="4" spans="1:15" ht="57" customHeight="1" x14ac:dyDescent="0.25">
      <c r="A4" s="215"/>
      <c r="B4" s="109" t="s">
        <v>133</v>
      </c>
      <c r="C4" s="208">
        <v>3905952.0399999996</v>
      </c>
      <c r="D4" s="248"/>
      <c r="E4" s="212"/>
      <c r="F4" s="212"/>
      <c r="G4" s="212"/>
      <c r="H4" s="212"/>
      <c r="I4" s="212"/>
      <c r="J4" s="212"/>
      <c r="K4" s="222"/>
      <c r="L4" s="29"/>
      <c r="M4" s="29"/>
      <c r="N4" s="29"/>
      <c r="O4" s="29"/>
    </row>
    <row r="5" spans="1:15" ht="57" customHeight="1" x14ac:dyDescent="0.25">
      <c r="A5" s="217"/>
      <c r="B5" s="109" t="s">
        <v>134</v>
      </c>
      <c r="C5" s="209">
        <v>8.3920459005718748E-2</v>
      </c>
      <c r="D5" s="249"/>
      <c r="E5" s="225"/>
      <c r="F5" s="225"/>
      <c r="G5" s="225"/>
      <c r="H5" s="225"/>
      <c r="I5" s="225"/>
      <c r="J5" s="225"/>
      <c r="K5" s="226"/>
      <c r="L5" s="29"/>
      <c r="M5" s="29"/>
      <c r="N5" s="29"/>
      <c r="O5" s="29"/>
    </row>
    <row r="6" spans="1:15" ht="57" customHeight="1" x14ac:dyDescent="0.25">
      <c r="A6" s="250" t="s">
        <v>135</v>
      </c>
      <c r="B6" s="109" t="s">
        <v>136</v>
      </c>
      <c r="C6" s="208">
        <v>271662.7138371137</v>
      </c>
      <c r="D6" s="245" t="s">
        <v>137</v>
      </c>
      <c r="E6" s="246"/>
      <c r="F6" s="246"/>
      <c r="G6" s="246"/>
      <c r="H6" s="246"/>
      <c r="I6" s="246"/>
      <c r="J6" s="246"/>
      <c r="K6" s="247"/>
      <c r="L6" s="29"/>
      <c r="M6" s="29"/>
      <c r="N6" s="29"/>
      <c r="O6" s="29"/>
    </row>
    <row r="7" spans="1:15" ht="57" customHeight="1" x14ac:dyDescent="0.25">
      <c r="A7" s="215"/>
      <c r="B7" s="109" t="s">
        <v>138</v>
      </c>
      <c r="C7" s="208">
        <v>2073784.56</v>
      </c>
      <c r="D7" s="248"/>
      <c r="E7" s="212"/>
      <c r="F7" s="212"/>
      <c r="G7" s="212"/>
      <c r="H7" s="212"/>
      <c r="I7" s="212"/>
      <c r="J7" s="212"/>
      <c r="K7" s="222"/>
      <c r="L7" s="29"/>
      <c r="M7" s="29"/>
      <c r="N7" s="29"/>
      <c r="O7" s="29"/>
    </row>
    <row r="8" spans="1:15" ht="57" customHeight="1" x14ac:dyDescent="0.25">
      <c r="A8" s="215"/>
      <c r="B8" s="109" t="s">
        <v>139</v>
      </c>
      <c r="C8" s="209">
        <v>0.13099852273811591</v>
      </c>
      <c r="D8" s="249"/>
      <c r="E8" s="225"/>
      <c r="F8" s="225"/>
      <c r="G8" s="225"/>
      <c r="H8" s="225"/>
      <c r="I8" s="225"/>
      <c r="J8" s="225"/>
      <c r="K8" s="226"/>
      <c r="L8" s="29"/>
      <c r="M8" s="29"/>
      <c r="N8" s="29"/>
      <c r="O8" s="29"/>
    </row>
    <row r="9" spans="1:15" ht="57" customHeight="1" x14ac:dyDescent="0.25">
      <c r="A9" s="215"/>
      <c r="B9" s="109" t="s">
        <v>140</v>
      </c>
      <c r="C9" s="208">
        <v>127513.34777911998</v>
      </c>
      <c r="D9" s="245" t="s">
        <v>141</v>
      </c>
      <c r="E9" s="246"/>
      <c r="F9" s="246"/>
      <c r="G9" s="246"/>
      <c r="H9" s="246"/>
      <c r="I9" s="246"/>
      <c r="J9" s="246"/>
      <c r="K9" s="247"/>
      <c r="L9" s="29"/>
      <c r="M9" s="29"/>
      <c r="N9" s="29"/>
      <c r="O9" s="29"/>
    </row>
    <row r="10" spans="1:15" ht="57" customHeight="1" x14ac:dyDescent="0.25">
      <c r="A10" s="215"/>
      <c r="B10" s="109" t="s">
        <v>142</v>
      </c>
      <c r="C10" s="208">
        <v>4645175.1499999994</v>
      </c>
      <c r="D10" s="248"/>
      <c r="E10" s="212"/>
      <c r="F10" s="212"/>
      <c r="G10" s="212"/>
      <c r="H10" s="212"/>
      <c r="I10" s="212"/>
      <c r="J10" s="212"/>
      <c r="K10" s="222"/>
      <c r="L10" s="29"/>
      <c r="M10" s="29"/>
      <c r="N10" s="29"/>
      <c r="O10" s="29"/>
    </row>
    <row r="11" spans="1:15" ht="57" customHeight="1" x14ac:dyDescent="0.25">
      <c r="A11" s="215"/>
      <c r="B11" s="109" t="s">
        <v>143</v>
      </c>
      <c r="C11" s="209">
        <v>2.7450708242749467E-2</v>
      </c>
      <c r="D11" s="249"/>
      <c r="E11" s="225"/>
      <c r="F11" s="225"/>
      <c r="G11" s="225"/>
      <c r="H11" s="225"/>
      <c r="I11" s="225"/>
      <c r="J11" s="225"/>
      <c r="K11" s="226"/>
      <c r="L11" s="29"/>
      <c r="M11" s="29"/>
      <c r="N11" s="29"/>
      <c r="O11" s="29"/>
    </row>
    <row r="12" spans="1:15" ht="57" customHeight="1" x14ac:dyDescent="0.25">
      <c r="A12" s="215"/>
      <c r="B12" s="109" t="s">
        <v>144</v>
      </c>
      <c r="C12" s="210">
        <v>12.839046890000001</v>
      </c>
      <c r="D12" s="245" t="s">
        <v>145</v>
      </c>
      <c r="E12" s="246"/>
      <c r="F12" s="246"/>
      <c r="G12" s="246"/>
      <c r="H12" s="246"/>
      <c r="I12" s="246"/>
      <c r="J12" s="246"/>
      <c r="K12" s="247"/>
      <c r="L12" s="29"/>
      <c r="M12" s="29"/>
      <c r="N12" s="29"/>
      <c r="O12" s="29"/>
    </row>
    <row r="13" spans="1:15" ht="57" customHeight="1" x14ac:dyDescent="0.25">
      <c r="A13" s="215"/>
      <c r="B13" s="109" t="s">
        <v>146</v>
      </c>
      <c r="C13" s="208">
        <v>4645175.1499999994</v>
      </c>
      <c r="D13" s="248"/>
      <c r="E13" s="212"/>
      <c r="F13" s="212"/>
      <c r="G13" s="212"/>
      <c r="H13" s="212"/>
      <c r="I13" s="212"/>
      <c r="J13" s="212"/>
      <c r="K13" s="222"/>
      <c r="L13" s="29"/>
      <c r="M13" s="29"/>
      <c r="N13" s="29"/>
      <c r="O13" s="29"/>
    </row>
    <row r="14" spans="1:15" ht="57" customHeight="1" x14ac:dyDescent="0.25">
      <c r="A14" s="215"/>
      <c r="B14" s="109" t="s">
        <v>147</v>
      </c>
      <c r="C14" s="207">
        <v>2.763953236510361E-6</v>
      </c>
      <c r="D14" s="249"/>
      <c r="E14" s="225"/>
      <c r="F14" s="225"/>
      <c r="G14" s="225"/>
      <c r="H14" s="225"/>
      <c r="I14" s="225"/>
      <c r="J14" s="225"/>
      <c r="K14" s="226"/>
      <c r="L14" s="29"/>
      <c r="M14" s="29"/>
      <c r="N14" s="29"/>
      <c r="O14" s="29"/>
    </row>
    <row r="15" spans="1:15" ht="57" customHeight="1" x14ac:dyDescent="0.25">
      <c r="A15" s="215"/>
      <c r="B15" s="109" t="s">
        <v>148</v>
      </c>
      <c r="C15" s="208">
        <v>195551.50564034353</v>
      </c>
      <c r="D15" s="245" t="s">
        <v>149</v>
      </c>
      <c r="E15" s="246"/>
      <c r="F15" s="246"/>
      <c r="G15" s="246"/>
      <c r="H15" s="246"/>
      <c r="I15" s="246"/>
      <c r="J15" s="246"/>
      <c r="K15" s="247"/>
      <c r="L15" s="29"/>
      <c r="M15" s="29"/>
      <c r="N15" s="29"/>
      <c r="O15" s="29"/>
    </row>
    <row r="16" spans="1:15" ht="57" customHeight="1" x14ac:dyDescent="0.25">
      <c r="A16" s="215"/>
      <c r="B16" s="109" t="s">
        <v>150</v>
      </c>
      <c r="C16" s="208">
        <v>2055358.85</v>
      </c>
      <c r="D16" s="248"/>
      <c r="E16" s="212"/>
      <c r="F16" s="212"/>
      <c r="G16" s="212"/>
      <c r="H16" s="212"/>
      <c r="I16" s="212"/>
      <c r="J16" s="212"/>
      <c r="K16" s="222"/>
      <c r="L16" s="29"/>
      <c r="M16" s="29"/>
      <c r="N16" s="29"/>
      <c r="O16" s="29"/>
    </row>
    <row r="17" spans="1:15" ht="57" customHeight="1" x14ac:dyDescent="0.25">
      <c r="A17" s="217"/>
      <c r="B17" s="109" t="s">
        <v>151</v>
      </c>
      <c r="C17" s="209">
        <v>9.5142269507022342E-2</v>
      </c>
      <c r="D17" s="249"/>
      <c r="E17" s="225"/>
      <c r="F17" s="225"/>
      <c r="G17" s="225"/>
      <c r="H17" s="225"/>
      <c r="I17" s="225"/>
      <c r="J17" s="225"/>
      <c r="K17" s="226"/>
      <c r="L17" s="29"/>
      <c r="M17" s="29"/>
      <c r="N17" s="29"/>
      <c r="O17" s="29"/>
    </row>
  </sheetData>
  <mergeCells count="7">
    <mergeCell ref="D3:K5"/>
    <mergeCell ref="D6:K8"/>
    <mergeCell ref="A3:A5"/>
    <mergeCell ref="D15:K17"/>
    <mergeCell ref="A6:A17"/>
    <mergeCell ref="D12:K14"/>
    <mergeCell ref="D9:K11"/>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9"/>
  <sheetViews>
    <sheetView showGridLines="0" workbookViewId="0"/>
  </sheetViews>
  <sheetFormatPr baseColWidth="10" defaultRowHeight="15" x14ac:dyDescent="0.25"/>
  <cols>
    <col min="1" max="1" width="4.5703125" customWidth="1"/>
    <col min="2" max="2" width="39.85546875" customWidth="1"/>
    <col min="3" max="3" width="11.28515625" customWidth="1"/>
    <col min="4" max="4" width="9.85546875" customWidth="1"/>
    <col min="5" max="5" width="11" customWidth="1"/>
    <col min="6" max="6" width="13.42578125" customWidth="1"/>
    <col min="7" max="9" width="12.42578125" customWidth="1"/>
    <col min="10" max="10" width="6.28515625" customWidth="1"/>
    <col min="11" max="11" width="6.42578125" customWidth="1"/>
    <col min="12" max="12" width="6.85546875" customWidth="1"/>
    <col min="13" max="13" width="9.28515625" customWidth="1"/>
    <col min="14" max="14" width="11.28515625" customWidth="1"/>
    <col min="259" max="259" width="39.85546875" customWidth="1"/>
    <col min="260" max="260" width="11.28515625" customWidth="1"/>
    <col min="261" max="261" width="9.85546875" customWidth="1"/>
    <col min="262" max="262" width="11" customWidth="1"/>
    <col min="263" max="263" width="13.42578125" customWidth="1"/>
    <col min="264" max="265" width="12.42578125" customWidth="1"/>
    <col min="266" max="266" width="6.28515625" customWidth="1"/>
    <col min="267" max="267" width="6.42578125" customWidth="1"/>
    <col min="268" max="268" width="6.85546875" customWidth="1"/>
    <col min="269" max="269" width="9.28515625" customWidth="1"/>
    <col min="270" max="270" width="11.28515625" customWidth="1"/>
    <col min="515" max="515" width="39.85546875" customWidth="1"/>
    <col min="516" max="516" width="11.28515625" customWidth="1"/>
    <col min="517" max="517" width="9.85546875" customWidth="1"/>
    <col min="518" max="518" width="11" customWidth="1"/>
    <col min="519" max="519" width="13.42578125" customWidth="1"/>
    <col min="520" max="521" width="12.42578125" customWidth="1"/>
    <col min="522" max="522" width="6.28515625" customWidth="1"/>
    <col min="523" max="523" width="6.42578125" customWidth="1"/>
    <col min="524" max="524" width="6.85546875" customWidth="1"/>
    <col min="525" max="525" width="9.28515625" customWidth="1"/>
    <col min="526" max="526" width="11.28515625" customWidth="1"/>
    <col min="771" max="771" width="39.85546875" customWidth="1"/>
    <col min="772" max="772" width="11.28515625" customWidth="1"/>
    <col min="773" max="773" width="9.85546875" customWidth="1"/>
    <col min="774" max="774" width="11" customWidth="1"/>
    <col min="775" max="775" width="13.42578125" customWidth="1"/>
    <col min="776" max="777" width="12.42578125" customWidth="1"/>
    <col min="778" max="778" width="6.28515625" customWidth="1"/>
    <col min="779" max="779" width="6.42578125" customWidth="1"/>
    <col min="780" max="780" width="6.85546875" customWidth="1"/>
    <col min="781" max="781" width="9.28515625" customWidth="1"/>
    <col min="782" max="782" width="11.28515625" customWidth="1"/>
    <col min="1027" max="1027" width="39.85546875" customWidth="1"/>
    <col min="1028" max="1028" width="11.28515625" customWidth="1"/>
    <col min="1029" max="1029" width="9.85546875" customWidth="1"/>
    <col min="1030" max="1030" width="11" customWidth="1"/>
    <col min="1031" max="1031" width="13.42578125" customWidth="1"/>
    <col min="1032" max="1033" width="12.42578125" customWidth="1"/>
    <col min="1034" max="1034" width="6.28515625" customWidth="1"/>
    <col min="1035" max="1035" width="6.42578125" customWidth="1"/>
    <col min="1036" max="1036" width="6.85546875" customWidth="1"/>
    <col min="1037" max="1037" width="9.28515625" customWidth="1"/>
    <col min="1038" max="1038" width="11.28515625" customWidth="1"/>
    <col min="1283" max="1283" width="39.85546875" customWidth="1"/>
    <col min="1284" max="1284" width="11.28515625" customWidth="1"/>
    <col min="1285" max="1285" width="9.85546875" customWidth="1"/>
    <col min="1286" max="1286" width="11" customWidth="1"/>
    <col min="1287" max="1287" width="13.42578125" customWidth="1"/>
    <col min="1288" max="1289" width="12.42578125" customWidth="1"/>
    <col min="1290" max="1290" width="6.28515625" customWidth="1"/>
    <col min="1291" max="1291" width="6.42578125" customWidth="1"/>
    <col min="1292" max="1292" width="6.85546875" customWidth="1"/>
    <col min="1293" max="1293" width="9.28515625" customWidth="1"/>
    <col min="1294" max="1294" width="11.28515625" customWidth="1"/>
    <col min="1539" max="1539" width="39.85546875" customWidth="1"/>
    <col min="1540" max="1540" width="11.28515625" customWidth="1"/>
    <col min="1541" max="1541" width="9.85546875" customWidth="1"/>
    <col min="1542" max="1542" width="11" customWidth="1"/>
    <col min="1543" max="1543" width="13.42578125" customWidth="1"/>
    <col min="1544" max="1545" width="12.42578125" customWidth="1"/>
    <col min="1546" max="1546" width="6.28515625" customWidth="1"/>
    <col min="1547" max="1547" width="6.42578125" customWidth="1"/>
    <col min="1548" max="1548" width="6.85546875" customWidth="1"/>
    <col min="1549" max="1549" width="9.28515625" customWidth="1"/>
    <col min="1550" max="1550" width="11.28515625" customWidth="1"/>
    <col min="1795" max="1795" width="39.85546875" customWidth="1"/>
    <col min="1796" max="1796" width="11.28515625" customWidth="1"/>
    <col min="1797" max="1797" width="9.85546875" customWidth="1"/>
    <col min="1798" max="1798" width="11" customWidth="1"/>
    <col min="1799" max="1799" width="13.42578125" customWidth="1"/>
    <col min="1800" max="1801" width="12.42578125" customWidth="1"/>
    <col min="1802" max="1802" width="6.28515625" customWidth="1"/>
    <col min="1803" max="1803" width="6.42578125" customWidth="1"/>
    <col min="1804" max="1804" width="6.85546875" customWidth="1"/>
    <col min="1805" max="1805" width="9.28515625" customWidth="1"/>
    <col min="1806" max="1806" width="11.28515625" customWidth="1"/>
    <col min="2051" max="2051" width="39.85546875" customWidth="1"/>
    <col min="2052" max="2052" width="11.28515625" customWidth="1"/>
    <col min="2053" max="2053" width="9.85546875" customWidth="1"/>
    <col min="2054" max="2054" width="11" customWidth="1"/>
    <col min="2055" max="2055" width="13.42578125" customWidth="1"/>
    <col min="2056" max="2057" width="12.42578125" customWidth="1"/>
    <col min="2058" max="2058" width="6.28515625" customWidth="1"/>
    <col min="2059" max="2059" width="6.42578125" customWidth="1"/>
    <col min="2060" max="2060" width="6.85546875" customWidth="1"/>
    <col min="2061" max="2061" width="9.28515625" customWidth="1"/>
    <col min="2062" max="2062" width="11.28515625" customWidth="1"/>
    <col min="2307" max="2307" width="39.85546875" customWidth="1"/>
    <col min="2308" max="2308" width="11.28515625" customWidth="1"/>
    <col min="2309" max="2309" width="9.85546875" customWidth="1"/>
    <col min="2310" max="2310" width="11" customWidth="1"/>
    <col min="2311" max="2311" width="13.42578125" customWidth="1"/>
    <col min="2312" max="2313" width="12.42578125" customWidth="1"/>
    <col min="2314" max="2314" width="6.28515625" customWidth="1"/>
    <col min="2315" max="2315" width="6.42578125" customWidth="1"/>
    <col min="2316" max="2316" width="6.85546875" customWidth="1"/>
    <col min="2317" max="2317" width="9.28515625" customWidth="1"/>
    <col min="2318" max="2318" width="11.28515625" customWidth="1"/>
    <col min="2563" max="2563" width="39.85546875" customWidth="1"/>
    <col min="2564" max="2564" width="11.28515625" customWidth="1"/>
    <col min="2565" max="2565" width="9.85546875" customWidth="1"/>
    <col min="2566" max="2566" width="11" customWidth="1"/>
    <col min="2567" max="2567" width="13.42578125" customWidth="1"/>
    <col min="2568" max="2569" width="12.42578125" customWidth="1"/>
    <col min="2570" max="2570" width="6.28515625" customWidth="1"/>
    <col min="2571" max="2571" width="6.42578125" customWidth="1"/>
    <col min="2572" max="2572" width="6.85546875" customWidth="1"/>
    <col min="2573" max="2573" width="9.28515625" customWidth="1"/>
    <col min="2574" max="2574" width="11.28515625" customWidth="1"/>
    <col min="2819" max="2819" width="39.85546875" customWidth="1"/>
    <col min="2820" max="2820" width="11.28515625" customWidth="1"/>
    <col min="2821" max="2821" width="9.85546875" customWidth="1"/>
    <col min="2822" max="2822" width="11" customWidth="1"/>
    <col min="2823" max="2823" width="13.42578125" customWidth="1"/>
    <col min="2824" max="2825" width="12.42578125" customWidth="1"/>
    <col min="2826" max="2826" width="6.28515625" customWidth="1"/>
    <col min="2827" max="2827" width="6.42578125" customWidth="1"/>
    <col min="2828" max="2828" width="6.85546875" customWidth="1"/>
    <col min="2829" max="2829" width="9.28515625" customWidth="1"/>
    <col min="2830" max="2830" width="11.28515625" customWidth="1"/>
    <col min="3075" max="3075" width="39.85546875" customWidth="1"/>
    <col min="3076" max="3076" width="11.28515625" customWidth="1"/>
    <col min="3077" max="3077" width="9.85546875" customWidth="1"/>
    <col min="3078" max="3078" width="11" customWidth="1"/>
    <col min="3079" max="3079" width="13.42578125" customWidth="1"/>
    <col min="3080" max="3081" width="12.42578125" customWidth="1"/>
    <col min="3082" max="3082" width="6.28515625" customWidth="1"/>
    <col min="3083" max="3083" width="6.42578125" customWidth="1"/>
    <col min="3084" max="3084" width="6.85546875" customWidth="1"/>
    <col min="3085" max="3085" width="9.28515625" customWidth="1"/>
    <col min="3086" max="3086" width="11.28515625" customWidth="1"/>
    <col min="3331" max="3331" width="39.85546875" customWidth="1"/>
    <col min="3332" max="3332" width="11.28515625" customWidth="1"/>
    <col min="3333" max="3333" width="9.85546875" customWidth="1"/>
    <col min="3334" max="3334" width="11" customWidth="1"/>
    <col min="3335" max="3335" width="13.42578125" customWidth="1"/>
    <col min="3336" max="3337" width="12.42578125" customWidth="1"/>
    <col min="3338" max="3338" width="6.28515625" customWidth="1"/>
    <col min="3339" max="3339" width="6.42578125" customWidth="1"/>
    <col min="3340" max="3340" width="6.85546875" customWidth="1"/>
    <col min="3341" max="3341" width="9.28515625" customWidth="1"/>
    <col min="3342" max="3342" width="11.28515625" customWidth="1"/>
    <col min="3587" max="3587" width="39.85546875" customWidth="1"/>
    <col min="3588" max="3588" width="11.28515625" customWidth="1"/>
    <col min="3589" max="3589" width="9.85546875" customWidth="1"/>
    <col min="3590" max="3590" width="11" customWidth="1"/>
    <col min="3591" max="3591" width="13.42578125" customWidth="1"/>
    <col min="3592" max="3593" width="12.42578125" customWidth="1"/>
    <col min="3594" max="3594" width="6.28515625" customWidth="1"/>
    <col min="3595" max="3595" width="6.42578125" customWidth="1"/>
    <col min="3596" max="3596" width="6.85546875" customWidth="1"/>
    <col min="3597" max="3597" width="9.28515625" customWidth="1"/>
    <col min="3598" max="3598" width="11.28515625" customWidth="1"/>
    <col min="3843" max="3843" width="39.85546875" customWidth="1"/>
    <col min="3844" max="3844" width="11.28515625" customWidth="1"/>
    <col min="3845" max="3845" width="9.85546875" customWidth="1"/>
    <col min="3846" max="3846" width="11" customWidth="1"/>
    <col min="3847" max="3847" width="13.42578125" customWidth="1"/>
    <col min="3848" max="3849" width="12.42578125" customWidth="1"/>
    <col min="3850" max="3850" width="6.28515625" customWidth="1"/>
    <col min="3851" max="3851" width="6.42578125" customWidth="1"/>
    <col min="3852" max="3852" width="6.85546875" customWidth="1"/>
    <col min="3853" max="3853" width="9.28515625" customWidth="1"/>
    <col min="3854" max="3854" width="11.28515625" customWidth="1"/>
    <col min="4099" max="4099" width="39.85546875" customWidth="1"/>
    <col min="4100" max="4100" width="11.28515625" customWidth="1"/>
    <col min="4101" max="4101" width="9.85546875" customWidth="1"/>
    <col min="4102" max="4102" width="11" customWidth="1"/>
    <col min="4103" max="4103" width="13.42578125" customWidth="1"/>
    <col min="4104" max="4105" width="12.42578125" customWidth="1"/>
    <col min="4106" max="4106" width="6.28515625" customWidth="1"/>
    <col min="4107" max="4107" width="6.42578125" customWidth="1"/>
    <col min="4108" max="4108" width="6.85546875" customWidth="1"/>
    <col min="4109" max="4109" width="9.28515625" customWidth="1"/>
    <col min="4110" max="4110" width="11.28515625" customWidth="1"/>
    <col min="4355" max="4355" width="39.85546875" customWidth="1"/>
    <col min="4356" max="4356" width="11.28515625" customWidth="1"/>
    <col min="4357" max="4357" width="9.85546875" customWidth="1"/>
    <col min="4358" max="4358" width="11" customWidth="1"/>
    <col min="4359" max="4359" width="13.42578125" customWidth="1"/>
    <col min="4360" max="4361" width="12.42578125" customWidth="1"/>
    <col min="4362" max="4362" width="6.28515625" customWidth="1"/>
    <col min="4363" max="4363" width="6.42578125" customWidth="1"/>
    <col min="4364" max="4364" width="6.85546875" customWidth="1"/>
    <col min="4365" max="4365" width="9.28515625" customWidth="1"/>
    <col min="4366" max="4366" width="11.28515625" customWidth="1"/>
    <col min="4611" max="4611" width="39.85546875" customWidth="1"/>
    <col min="4612" max="4612" width="11.28515625" customWidth="1"/>
    <col min="4613" max="4613" width="9.85546875" customWidth="1"/>
    <col min="4614" max="4614" width="11" customWidth="1"/>
    <col min="4615" max="4615" width="13.42578125" customWidth="1"/>
    <col min="4616" max="4617" width="12.42578125" customWidth="1"/>
    <col min="4618" max="4618" width="6.28515625" customWidth="1"/>
    <col min="4619" max="4619" width="6.42578125" customWidth="1"/>
    <col min="4620" max="4620" width="6.85546875" customWidth="1"/>
    <col min="4621" max="4621" width="9.28515625" customWidth="1"/>
    <col min="4622" max="4622" width="11.28515625" customWidth="1"/>
    <col min="4867" max="4867" width="39.85546875" customWidth="1"/>
    <col min="4868" max="4868" width="11.28515625" customWidth="1"/>
    <col min="4869" max="4869" width="9.85546875" customWidth="1"/>
    <col min="4870" max="4870" width="11" customWidth="1"/>
    <col min="4871" max="4871" width="13.42578125" customWidth="1"/>
    <col min="4872" max="4873" width="12.42578125" customWidth="1"/>
    <col min="4874" max="4874" width="6.28515625" customWidth="1"/>
    <col min="4875" max="4875" width="6.42578125" customWidth="1"/>
    <col min="4876" max="4876" width="6.85546875" customWidth="1"/>
    <col min="4877" max="4877" width="9.28515625" customWidth="1"/>
    <col min="4878" max="4878" width="11.28515625" customWidth="1"/>
    <col min="5123" max="5123" width="39.85546875" customWidth="1"/>
    <col min="5124" max="5124" width="11.28515625" customWidth="1"/>
    <col min="5125" max="5125" width="9.85546875" customWidth="1"/>
    <col min="5126" max="5126" width="11" customWidth="1"/>
    <col min="5127" max="5127" width="13.42578125" customWidth="1"/>
    <col min="5128" max="5129" width="12.42578125" customWidth="1"/>
    <col min="5130" max="5130" width="6.28515625" customWidth="1"/>
    <col min="5131" max="5131" width="6.42578125" customWidth="1"/>
    <col min="5132" max="5132" width="6.85546875" customWidth="1"/>
    <col min="5133" max="5133" width="9.28515625" customWidth="1"/>
    <col min="5134" max="5134" width="11.28515625" customWidth="1"/>
    <col min="5379" max="5379" width="39.85546875" customWidth="1"/>
    <col min="5380" max="5380" width="11.28515625" customWidth="1"/>
    <col min="5381" max="5381" width="9.85546875" customWidth="1"/>
    <col min="5382" max="5382" width="11" customWidth="1"/>
    <col min="5383" max="5383" width="13.42578125" customWidth="1"/>
    <col min="5384" max="5385" width="12.42578125" customWidth="1"/>
    <col min="5386" max="5386" width="6.28515625" customWidth="1"/>
    <col min="5387" max="5387" width="6.42578125" customWidth="1"/>
    <col min="5388" max="5388" width="6.85546875" customWidth="1"/>
    <col min="5389" max="5389" width="9.28515625" customWidth="1"/>
    <col min="5390" max="5390" width="11.28515625" customWidth="1"/>
    <col min="5635" max="5635" width="39.85546875" customWidth="1"/>
    <col min="5636" max="5636" width="11.28515625" customWidth="1"/>
    <col min="5637" max="5637" width="9.85546875" customWidth="1"/>
    <col min="5638" max="5638" width="11" customWidth="1"/>
    <col min="5639" max="5639" width="13.42578125" customWidth="1"/>
    <col min="5640" max="5641" width="12.42578125" customWidth="1"/>
    <col min="5642" max="5642" width="6.28515625" customWidth="1"/>
    <col min="5643" max="5643" width="6.42578125" customWidth="1"/>
    <col min="5644" max="5644" width="6.85546875" customWidth="1"/>
    <col min="5645" max="5645" width="9.28515625" customWidth="1"/>
    <col min="5646" max="5646" width="11.28515625" customWidth="1"/>
    <col min="5891" max="5891" width="39.85546875" customWidth="1"/>
    <col min="5892" max="5892" width="11.28515625" customWidth="1"/>
    <col min="5893" max="5893" width="9.85546875" customWidth="1"/>
    <col min="5894" max="5894" width="11" customWidth="1"/>
    <col min="5895" max="5895" width="13.42578125" customWidth="1"/>
    <col min="5896" max="5897" width="12.42578125" customWidth="1"/>
    <col min="5898" max="5898" width="6.28515625" customWidth="1"/>
    <col min="5899" max="5899" width="6.42578125" customWidth="1"/>
    <col min="5900" max="5900" width="6.85546875" customWidth="1"/>
    <col min="5901" max="5901" width="9.28515625" customWidth="1"/>
    <col min="5902" max="5902" width="11.28515625" customWidth="1"/>
    <col min="6147" max="6147" width="39.85546875" customWidth="1"/>
    <col min="6148" max="6148" width="11.28515625" customWidth="1"/>
    <col min="6149" max="6149" width="9.85546875" customWidth="1"/>
    <col min="6150" max="6150" width="11" customWidth="1"/>
    <col min="6151" max="6151" width="13.42578125" customWidth="1"/>
    <col min="6152" max="6153" width="12.42578125" customWidth="1"/>
    <col min="6154" max="6154" width="6.28515625" customWidth="1"/>
    <col min="6155" max="6155" width="6.42578125" customWidth="1"/>
    <col min="6156" max="6156" width="6.85546875" customWidth="1"/>
    <col min="6157" max="6157" width="9.28515625" customWidth="1"/>
    <col min="6158" max="6158" width="11.28515625" customWidth="1"/>
    <col min="6403" max="6403" width="39.85546875" customWidth="1"/>
    <col min="6404" max="6404" width="11.28515625" customWidth="1"/>
    <col min="6405" max="6405" width="9.85546875" customWidth="1"/>
    <col min="6406" max="6406" width="11" customWidth="1"/>
    <col min="6407" max="6407" width="13.42578125" customWidth="1"/>
    <col min="6408" max="6409" width="12.42578125" customWidth="1"/>
    <col min="6410" max="6410" width="6.28515625" customWidth="1"/>
    <col min="6411" max="6411" width="6.42578125" customWidth="1"/>
    <col min="6412" max="6412" width="6.85546875" customWidth="1"/>
    <col min="6413" max="6413" width="9.28515625" customWidth="1"/>
    <col min="6414" max="6414" width="11.28515625" customWidth="1"/>
    <col min="6659" max="6659" width="39.85546875" customWidth="1"/>
    <col min="6660" max="6660" width="11.28515625" customWidth="1"/>
    <col min="6661" max="6661" width="9.85546875" customWidth="1"/>
    <col min="6662" max="6662" width="11" customWidth="1"/>
    <col min="6663" max="6663" width="13.42578125" customWidth="1"/>
    <col min="6664" max="6665" width="12.42578125" customWidth="1"/>
    <col min="6666" max="6666" width="6.28515625" customWidth="1"/>
    <col min="6667" max="6667" width="6.42578125" customWidth="1"/>
    <col min="6668" max="6668" width="6.85546875" customWidth="1"/>
    <col min="6669" max="6669" width="9.28515625" customWidth="1"/>
    <col min="6670" max="6670" width="11.28515625" customWidth="1"/>
    <col min="6915" max="6915" width="39.85546875" customWidth="1"/>
    <col min="6916" max="6916" width="11.28515625" customWidth="1"/>
    <col min="6917" max="6917" width="9.85546875" customWidth="1"/>
    <col min="6918" max="6918" width="11" customWidth="1"/>
    <col min="6919" max="6919" width="13.42578125" customWidth="1"/>
    <col min="6920" max="6921" width="12.42578125" customWidth="1"/>
    <col min="6922" max="6922" width="6.28515625" customWidth="1"/>
    <col min="6923" max="6923" width="6.42578125" customWidth="1"/>
    <col min="6924" max="6924" width="6.85546875" customWidth="1"/>
    <col min="6925" max="6925" width="9.28515625" customWidth="1"/>
    <col min="6926" max="6926" width="11.28515625" customWidth="1"/>
    <col min="7171" max="7171" width="39.85546875" customWidth="1"/>
    <col min="7172" max="7172" width="11.28515625" customWidth="1"/>
    <col min="7173" max="7173" width="9.85546875" customWidth="1"/>
    <col min="7174" max="7174" width="11" customWidth="1"/>
    <col min="7175" max="7175" width="13.42578125" customWidth="1"/>
    <col min="7176" max="7177" width="12.42578125" customWidth="1"/>
    <col min="7178" max="7178" width="6.28515625" customWidth="1"/>
    <col min="7179" max="7179" width="6.42578125" customWidth="1"/>
    <col min="7180" max="7180" width="6.85546875" customWidth="1"/>
    <col min="7181" max="7181" width="9.28515625" customWidth="1"/>
    <col min="7182" max="7182" width="11.28515625" customWidth="1"/>
    <col min="7427" max="7427" width="39.85546875" customWidth="1"/>
    <col min="7428" max="7428" width="11.28515625" customWidth="1"/>
    <col min="7429" max="7429" width="9.85546875" customWidth="1"/>
    <col min="7430" max="7430" width="11" customWidth="1"/>
    <col min="7431" max="7431" width="13.42578125" customWidth="1"/>
    <col min="7432" max="7433" width="12.42578125" customWidth="1"/>
    <col min="7434" max="7434" width="6.28515625" customWidth="1"/>
    <col min="7435" max="7435" width="6.42578125" customWidth="1"/>
    <col min="7436" max="7436" width="6.85546875" customWidth="1"/>
    <col min="7437" max="7437" width="9.28515625" customWidth="1"/>
    <col min="7438" max="7438" width="11.28515625" customWidth="1"/>
    <col min="7683" max="7683" width="39.85546875" customWidth="1"/>
    <col min="7684" max="7684" width="11.28515625" customWidth="1"/>
    <col min="7685" max="7685" width="9.85546875" customWidth="1"/>
    <col min="7686" max="7686" width="11" customWidth="1"/>
    <col min="7687" max="7687" width="13.42578125" customWidth="1"/>
    <col min="7688" max="7689" width="12.42578125" customWidth="1"/>
    <col min="7690" max="7690" width="6.28515625" customWidth="1"/>
    <col min="7691" max="7691" width="6.42578125" customWidth="1"/>
    <col min="7692" max="7692" width="6.85546875" customWidth="1"/>
    <col min="7693" max="7693" width="9.28515625" customWidth="1"/>
    <col min="7694" max="7694" width="11.28515625" customWidth="1"/>
    <col min="7939" max="7939" width="39.85546875" customWidth="1"/>
    <col min="7940" max="7940" width="11.28515625" customWidth="1"/>
    <col min="7941" max="7941" width="9.85546875" customWidth="1"/>
    <col min="7942" max="7942" width="11" customWidth="1"/>
    <col min="7943" max="7943" width="13.42578125" customWidth="1"/>
    <col min="7944" max="7945" width="12.42578125" customWidth="1"/>
    <col min="7946" max="7946" width="6.28515625" customWidth="1"/>
    <col min="7947" max="7947" width="6.42578125" customWidth="1"/>
    <col min="7948" max="7948" width="6.85546875" customWidth="1"/>
    <col min="7949" max="7949" width="9.28515625" customWidth="1"/>
    <col min="7950" max="7950" width="11.28515625" customWidth="1"/>
    <col min="8195" max="8195" width="39.85546875" customWidth="1"/>
    <col min="8196" max="8196" width="11.28515625" customWidth="1"/>
    <col min="8197" max="8197" width="9.85546875" customWidth="1"/>
    <col min="8198" max="8198" width="11" customWidth="1"/>
    <col min="8199" max="8199" width="13.42578125" customWidth="1"/>
    <col min="8200" max="8201" width="12.42578125" customWidth="1"/>
    <col min="8202" max="8202" width="6.28515625" customWidth="1"/>
    <col min="8203" max="8203" width="6.42578125" customWidth="1"/>
    <col min="8204" max="8204" width="6.85546875" customWidth="1"/>
    <col min="8205" max="8205" width="9.28515625" customWidth="1"/>
    <col min="8206" max="8206" width="11.28515625" customWidth="1"/>
    <col min="8451" max="8451" width="39.85546875" customWidth="1"/>
    <col min="8452" max="8452" width="11.28515625" customWidth="1"/>
    <col min="8453" max="8453" width="9.85546875" customWidth="1"/>
    <col min="8454" max="8454" width="11" customWidth="1"/>
    <col min="8455" max="8455" width="13.42578125" customWidth="1"/>
    <col min="8456" max="8457" width="12.42578125" customWidth="1"/>
    <col min="8458" max="8458" width="6.28515625" customWidth="1"/>
    <col min="8459" max="8459" width="6.42578125" customWidth="1"/>
    <col min="8460" max="8460" width="6.85546875" customWidth="1"/>
    <col min="8461" max="8461" width="9.28515625" customWidth="1"/>
    <col min="8462" max="8462" width="11.28515625" customWidth="1"/>
    <col min="8707" max="8707" width="39.85546875" customWidth="1"/>
    <col min="8708" max="8708" width="11.28515625" customWidth="1"/>
    <col min="8709" max="8709" width="9.85546875" customWidth="1"/>
    <col min="8710" max="8710" width="11" customWidth="1"/>
    <col min="8711" max="8711" width="13.42578125" customWidth="1"/>
    <col min="8712" max="8713" width="12.42578125" customWidth="1"/>
    <col min="8714" max="8714" width="6.28515625" customWidth="1"/>
    <col min="8715" max="8715" width="6.42578125" customWidth="1"/>
    <col min="8716" max="8716" width="6.85546875" customWidth="1"/>
    <col min="8717" max="8717" width="9.28515625" customWidth="1"/>
    <col min="8718" max="8718" width="11.28515625" customWidth="1"/>
    <col min="8963" max="8963" width="39.85546875" customWidth="1"/>
    <col min="8964" max="8964" width="11.28515625" customWidth="1"/>
    <col min="8965" max="8965" width="9.85546875" customWidth="1"/>
    <col min="8966" max="8966" width="11" customWidth="1"/>
    <col min="8967" max="8967" width="13.42578125" customWidth="1"/>
    <col min="8968" max="8969" width="12.42578125" customWidth="1"/>
    <col min="8970" max="8970" width="6.28515625" customWidth="1"/>
    <col min="8971" max="8971" width="6.42578125" customWidth="1"/>
    <col min="8972" max="8972" width="6.85546875" customWidth="1"/>
    <col min="8973" max="8973" width="9.28515625" customWidth="1"/>
    <col min="8974" max="8974" width="11.28515625" customWidth="1"/>
    <col min="9219" max="9219" width="39.85546875" customWidth="1"/>
    <col min="9220" max="9220" width="11.28515625" customWidth="1"/>
    <col min="9221" max="9221" width="9.85546875" customWidth="1"/>
    <col min="9222" max="9222" width="11" customWidth="1"/>
    <col min="9223" max="9223" width="13.42578125" customWidth="1"/>
    <col min="9224" max="9225" width="12.42578125" customWidth="1"/>
    <col min="9226" max="9226" width="6.28515625" customWidth="1"/>
    <col min="9227" max="9227" width="6.42578125" customWidth="1"/>
    <col min="9228" max="9228" width="6.85546875" customWidth="1"/>
    <col min="9229" max="9229" width="9.28515625" customWidth="1"/>
    <col min="9230" max="9230" width="11.28515625" customWidth="1"/>
    <col min="9475" max="9475" width="39.85546875" customWidth="1"/>
    <col min="9476" max="9476" width="11.28515625" customWidth="1"/>
    <col min="9477" max="9477" width="9.85546875" customWidth="1"/>
    <col min="9478" max="9478" width="11" customWidth="1"/>
    <col min="9479" max="9479" width="13.42578125" customWidth="1"/>
    <col min="9480" max="9481" width="12.42578125" customWidth="1"/>
    <col min="9482" max="9482" width="6.28515625" customWidth="1"/>
    <col min="9483" max="9483" width="6.42578125" customWidth="1"/>
    <col min="9484" max="9484" width="6.85546875" customWidth="1"/>
    <col min="9485" max="9485" width="9.28515625" customWidth="1"/>
    <col min="9486" max="9486" width="11.28515625" customWidth="1"/>
    <col min="9731" max="9731" width="39.85546875" customWidth="1"/>
    <col min="9732" max="9732" width="11.28515625" customWidth="1"/>
    <col min="9733" max="9733" width="9.85546875" customWidth="1"/>
    <col min="9734" max="9734" width="11" customWidth="1"/>
    <col min="9735" max="9735" width="13.42578125" customWidth="1"/>
    <col min="9736" max="9737" width="12.42578125" customWidth="1"/>
    <col min="9738" max="9738" width="6.28515625" customWidth="1"/>
    <col min="9739" max="9739" width="6.42578125" customWidth="1"/>
    <col min="9740" max="9740" width="6.85546875" customWidth="1"/>
    <col min="9741" max="9741" width="9.28515625" customWidth="1"/>
    <col min="9742" max="9742" width="11.28515625" customWidth="1"/>
    <col min="9987" max="9987" width="39.85546875" customWidth="1"/>
    <col min="9988" max="9988" width="11.28515625" customWidth="1"/>
    <col min="9989" max="9989" width="9.85546875" customWidth="1"/>
    <col min="9990" max="9990" width="11" customWidth="1"/>
    <col min="9991" max="9991" width="13.42578125" customWidth="1"/>
    <col min="9992" max="9993" width="12.42578125" customWidth="1"/>
    <col min="9994" max="9994" width="6.28515625" customWidth="1"/>
    <col min="9995" max="9995" width="6.42578125" customWidth="1"/>
    <col min="9996" max="9996" width="6.85546875" customWidth="1"/>
    <col min="9997" max="9997" width="9.28515625" customWidth="1"/>
    <col min="9998" max="9998" width="11.28515625" customWidth="1"/>
    <col min="10243" max="10243" width="39.85546875" customWidth="1"/>
    <col min="10244" max="10244" width="11.28515625" customWidth="1"/>
    <col min="10245" max="10245" width="9.85546875" customWidth="1"/>
    <col min="10246" max="10246" width="11" customWidth="1"/>
    <col min="10247" max="10247" width="13.42578125" customWidth="1"/>
    <col min="10248" max="10249" width="12.42578125" customWidth="1"/>
    <col min="10250" max="10250" width="6.28515625" customWidth="1"/>
    <col min="10251" max="10251" width="6.42578125" customWidth="1"/>
    <col min="10252" max="10252" width="6.85546875" customWidth="1"/>
    <col min="10253" max="10253" width="9.28515625" customWidth="1"/>
    <col min="10254" max="10254" width="11.28515625" customWidth="1"/>
    <col min="10499" max="10499" width="39.85546875" customWidth="1"/>
    <col min="10500" max="10500" width="11.28515625" customWidth="1"/>
    <col min="10501" max="10501" width="9.85546875" customWidth="1"/>
    <col min="10502" max="10502" width="11" customWidth="1"/>
    <col min="10503" max="10503" width="13.42578125" customWidth="1"/>
    <col min="10504" max="10505" width="12.42578125" customWidth="1"/>
    <col min="10506" max="10506" width="6.28515625" customWidth="1"/>
    <col min="10507" max="10507" width="6.42578125" customWidth="1"/>
    <col min="10508" max="10508" width="6.85546875" customWidth="1"/>
    <col min="10509" max="10509" width="9.28515625" customWidth="1"/>
    <col min="10510" max="10510" width="11.28515625" customWidth="1"/>
    <col min="10755" max="10755" width="39.85546875" customWidth="1"/>
    <col min="10756" max="10756" width="11.28515625" customWidth="1"/>
    <col min="10757" max="10757" width="9.85546875" customWidth="1"/>
    <col min="10758" max="10758" width="11" customWidth="1"/>
    <col min="10759" max="10759" width="13.42578125" customWidth="1"/>
    <col min="10760" max="10761" width="12.42578125" customWidth="1"/>
    <col min="10762" max="10762" width="6.28515625" customWidth="1"/>
    <col min="10763" max="10763" width="6.42578125" customWidth="1"/>
    <col min="10764" max="10764" width="6.85546875" customWidth="1"/>
    <col min="10765" max="10765" width="9.28515625" customWidth="1"/>
    <col min="10766" max="10766" width="11.28515625" customWidth="1"/>
    <col min="11011" max="11011" width="39.85546875" customWidth="1"/>
    <col min="11012" max="11012" width="11.28515625" customWidth="1"/>
    <col min="11013" max="11013" width="9.85546875" customWidth="1"/>
    <col min="11014" max="11014" width="11" customWidth="1"/>
    <col min="11015" max="11015" width="13.42578125" customWidth="1"/>
    <col min="11016" max="11017" width="12.42578125" customWidth="1"/>
    <col min="11018" max="11018" width="6.28515625" customWidth="1"/>
    <col min="11019" max="11019" width="6.42578125" customWidth="1"/>
    <col min="11020" max="11020" width="6.85546875" customWidth="1"/>
    <col min="11021" max="11021" width="9.28515625" customWidth="1"/>
    <col min="11022" max="11022" width="11.28515625" customWidth="1"/>
    <col min="11267" max="11267" width="39.85546875" customWidth="1"/>
    <col min="11268" max="11268" width="11.28515625" customWidth="1"/>
    <col min="11269" max="11269" width="9.85546875" customWidth="1"/>
    <col min="11270" max="11270" width="11" customWidth="1"/>
    <col min="11271" max="11271" width="13.42578125" customWidth="1"/>
    <col min="11272" max="11273" width="12.42578125" customWidth="1"/>
    <col min="11274" max="11274" width="6.28515625" customWidth="1"/>
    <col min="11275" max="11275" width="6.42578125" customWidth="1"/>
    <col min="11276" max="11276" width="6.85546875" customWidth="1"/>
    <col min="11277" max="11277" width="9.28515625" customWidth="1"/>
    <col min="11278" max="11278" width="11.28515625" customWidth="1"/>
    <col min="11523" max="11523" width="39.85546875" customWidth="1"/>
    <col min="11524" max="11524" width="11.28515625" customWidth="1"/>
    <col min="11525" max="11525" width="9.85546875" customWidth="1"/>
    <col min="11526" max="11526" width="11" customWidth="1"/>
    <col min="11527" max="11527" width="13.42578125" customWidth="1"/>
    <col min="11528" max="11529" width="12.42578125" customWidth="1"/>
    <col min="11530" max="11530" width="6.28515625" customWidth="1"/>
    <col min="11531" max="11531" width="6.42578125" customWidth="1"/>
    <col min="11532" max="11532" width="6.85546875" customWidth="1"/>
    <col min="11533" max="11533" width="9.28515625" customWidth="1"/>
    <col min="11534" max="11534" width="11.28515625" customWidth="1"/>
    <col min="11779" max="11779" width="39.85546875" customWidth="1"/>
    <col min="11780" max="11780" width="11.28515625" customWidth="1"/>
    <col min="11781" max="11781" width="9.85546875" customWidth="1"/>
    <col min="11782" max="11782" width="11" customWidth="1"/>
    <col min="11783" max="11783" width="13.42578125" customWidth="1"/>
    <col min="11784" max="11785" width="12.42578125" customWidth="1"/>
    <col min="11786" max="11786" width="6.28515625" customWidth="1"/>
    <col min="11787" max="11787" width="6.42578125" customWidth="1"/>
    <col min="11788" max="11788" width="6.85546875" customWidth="1"/>
    <col min="11789" max="11789" width="9.28515625" customWidth="1"/>
    <col min="11790" max="11790" width="11.28515625" customWidth="1"/>
    <col min="12035" max="12035" width="39.85546875" customWidth="1"/>
    <col min="12036" max="12036" width="11.28515625" customWidth="1"/>
    <col min="12037" max="12037" width="9.85546875" customWidth="1"/>
    <col min="12038" max="12038" width="11" customWidth="1"/>
    <col min="12039" max="12039" width="13.42578125" customWidth="1"/>
    <col min="12040" max="12041" width="12.42578125" customWidth="1"/>
    <col min="12042" max="12042" width="6.28515625" customWidth="1"/>
    <col min="12043" max="12043" width="6.42578125" customWidth="1"/>
    <col min="12044" max="12044" width="6.85546875" customWidth="1"/>
    <col min="12045" max="12045" width="9.28515625" customWidth="1"/>
    <col min="12046" max="12046" width="11.28515625" customWidth="1"/>
    <col min="12291" max="12291" width="39.85546875" customWidth="1"/>
    <col min="12292" max="12292" width="11.28515625" customWidth="1"/>
    <col min="12293" max="12293" width="9.85546875" customWidth="1"/>
    <col min="12294" max="12294" width="11" customWidth="1"/>
    <col min="12295" max="12295" width="13.42578125" customWidth="1"/>
    <col min="12296" max="12297" width="12.42578125" customWidth="1"/>
    <col min="12298" max="12298" width="6.28515625" customWidth="1"/>
    <col min="12299" max="12299" width="6.42578125" customWidth="1"/>
    <col min="12300" max="12300" width="6.85546875" customWidth="1"/>
    <col min="12301" max="12301" width="9.28515625" customWidth="1"/>
    <col min="12302" max="12302" width="11.28515625" customWidth="1"/>
    <col min="12547" max="12547" width="39.85546875" customWidth="1"/>
    <col min="12548" max="12548" width="11.28515625" customWidth="1"/>
    <col min="12549" max="12549" width="9.85546875" customWidth="1"/>
    <col min="12550" max="12550" width="11" customWidth="1"/>
    <col min="12551" max="12551" width="13.42578125" customWidth="1"/>
    <col min="12552" max="12553" width="12.42578125" customWidth="1"/>
    <col min="12554" max="12554" width="6.28515625" customWidth="1"/>
    <col min="12555" max="12555" width="6.42578125" customWidth="1"/>
    <col min="12556" max="12556" width="6.85546875" customWidth="1"/>
    <col min="12557" max="12557" width="9.28515625" customWidth="1"/>
    <col min="12558" max="12558" width="11.28515625" customWidth="1"/>
    <col min="12803" max="12803" width="39.85546875" customWidth="1"/>
    <col min="12804" max="12804" width="11.28515625" customWidth="1"/>
    <col min="12805" max="12805" width="9.85546875" customWidth="1"/>
    <col min="12806" max="12806" width="11" customWidth="1"/>
    <col min="12807" max="12807" width="13.42578125" customWidth="1"/>
    <col min="12808" max="12809" width="12.42578125" customWidth="1"/>
    <col min="12810" max="12810" width="6.28515625" customWidth="1"/>
    <col min="12811" max="12811" width="6.42578125" customWidth="1"/>
    <col min="12812" max="12812" width="6.85546875" customWidth="1"/>
    <col min="12813" max="12813" width="9.28515625" customWidth="1"/>
    <col min="12814" max="12814" width="11.28515625" customWidth="1"/>
    <col min="13059" max="13059" width="39.85546875" customWidth="1"/>
    <col min="13060" max="13060" width="11.28515625" customWidth="1"/>
    <col min="13061" max="13061" width="9.85546875" customWidth="1"/>
    <col min="13062" max="13062" width="11" customWidth="1"/>
    <col min="13063" max="13063" width="13.42578125" customWidth="1"/>
    <col min="13064" max="13065" width="12.42578125" customWidth="1"/>
    <col min="13066" max="13066" width="6.28515625" customWidth="1"/>
    <col min="13067" max="13067" width="6.42578125" customWidth="1"/>
    <col min="13068" max="13068" width="6.85546875" customWidth="1"/>
    <col min="13069" max="13069" width="9.28515625" customWidth="1"/>
    <col min="13070" max="13070" width="11.28515625" customWidth="1"/>
    <col min="13315" max="13315" width="39.85546875" customWidth="1"/>
    <col min="13316" max="13316" width="11.28515625" customWidth="1"/>
    <col min="13317" max="13317" width="9.85546875" customWidth="1"/>
    <col min="13318" max="13318" width="11" customWidth="1"/>
    <col min="13319" max="13319" width="13.42578125" customWidth="1"/>
    <col min="13320" max="13321" width="12.42578125" customWidth="1"/>
    <col min="13322" max="13322" width="6.28515625" customWidth="1"/>
    <col min="13323" max="13323" width="6.42578125" customWidth="1"/>
    <col min="13324" max="13324" width="6.85546875" customWidth="1"/>
    <col min="13325" max="13325" width="9.28515625" customWidth="1"/>
    <col min="13326" max="13326" width="11.28515625" customWidth="1"/>
    <col min="13571" max="13571" width="39.85546875" customWidth="1"/>
    <col min="13572" max="13572" width="11.28515625" customWidth="1"/>
    <col min="13573" max="13573" width="9.85546875" customWidth="1"/>
    <col min="13574" max="13574" width="11" customWidth="1"/>
    <col min="13575" max="13575" width="13.42578125" customWidth="1"/>
    <col min="13576" max="13577" width="12.42578125" customWidth="1"/>
    <col min="13578" max="13578" width="6.28515625" customWidth="1"/>
    <col min="13579" max="13579" width="6.42578125" customWidth="1"/>
    <col min="13580" max="13580" width="6.85546875" customWidth="1"/>
    <col min="13581" max="13581" width="9.28515625" customWidth="1"/>
    <col min="13582" max="13582" width="11.28515625" customWidth="1"/>
    <col min="13827" max="13827" width="39.85546875" customWidth="1"/>
    <col min="13828" max="13828" width="11.28515625" customWidth="1"/>
    <col min="13829" max="13829" width="9.85546875" customWidth="1"/>
    <col min="13830" max="13830" width="11" customWidth="1"/>
    <col min="13831" max="13831" width="13.42578125" customWidth="1"/>
    <col min="13832" max="13833" width="12.42578125" customWidth="1"/>
    <col min="13834" max="13834" width="6.28515625" customWidth="1"/>
    <col min="13835" max="13835" width="6.42578125" customWidth="1"/>
    <col min="13836" max="13836" width="6.85546875" customWidth="1"/>
    <col min="13837" max="13837" width="9.28515625" customWidth="1"/>
    <col min="13838" max="13838" width="11.28515625" customWidth="1"/>
    <col min="14083" max="14083" width="39.85546875" customWidth="1"/>
    <col min="14084" max="14084" width="11.28515625" customWidth="1"/>
    <col min="14085" max="14085" width="9.85546875" customWidth="1"/>
    <col min="14086" max="14086" width="11" customWidth="1"/>
    <col min="14087" max="14087" width="13.42578125" customWidth="1"/>
    <col min="14088" max="14089" width="12.42578125" customWidth="1"/>
    <col min="14090" max="14090" width="6.28515625" customWidth="1"/>
    <col min="14091" max="14091" width="6.42578125" customWidth="1"/>
    <col min="14092" max="14092" width="6.85546875" customWidth="1"/>
    <col min="14093" max="14093" width="9.28515625" customWidth="1"/>
    <col min="14094" max="14094" width="11.28515625" customWidth="1"/>
    <col min="14339" max="14339" width="39.85546875" customWidth="1"/>
    <col min="14340" max="14340" width="11.28515625" customWidth="1"/>
    <col min="14341" max="14341" width="9.85546875" customWidth="1"/>
    <col min="14342" max="14342" width="11" customWidth="1"/>
    <col min="14343" max="14343" width="13.42578125" customWidth="1"/>
    <col min="14344" max="14345" width="12.42578125" customWidth="1"/>
    <col min="14346" max="14346" width="6.28515625" customWidth="1"/>
    <col min="14347" max="14347" width="6.42578125" customWidth="1"/>
    <col min="14348" max="14348" width="6.85546875" customWidth="1"/>
    <col min="14349" max="14349" width="9.28515625" customWidth="1"/>
    <col min="14350" max="14350" width="11.28515625" customWidth="1"/>
    <col min="14595" max="14595" width="39.85546875" customWidth="1"/>
    <col min="14596" max="14596" width="11.28515625" customWidth="1"/>
    <col min="14597" max="14597" width="9.85546875" customWidth="1"/>
    <col min="14598" max="14598" width="11" customWidth="1"/>
    <col min="14599" max="14599" width="13.42578125" customWidth="1"/>
    <col min="14600" max="14601" width="12.42578125" customWidth="1"/>
    <col min="14602" max="14602" width="6.28515625" customWidth="1"/>
    <col min="14603" max="14603" width="6.42578125" customWidth="1"/>
    <col min="14604" max="14604" width="6.85546875" customWidth="1"/>
    <col min="14605" max="14605" width="9.28515625" customWidth="1"/>
    <col min="14606" max="14606" width="11.28515625" customWidth="1"/>
    <col min="14851" max="14851" width="39.85546875" customWidth="1"/>
    <col min="14852" max="14852" width="11.28515625" customWidth="1"/>
    <col min="14853" max="14853" width="9.85546875" customWidth="1"/>
    <col min="14854" max="14854" width="11" customWidth="1"/>
    <col min="14855" max="14855" width="13.42578125" customWidth="1"/>
    <col min="14856" max="14857" width="12.42578125" customWidth="1"/>
    <col min="14858" max="14858" width="6.28515625" customWidth="1"/>
    <col min="14859" max="14859" width="6.42578125" customWidth="1"/>
    <col min="14860" max="14860" width="6.85546875" customWidth="1"/>
    <col min="14861" max="14861" width="9.28515625" customWidth="1"/>
    <col min="14862" max="14862" width="11.28515625" customWidth="1"/>
    <col min="15107" max="15107" width="39.85546875" customWidth="1"/>
    <col min="15108" max="15108" width="11.28515625" customWidth="1"/>
    <col min="15109" max="15109" width="9.85546875" customWidth="1"/>
    <col min="15110" max="15110" width="11" customWidth="1"/>
    <col min="15111" max="15111" width="13.42578125" customWidth="1"/>
    <col min="15112" max="15113" width="12.42578125" customWidth="1"/>
    <col min="15114" max="15114" width="6.28515625" customWidth="1"/>
    <col min="15115" max="15115" width="6.42578125" customWidth="1"/>
    <col min="15116" max="15116" width="6.85546875" customWidth="1"/>
    <col min="15117" max="15117" width="9.28515625" customWidth="1"/>
    <col min="15118" max="15118" width="11.28515625" customWidth="1"/>
    <col min="15363" max="15363" width="39.85546875" customWidth="1"/>
    <col min="15364" max="15364" width="11.28515625" customWidth="1"/>
    <col min="15365" max="15365" width="9.85546875" customWidth="1"/>
    <col min="15366" max="15366" width="11" customWidth="1"/>
    <col min="15367" max="15367" width="13.42578125" customWidth="1"/>
    <col min="15368" max="15369" width="12.42578125" customWidth="1"/>
    <col min="15370" max="15370" width="6.28515625" customWidth="1"/>
    <col min="15371" max="15371" width="6.42578125" customWidth="1"/>
    <col min="15372" max="15372" width="6.85546875" customWidth="1"/>
    <col min="15373" max="15373" width="9.28515625" customWidth="1"/>
    <col min="15374" max="15374" width="11.28515625" customWidth="1"/>
    <col min="15619" max="15619" width="39.85546875" customWidth="1"/>
    <col min="15620" max="15620" width="11.28515625" customWidth="1"/>
    <col min="15621" max="15621" width="9.85546875" customWidth="1"/>
    <col min="15622" max="15622" width="11" customWidth="1"/>
    <col min="15623" max="15623" width="13.42578125" customWidth="1"/>
    <col min="15624" max="15625" width="12.42578125" customWidth="1"/>
    <col min="15626" max="15626" width="6.28515625" customWidth="1"/>
    <col min="15627" max="15627" width="6.42578125" customWidth="1"/>
    <col min="15628" max="15628" width="6.85546875" customWidth="1"/>
    <col min="15629" max="15629" width="9.28515625" customWidth="1"/>
    <col min="15630" max="15630" width="11.28515625" customWidth="1"/>
    <col min="15875" max="15875" width="39.85546875" customWidth="1"/>
    <col min="15876" max="15876" width="11.28515625" customWidth="1"/>
    <col min="15877" max="15877" width="9.85546875" customWidth="1"/>
    <col min="15878" max="15878" width="11" customWidth="1"/>
    <col min="15879" max="15879" width="13.42578125" customWidth="1"/>
    <col min="15880" max="15881" width="12.42578125" customWidth="1"/>
    <col min="15882" max="15882" width="6.28515625" customWidth="1"/>
    <col min="15883" max="15883" width="6.42578125" customWidth="1"/>
    <col min="15884" max="15884" width="6.85546875" customWidth="1"/>
    <col min="15885" max="15885" width="9.28515625" customWidth="1"/>
    <col min="15886" max="15886" width="11.28515625" customWidth="1"/>
    <col min="16131" max="16131" width="39.85546875" customWidth="1"/>
    <col min="16132" max="16132" width="11.28515625" customWidth="1"/>
    <col min="16133" max="16133" width="9.85546875" customWidth="1"/>
    <col min="16134" max="16134" width="11" customWidth="1"/>
    <col min="16135" max="16135" width="13.42578125" customWidth="1"/>
    <col min="16136" max="16137" width="12.42578125" customWidth="1"/>
    <col min="16138" max="16138" width="6.28515625" customWidth="1"/>
    <col min="16139" max="16139" width="6.42578125" customWidth="1"/>
    <col min="16140" max="16140" width="6.85546875" customWidth="1"/>
    <col min="16141" max="16141" width="9.28515625" customWidth="1"/>
    <col min="16142" max="16142" width="11.28515625" customWidth="1"/>
  </cols>
  <sheetData>
    <row r="1" spans="2:21" ht="10.5" customHeight="1" x14ac:dyDescent="0.25"/>
    <row r="2" spans="2:21" ht="18" customHeight="1" x14ac:dyDescent="0.25">
      <c r="B2" s="251" t="s">
        <v>152</v>
      </c>
      <c r="C2" s="212"/>
      <c r="D2" s="212"/>
      <c r="E2" s="212"/>
      <c r="F2" s="212"/>
      <c r="G2" s="212"/>
      <c r="H2" s="212"/>
      <c r="I2" s="212"/>
      <c r="J2" s="212"/>
      <c r="K2" s="212"/>
      <c r="L2" s="212"/>
      <c r="M2" s="212"/>
      <c r="N2" s="212"/>
      <c r="O2" s="212"/>
      <c r="P2" s="212"/>
      <c r="Q2" s="212"/>
      <c r="R2" s="212"/>
      <c r="S2" s="212"/>
      <c r="T2" s="212"/>
      <c r="U2" s="212"/>
    </row>
    <row r="3" spans="2:21" ht="15.75" customHeight="1" x14ac:dyDescent="0.25">
      <c r="B3" s="128" t="s">
        <v>153</v>
      </c>
    </row>
    <row r="4" spans="2:21" ht="9" customHeight="1" thickBot="1" x14ac:dyDescent="0.3">
      <c r="B4" s="88"/>
    </row>
    <row r="5" spans="2:21" x14ac:dyDescent="0.25">
      <c r="B5" s="256" t="s">
        <v>154</v>
      </c>
      <c r="C5" s="252" t="s">
        <v>155</v>
      </c>
      <c r="D5" s="252" t="s">
        <v>156</v>
      </c>
      <c r="E5" s="252" t="s">
        <v>157</v>
      </c>
      <c r="F5" s="252" t="s">
        <v>158</v>
      </c>
      <c r="G5" s="252" t="s">
        <v>159</v>
      </c>
      <c r="H5" s="252" t="s">
        <v>160</v>
      </c>
      <c r="I5" s="252" t="s">
        <v>161</v>
      </c>
      <c r="J5" s="259" t="s">
        <v>162</v>
      </c>
      <c r="K5" s="260"/>
      <c r="L5" s="260"/>
      <c r="M5" s="260"/>
      <c r="N5" s="261"/>
    </row>
    <row r="6" spans="2:21" ht="15" customHeight="1" x14ac:dyDescent="0.25">
      <c r="B6" s="257"/>
      <c r="C6" s="215"/>
      <c r="D6" s="215"/>
      <c r="E6" s="215"/>
      <c r="F6" s="215"/>
      <c r="G6" s="215"/>
      <c r="H6" s="215"/>
      <c r="I6" s="215"/>
      <c r="J6" s="253" t="s">
        <v>163</v>
      </c>
      <c r="K6" s="253" t="s">
        <v>164</v>
      </c>
      <c r="L6" s="253" t="s">
        <v>165</v>
      </c>
      <c r="M6" s="253" t="s">
        <v>166</v>
      </c>
      <c r="N6" s="254" t="s">
        <v>167</v>
      </c>
    </row>
    <row r="7" spans="2:21" x14ac:dyDescent="0.25">
      <c r="B7" s="258"/>
      <c r="C7" s="217"/>
      <c r="D7" s="217"/>
      <c r="E7" s="217"/>
      <c r="F7" s="217"/>
      <c r="G7" s="217"/>
      <c r="H7" s="217"/>
      <c r="I7" s="217"/>
      <c r="J7" s="217"/>
      <c r="K7" s="217"/>
      <c r="L7" s="217"/>
      <c r="M7" s="217"/>
      <c r="N7" s="255"/>
    </row>
    <row r="8" spans="2:21" x14ac:dyDescent="0.25">
      <c r="B8" s="89" t="s">
        <v>168</v>
      </c>
      <c r="C8" s="90"/>
      <c r="D8" s="91"/>
      <c r="E8" s="92"/>
      <c r="F8" s="92"/>
      <c r="G8" s="93"/>
      <c r="H8" s="93"/>
      <c r="I8" s="93"/>
      <c r="J8" s="92"/>
      <c r="K8" s="92"/>
      <c r="L8" s="92"/>
      <c r="M8" s="92"/>
      <c r="N8" s="94"/>
    </row>
    <row r="9" spans="2:21" ht="15.75" customHeight="1" thickBot="1" x14ac:dyDescent="0.3">
      <c r="B9" s="95"/>
      <c r="C9" s="96"/>
      <c r="D9" s="97"/>
      <c r="E9" s="98"/>
      <c r="F9" s="99"/>
      <c r="G9" s="99"/>
      <c r="H9" s="99"/>
      <c r="I9" s="99"/>
      <c r="J9" s="98"/>
      <c r="K9" s="98"/>
      <c r="L9" s="98"/>
      <c r="M9" s="100"/>
      <c r="N9" s="101"/>
    </row>
  </sheetData>
  <mergeCells count="15">
    <mergeCell ref="B2:U2"/>
    <mergeCell ref="E5:E7"/>
    <mergeCell ref="G5:G7"/>
    <mergeCell ref="H5:H7"/>
    <mergeCell ref="F5:F7"/>
    <mergeCell ref="K6:K7"/>
    <mergeCell ref="M6:M7"/>
    <mergeCell ref="N6:N7"/>
    <mergeCell ref="B5:B7"/>
    <mergeCell ref="I5:I7"/>
    <mergeCell ref="D5:D7"/>
    <mergeCell ref="J5:N5"/>
    <mergeCell ref="L6:L7"/>
    <mergeCell ref="C5:C7"/>
    <mergeCell ref="J6:J7"/>
  </mergeCells>
  <pageMargins left="0.70866141732283472" right="0.70866141732283472" top="0.74803149606299213" bottom="0.74803149606299213" header="0.31496062992125978" footer="0.31496062992125978"/>
  <pageSetup paperSize="9" scale="58"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43"/>
  <sheetViews>
    <sheetView showGridLines="0" zoomScale="85" zoomScaleNormal="85" workbookViewId="0">
      <pane xSplit="1" ySplit="4" topLeftCell="AN5" activePane="bottomRight" state="frozen"/>
      <selection pane="topRight" activeCell="B1" sqref="B1"/>
      <selection pane="bottomLeft" activeCell="A3" sqref="A3"/>
      <selection pane="bottomRight" sqref="A1:XFD1048576"/>
    </sheetView>
  </sheetViews>
  <sheetFormatPr baseColWidth="10" defaultRowHeight="16.5" x14ac:dyDescent="0.3"/>
  <cols>
    <col min="1" max="1" width="34.42578125" style="36" customWidth="1"/>
    <col min="2" max="29" width="16.140625" style="10" customWidth="1"/>
    <col min="30" max="43" width="16.42578125" style="10" customWidth="1"/>
    <col min="44" max="48" width="14.7109375" style="10" customWidth="1"/>
    <col min="49" max="49" width="17.7109375" style="10" bestFit="1" customWidth="1"/>
    <col min="50" max="50" width="17.7109375" style="10" customWidth="1"/>
    <col min="51" max="51" width="2.85546875" style="10" customWidth="1"/>
    <col min="52" max="16384" width="11.42578125" style="10"/>
  </cols>
  <sheetData>
    <row r="1" spans="1:52" ht="30.75" customHeight="1" x14ac:dyDescent="0.3">
      <c r="A1" s="262" t="s">
        <v>169</v>
      </c>
      <c r="B1" s="229"/>
      <c r="C1" s="229"/>
      <c r="D1" s="229"/>
      <c r="E1" s="229"/>
      <c r="F1" s="229"/>
      <c r="G1" s="229"/>
      <c r="H1" s="229"/>
      <c r="AJ1" s="159"/>
      <c r="AK1" s="159"/>
      <c r="AL1" s="159"/>
      <c r="AM1" s="159"/>
      <c r="AN1" s="159"/>
      <c r="AO1" s="159"/>
      <c r="AP1" s="159"/>
      <c r="AQ1" s="159"/>
      <c r="AR1" s="159"/>
      <c r="AS1" s="159"/>
      <c r="AT1" s="159"/>
      <c r="AU1" s="159"/>
      <c r="AV1" s="159"/>
      <c r="AY1" s="159"/>
    </row>
    <row r="2" spans="1:52" ht="20.25" customHeight="1" x14ac:dyDescent="0.3">
      <c r="A2" s="107" t="s">
        <v>170</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Y2" s="157"/>
    </row>
    <row r="3" spans="1:52" x14ac:dyDescent="0.3">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Y3" s="44"/>
    </row>
    <row r="4" spans="1:52" ht="30" customHeight="1" x14ac:dyDescent="0.3">
      <c r="A4" s="33"/>
      <c r="B4" s="133">
        <v>41729</v>
      </c>
      <c r="C4" s="133">
        <v>41820</v>
      </c>
      <c r="D4" s="133">
        <v>41912</v>
      </c>
      <c r="E4" s="133">
        <v>42004</v>
      </c>
      <c r="F4" s="133">
        <v>42094</v>
      </c>
      <c r="G4" s="133">
        <v>42185</v>
      </c>
      <c r="H4" s="133">
        <v>42277</v>
      </c>
      <c r="I4" s="133">
        <v>42369</v>
      </c>
      <c r="J4" s="133">
        <v>42460</v>
      </c>
      <c r="K4" s="133">
        <v>42551</v>
      </c>
      <c r="L4" s="133">
        <v>42643</v>
      </c>
      <c r="M4" s="133">
        <v>42735</v>
      </c>
      <c r="N4" s="133">
        <v>42825</v>
      </c>
      <c r="O4" s="133">
        <v>42916</v>
      </c>
      <c r="P4" s="133">
        <v>43008</v>
      </c>
      <c r="Q4" s="133">
        <v>43100</v>
      </c>
      <c r="R4" s="133">
        <v>43190</v>
      </c>
      <c r="S4" s="133">
        <v>43281</v>
      </c>
      <c r="T4" s="133">
        <v>43373</v>
      </c>
      <c r="U4" s="133">
        <v>43465</v>
      </c>
      <c r="V4" s="133">
        <v>43555</v>
      </c>
      <c r="W4" s="133">
        <v>43646</v>
      </c>
      <c r="X4" s="133">
        <v>43738</v>
      </c>
      <c r="Y4" s="133">
        <v>43830</v>
      </c>
      <c r="Z4" s="133">
        <v>43921</v>
      </c>
      <c r="AA4" s="133">
        <v>44012</v>
      </c>
      <c r="AB4" s="133">
        <v>44104</v>
      </c>
      <c r="AC4" s="133">
        <v>44196</v>
      </c>
      <c r="AD4" s="133">
        <v>44286</v>
      </c>
      <c r="AE4" s="133">
        <v>44377</v>
      </c>
      <c r="AF4" s="133">
        <v>44469</v>
      </c>
      <c r="AG4" s="133">
        <v>44561</v>
      </c>
      <c r="AH4" s="133">
        <v>44651</v>
      </c>
      <c r="AI4" s="133">
        <v>44742</v>
      </c>
      <c r="AJ4" s="133">
        <v>44834</v>
      </c>
      <c r="AK4" s="133">
        <v>44926</v>
      </c>
      <c r="AL4" s="133">
        <v>45016</v>
      </c>
      <c r="AM4" s="133">
        <v>45107</v>
      </c>
      <c r="AN4" s="133">
        <v>45199</v>
      </c>
      <c r="AO4" s="133">
        <v>45291</v>
      </c>
      <c r="AP4" s="133">
        <v>45382</v>
      </c>
      <c r="AQ4" s="133">
        <v>45473</v>
      </c>
      <c r="AR4" s="166">
        <v>45565</v>
      </c>
      <c r="AS4" s="166">
        <v>45657</v>
      </c>
      <c r="AT4" s="166">
        <v>45747</v>
      </c>
      <c r="AU4" s="166">
        <v>45838</v>
      </c>
      <c r="AV4" s="166">
        <v>45930</v>
      </c>
      <c r="AW4" s="199">
        <v>45992</v>
      </c>
      <c r="AX4" s="199">
        <v>46112</v>
      </c>
      <c r="AY4" s="167"/>
    </row>
    <row r="5" spans="1:52" ht="52.5" customHeight="1" x14ac:dyDescent="0.3">
      <c r="A5" s="134" t="s">
        <v>171</v>
      </c>
      <c r="B5" s="34">
        <v>8781.7199999999993</v>
      </c>
      <c r="C5" s="34">
        <v>8719.68</v>
      </c>
      <c r="D5" s="34">
        <v>8671.31</v>
      </c>
      <c r="E5" s="34">
        <v>9251.6200000000008</v>
      </c>
      <c r="F5" s="34">
        <v>8711.33</v>
      </c>
      <c r="G5" s="34">
        <v>8883.2999999999993</v>
      </c>
      <c r="H5" s="34">
        <v>8777.94</v>
      </c>
      <c r="I5" s="34">
        <v>14590.026342765899</v>
      </c>
      <c r="J5" s="34">
        <v>15552.766008292951</v>
      </c>
      <c r="K5" s="34">
        <v>23183.662216917499</v>
      </c>
      <c r="L5" s="34">
        <v>24968.595473778529</v>
      </c>
      <c r="M5" s="34">
        <v>26143.372847835599</v>
      </c>
      <c r="N5" s="34">
        <v>26357.58088310427</v>
      </c>
      <c r="O5" s="34">
        <v>32363.693825003349</v>
      </c>
      <c r="P5" s="34">
        <v>32739.973955860671</v>
      </c>
      <c r="Q5" s="34">
        <v>33066.920518488223</v>
      </c>
      <c r="R5" s="34">
        <v>35523.531142391737</v>
      </c>
      <c r="S5" s="34">
        <v>42512.097230935367</v>
      </c>
      <c r="T5" s="34">
        <v>49897.666266168861</v>
      </c>
      <c r="U5" s="34">
        <v>48061.669901665373</v>
      </c>
      <c r="V5" s="34">
        <v>54971.132794337202</v>
      </c>
      <c r="W5" s="34">
        <v>57477.574093920899</v>
      </c>
      <c r="X5" s="34">
        <v>70107.671098561274</v>
      </c>
      <c r="Y5" s="34">
        <v>73073.385231942695</v>
      </c>
      <c r="Z5" s="34">
        <v>76873.589091758549</v>
      </c>
      <c r="AA5" s="34">
        <v>81321.301084087594</v>
      </c>
      <c r="AB5" s="34">
        <v>87659.723356733972</v>
      </c>
      <c r="AC5" s="34">
        <v>98086.703607309493</v>
      </c>
      <c r="AD5" s="34">
        <v>105498.39985939959</v>
      </c>
      <c r="AE5" s="34">
        <v>104307.6114064088</v>
      </c>
      <c r="AF5" s="34">
        <v>109501.8523004537</v>
      </c>
      <c r="AG5" s="34">
        <v>118375.0340837093</v>
      </c>
      <c r="AH5" s="34">
        <v>125218.25101459341</v>
      </c>
      <c r="AI5" s="34">
        <v>136288.86474127739</v>
      </c>
      <c r="AJ5" s="34">
        <v>152793.8011164722</v>
      </c>
      <c r="AK5" s="34">
        <v>173744.05273852011</v>
      </c>
      <c r="AL5" s="34">
        <v>184002.77888037229</v>
      </c>
      <c r="AM5" s="34">
        <v>217722.16278989101</v>
      </c>
      <c r="AN5" s="34">
        <v>264718.17902564391</v>
      </c>
      <c r="AO5" s="34">
        <v>552742.441324963</v>
      </c>
      <c r="AP5" s="34">
        <v>603697.48009548953</v>
      </c>
      <c r="AQ5" s="34">
        <v>631573.63862050255</v>
      </c>
      <c r="AR5" s="173">
        <v>620637.8110705479</v>
      </c>
      <c r="AS5" s="173">
        <v>645034.90238757001</v>
      </c>
      <c r="AT5" s="173">
        <v>685074.16055742488</v>
      </c>
      <c r="AU5" s="173">
        <v>835005.49276694458</v>
      </c>
      <c r="AV5" s="173">
        <v>874657.56690351153</v>
      </c>
      <c r="AW5" s="173">
        <v>988234.68849883426</v>
      </c>
      <c r="AX5" s="173">
        <v>890869.68374146672</v>
      </c>
      <c r="AY5" s="161"/>
    </row>
    <row r="6" spans="1:52" ht="52.5" customHeight="1" x14ac:dyDescent="0.3">
      <c r="A6" s="134" t="s">
        <v>172</v>
      </c>
      <c r="B6" s="34">
        <v>814.06924421000008</v>
      </c>
      <c r="C6" s="34">
        <v>1334.7686670200001</v>
      </c>
      <c r="D6" s="34">
        <v>1606.3620389600001</v>
      </c>
      <c r="E6" s="34">
        <v>2059.9873684600002</v>
      </c>
      <c r="F6" s="34">
        <v>1532.2292152099999</v>
      </c>
      <c r="G6" s="34">
        <v>2787.2709622900002</v>
      </c>
      <c r="H6" s="34">
        <v>3436.8373112600002</v>
      </c>
      <c r="I6" s="34">
        <v>4751.3450329800007</v>
      </c>
      <c r="J6" s="34">
        <v>1748.5210195499999</v>
      </c>
      <c r="K6" s="40">
        <v>1979.8916584900001</v>
      </c>
      <c r="L6" s="40">
        <v>2005.68209798</v>
      </c>
      <c r="M6" s="40">
        <v>2713.09112757</v>
      </c>
      <c r="N6" s="40">
        <v>1455.4634681099999</v>
      </c>
      <c r="O6" s="40">
        <v>2358.1514273500002</v>
      </c>
      <c r="P6" s="40">
        <v>2403.9927246799998</v>
      </c>
      <c r="Q6" s="40">
        <v>3051.1866099200001</v>
      </c>
      <c r="R6" s="40">
        <v>2887.47474384</v>
      </c>
      <c r="S6" s="40">
        <v>2566.0700995500001</v>
      </c>
      <c r="T6" s="40">
        <v>2260.5505495299999</v>
      </c>
      <c r="U6" s="40">
        <v>5907.5229735200001</v>
      </c>
      <c r="V6" s="40">
        <v>2465.16920291</v>
      </c>
      <c r="W6" s="34">
        <v>4329.9503111499998</v>
      </c>
      <c r="X6" s="34">
        <v>4646.9381585399997</v>
      </c>
      <c r="Y6" s="34">
        <v>9439.5116885000007</v>
      </c>
      <c r="Z6" s="34">
        <v>3694.6763252000001</v>
      </c>
      <c r="AA6" s="34">
        <v>6793.2007236199997</v>
      </c>
      <c r="AB6" s="34">
        <v>7216.9493976200001</v>
      </c>
      <c r="AC6" s="34">
        <v>15771.22505829</v>
      </c>
      <c r="AD6" s="34">
        <v>4714.8373600100003</v>
      </c>
      <c r="AE6" s="34">
        <v>8017.0700839199999</v>
      </c>
      <c r="AF6" s="34">
        <v>12560.355571530001</v>
      </c>
      <c r="AG6" s="34">
        <v>26355.928719809999</v>
      </c>
      <c r="AH6" s="58">
        <v>7068.6826936500001</v>
      </c>
      <c r="AI6" s="58">
        <v>12519.52704866</v>
      </c>
      <c r="AJ6" s="58">
        <v>14153.615796210001</v>
      </c>
      <c r="AK6" s="58">
        <v>50923.483293849997</v>
      </c>
      <c r="AL6" s="58">
        <v>16141.69624711</v>
      </c>
      <c r="AM6" s="58">
        <v>26252.587002600001</v>
      </c>
      <c r="AN6" s="58">
        <v>64142.556503469998</v>
      </c>
      <c r="AO6" s="58">
        <v>71578.757607919993</v>
      </c>
      <c r="AP6" s="58">
        <v>32108.222228099999</v>
      </c>
      <c r="AQ6" s="58">
        <v>50021.505171899997</v>
      </c>
      <c r="AR6" s="174">
        <v>65997.73</v>
      </c>
      <c r="AS6" s="174">
        <v>218772.87653246999</v>
      </c>
      <c r="AT6" s="174">
        <v>74748.467711670004</v>
      </c>
      <c r="AU6" s="174">
        <v>96999.770759089995</v>
      </c>
      <c r="AV6" s="197">
        <v>96140.71989238965</v>
      </c>
      <c r="AW6" s="34">
        <v>190261.6275616411</v>
      </c>
      <c r="AX6" s="173">
        <v>39364.815370910277</v>
      </c>
      <c r="AY6" s="178" t="s">
        <v>173</v>
      </c>
    </row>
    <row r="7" spans="1:52" ht="52.5" customHeight="1" x14ac:dyDescent="0.3">
      <c r="A7" s="134" t="s">
        <v>174</v>
      </c>
      <c r="B7" s="42">
        <v>9595.7892442100001</v>
      </c>
      <c r="C7" s="42">
        <v>10054.44866702</v>
      </c>
      <c r="D7" s="42">
        <v>10277.67203896</v>
      </c>
      <c r="E7" s="42">
        <v>11311.607368460001</v>
      </c>
      <c r="F7" s="42">
        <v>10243.55921521</v>
      </c>
      <c r="G7" s="42">
        <v>11670.570962289999</v>
      </c>
      <c r="H7" s="42">
        <v>12214.777311260001</v>
      </c>
      <c r="I7" s="42">
        <v>19341.371375745901</v>
      </c>
      <c r="J7" s="42">
        <v>17301.287027842951</v>
      </c>
      <c r="K7" s="42">
        <v>25163.553875407499</v>
      </c>
      <c r="L7" s="42">
        <v>26974.277571758528</v>
      </c>
      <c r="M7" s="42">
        <v>28856.463975405597</v>
      </c>
      <c r="N7" s="42">
        <v>27813.04435121427</v>
      </c>
      <c r="O7" s="42">
        <v>34721.845252353349</v>
      </c>
      <c r="P7" s="42">
        <v>35143.966680540674</v>
      </c>
      <c r="Q7" s="42">
        <v>36118.107128408221</v>
      </c>
      <c r="R7" s="42">
        <v>38411.005886231738</v>
      </c>
      <c r="S7" s="42">
        <v>45078.167330485368</v>
      </c>
      <c r="T7" s="42">
        <v>52158.216815698863</v>
      </c>
      <c r="U7" s="42">
        <v>53969.19287518537</v>
      </c>
      <c r="V7" s="42">
        <v>57436.301997247203</v>
      </c>
      <c r="W7" s="42">
        <v>61807.524405070901</v>
      </c>
      <c r="X7" s="42">
        <v>74754.60925710127</v>
      </c>
      <c r="Y7" s="42">
        <v>82512.896920442698</v>
      </c>
      <c r="Z7" s="42">
        <v>80568.265416958544</v>
      </c>
      <c r="AA7" s="42">
        <v>88114.501807707595</v>
      </c>
      <c r="AB7" s="42">
        <v>94876.672754353975</v>
      </c>
      <c r="AC7" s="42">
        <v>113857.92866559949</v>
      </c>
      <c r="AD7" s="42">
        <v>110213.2372194096</v>
      </c>
      <c r="AE7" s="42">
        <v>112324.6814903288</v>
      </c>
      <c r="AF7" s="42">
        <v>122062.2078719837</v>
      </c>
      <c r="AG7" s="42">
        <v>144730.9628035193</v>
      </c>
      <c r="AH7" s="42">
        <v>132286.93370824342</v>
      </c>
      <c r="AI7" s="42">
        <v>148808.39178993739</v>
      </c>
      <c r="AJ7" s="42">
        <v>166947.41691268221</v>
      </c>
      <c r="AK7" s="42">
        <v>224667.53603237012</v>
      </c>
      <c r="AL7" s="42">
        <v>200144.47512748229</v>
      </c>
      <c r="AM7" s="42">
        <v>243974.749792491</v>
      </c>
      <c r="AN7" s="42">
        <v>328860.73552911391</v>
      </c>
      <c r="AO7" s="42">
        <v>624321.19893288298</v>
      </c>
      <c r="AP7" s="42">
        <v>635805.70232358947</v>
      </c>
      <c r="AQ7" s="42">
        <v>681595.14379240258</v>
      </c>
      <c r="AR7" s="175">
        <v>686635.54107054789</v>
      </c>
      <c r="AS7" s="175">
        <v>863807.77892004</v>
      </c>
      <c r="AT7" s="175">
        <v>759822.62826909486</v>
      </c>
      <c r="AU7" s="175">
        <v>932005.26352603454</v>
      </c>
      <c r="AV7" s="196">
        <v>970798.28679590113</v>
      </c>
      <c r="AW7" s="196">
        <v>1178496.3160604753</v>
      </c>
      <c r="AX7" s="196">
        <v>930234.49911237694</v>
      </c>
      <c r="AY7" s="162"/>
    </row>
    <row r="8" spans="1:52" ht="52.5" customHeight="1" x14ac:dyDescent="0.3">
      <c r="A8" s="134" t="s">
        <v>193</v>
      </c>
      <c r="B8" s="35">
        <v>235.91343081266277</v>
      </c>
      <c r="C8" s="35">
        <v>216.73190413186049</v>
      </c>
      <c r="D8" s="35">
        <v>203.67066239681768</v>
      </c>
      <c r="E8" s="35">
        <v>192.28887975858794</v>
      </c>
      <c r="F8" s="35">
        <v>183.02174523861888</v>
      </c>
      <c r="G8" s="35">
        <v>172.73993675724213</v>
      </c>
      <c r="H8" s="35">
        <v>163.85793907903144</v>
      </c>
      <c r="I8" s="35">
        <v>153.36720010922693</v>
      </c>
      <c r="J8" s="35">
        <v>134.58088265227397</v>
      </c>
      <c r="K8" s="35">
        <v>121.31983458544393</v>
      </c>
      <c r="L8" s="35">
        <v>116.18245675726143</v>
      </c>
      <c r="M8" s="35">
        <v>110.52352721945873</v>
      </c>
      <c r="N8" s="35">
        <v>104.04838167214159</v>
      </c>
      <c r="O8" s="35">
        <v>98.729382025927976</v>
      </c>
      <c r="P8" s="35">
        <v>93.95357862697233</v>
      </c>
      <c r="Q8" s="35">
        <v>88.542272487349038</v>
      </c>
      <c r="R8" s="35">
        <v>83.02851985466566</v>
      </c>
      <c r="S8" s="35">
        <v>76.357614798885749</v>
      </c>
      <c r="T8" s="35">
        <v>66.931187929687439</v>
      </c>
      <c r="U8" s="35">
        <v>59.973702943071288</v>
      </c>
      <c r="V8" s="35">
        <v>53.629216760296579</v>
      </c>
      <c r="W8" s="35">
        <v>48.98372481542971</v>
      </c>
      <c r="X8" s="35">
        <v>43.518268905099738</v>
      </c>
      <c r="Y8" s="35">
        <v>38.95006843674819</v>
      </c>
      <c r="Z8" s="35">
        <v>36.135336064944887</v>
      </c>
      <c r="AA8" s="35">
        <v>34.320145296234323</v>
      </c>
      <c r="AB8" s="35">
        <v>31.901519949137224</v>
      </c>
      <c r="AC8" s="35">
        <v>28.635250418806237</v>
      </c>
      <c r="AD8" s="35">
        <v>25.359845774878728</v>
      </c>
      <c r="AE8" s="35">
        <v>22.851560341493208</v>
      </c>
      <c r="AF8" s="35">
        <v>20.912907660253165</v>
      </c>
      <c r="AG8" s="35">
        <v>18.991219403451833</v>
      </c>
      <c r="AH8" s="35">
        <v>16.361616254591819</v>
      </c>
      <c r="AI8" s="35">
        <v>13.947271338953442</v>
      </c>
      <c r="AJ8" s="35">
        <v>11.428169529277257</v>
      </c>
      <c r="AK8" s="35">
        <v>9.751360347942061</v>
      </c>
      <c r="AL8" s="35">
        <v>8.0128392873177372</v>
      </c>
      <c r="AM8" s="35">
        <v>6.4689310758324536</v>
      </c>
      <c r="AN8" s="35">
        <v>4.8040667393917493</v>
      </c>
      <c r="AO8" s="35">
        <v>3.133485937582551</v>
      </c>
      <c r="AP8" s="35">
        <v>2.0678119298446109</v>
      </c>
      <c r="AQ8" s="35">
        <v>1.743744045976211</v>
      </c>
      <c r="AR8" s="176">
        <v>1.5546811383578758</v>
      </c>
      <c r="AS8" s="176">
        <v>1.4394629323528731</v>
      </c>
      <c r="AT8" s="176">
        <v>1.3263888945379594</v>
      </c>
      <c r="AU8" s="176">
        <v>1.2511748676954126</v>
      </c>
      <c r="AV8" s="176">
        <v>1.180168183112549</v>
      </c>
      <c r="AW8" s="176">
        <v>1.0948415939999998</v>
      </c>
      <c r="AX8" s="176">
        <v>1</v>
      </c>
      <c r="AY8" s="198"/>
      <c r="AZ8" s="200"/>
    </row>
    <row r="9" spans="1:52" ht="52.5" customHeight="1" x14ac:dyDescent="0.3">
      <c r="A9" s="134" t="s">
        <v>192</v>
      </c>
      <c r="B9" s="135">
        <v>2263775.5619568294</v>
      </c>
      <c r="C9" s="135">
        <v>2179119.8045992912</v>
      </c>
      <c r="D9" s="135">
        <v>2093260.2720722349</v>
      </c>
      <c r="E9" s="135">
        <v>2175096.3091501626</v>
      </c>
      <c r="F9" s="135">
        <v>1874794.0850228714</v>
      </c>
      <c r="G9" s="135">
        <v>2015973.689946881</v>
      </c>
      <c r="H9" s="135">
        <v>2001488.2365323766</v>
      </c>
      <c r="I9" s="135">
        <v>2966331.9741708953</v>
      </c>
      <c r="J9" s="135">
        <v>2328422.4792274423</v>
      </c>
      <c r="K9" s="135">
        <v>3052838.1937463442</v>
      </c>
      <c r="L9" s="135">
        <v>3133937.8375392021</v>
      </c>
      <c r="M9" s="135">
        <v>3189318.1816430707</v>
      </c>
      <c r="N9" s="135">
        <v>2893902.2541193441</v>
      </c>
      <c r="O9" s="135">
        <v>3428066.3245647475</v>
      </c>
      <c r="P9" s="135">
        <v>3301901.4367838739</v>
      </c>
      <c r="Q9" s="135">
        <v>3197979.2830907842</v>
      </c>
      <c r="R9" s="135">
        <v>3189208.9648626712</v>
      </c>
      <c r="S9" s="135">
        <v>3442061.3368609175</v>
      </c>
      <c r="T9" s="135">
        <v>3491011.411768924</v>
      </c>
      <c r="U9" s="135">
        <v>3236732.3415736868</v>
      </c>
      <c r="V9" s="135">
        <v>3080263.8897202257</v>
      </c>
      <c r="W9" s="135">
        <v>3027562.7669809489</v>
      </c>
      <c r="X9" s="135">
        <v>3253191.1875461913</v>
      </c>
      <c r="Y9" s="135">
        <v>3213882.9819655921</v>
      </c>
      <c r="Z9" s="135">
        <v>2911361.347011474</v>
      </c>
      <c r="AA9" s="135">
        <v>3024102.5047458266</v>
      </c>
      <c r="AB9" s="135">
        <v>3026710.0685807876</v>
      </c>
      <c r="AC9" s="135">
        <v>3260350.2995060184</v>
      </c>
      <c r="AD9" s="135">
        <v>2794990.6982343514</v>
      </c>
      <c r="AE9" s="135">
        <v>2566794.236915254</v>
      </c>
      <c r="AF9" s="135">
        <v>2552675.6820334219</v>
      </c>
      <c r="AG9" s="135">
        <v>2748617.4690744611</v>
      </c>
      <c r="AH9" s="135">
        <v>2164428.0448309062</v>
      </c>
      <c r="AI9" s="135">
        <v>2075471.0178075484</v>
      </c>
      <c r="AJ9" s="135">
        <v>1907903.3829530615</v>
      </c>
      <c r="AK9" s="135">
        <v>2190814.1023358982</v>
      </c>
      <c r="AL9" s="135">
        <v>1603725.5134410779</v>
      </c>
      <c r="AM9" s="135">
        <v>1578255.8406510926</v>
      </c>
      <c r="AN9" s="135">
        <v>1579868.9214473227</v>
      </c>
      <c r="AO9" s="135">
        <v>1956301.6973908672</v>
      </c>
      <c r="AP9" s="135">
        <v>1314726.6163279498</v>
      </c>
      <c r="AQ9" s="135">
        <v>1188527.4737543014</v>
      </c>
      <c r="AR9" s="177">
        <v>1067499.3246285354</v>
      </c>
      <c r="AS9" s="177">
        <v>1243419.2784334631</v>
      </c>
      <c r="AT9" s="177">
        <v>1007820.2959547716</v>
      </c>
      <c r="AU9" s="177">
        <v>1166101.5622836144</v>
      </c>
      <c r="AV9" s="177">
        <v>1145705.250296694</v>
      </c>
      <c r="AW9" s="205">
        <v>1290266.7851987784</v>
      </c>
      <c r="AX9" s="205">
        <v>930234.49911237694</v>
      </c>
      <c r="AY9" s="206"/>
      <c r="AZ9" s="200"/>
    </row>
    <row r="10" spans="1:52" ht="52.5" customHeight="1" x14ac:dyDescent="0.3">
      <c r="A10" s="134" t="s">
        <v>175</v>
      </c>
      <c r="B10" s="35">
        <v>8.0098000000000003</v>
      </c>
      <c r="C10" s="35">
        <v>8.1326999999999998</v>
      </c>
      <c r="D10" s="35">
        <v>8.4642999999999997</v>
      </c>
      <c r="E10" s="35">
        <v>8.5519999999999996</v>
      </c>
      <c r="F10" s="35">
        <v>8.8196999999999992</v>
      </c>
      <c r="G10" s="35">
        <v>9.0864999999999991</v>
      </c>
      <c r="H10" s="35">
        <v>9.4192</v>
      </c>
      <c r="I10" s="35">
        <v>13.005000000000001</v>
      </c>
      <c r="J10" s="35">
        <v>14.5817</v>
      </c>
      <c r="K10" s="35">
        <v>14.92</v>
      </c>
      <c r="L10" s="35">
        <v>15.263299999999999</v>
      </c>
      <c r="M10" s="35">
        <v>15.850199999999999</v>
      </c>
      <c r="N10" s="35">
        <v>15.3818</v>
      </c>
      <c r="O10" s="35">
        <v>16.598500000000001</v>
      </c>
      <c r="P10" s="35">
        <v>17.318300000000001</v>
      </c>
      <c r="Q10" s="35">
        <v>18.7742</v>
      </c>
      <c r="R10" s="35">
        <v>20.1433</v>
      </c>
      <c r="S10" s="35">
        <v>28.861699999999999</v>
      </c>
      <c r="T10" s="35">
        <v>40.896700000000003</v>
      </c>
      <c r="U10" s="35">
        <v>37.808300000000003</v>
      </c>
      <c r="V10" s="35">
        <v>43.353299999999997</v>
      </c>
      <c r="W10" s="35">
        <v>42.448300000000003</v>
      </c>
      <c r="X10" s="35">
        <v>57.558300000000003</v>
      </c>
      <c r="Y10" s="35">
        <v>59.895000000000003</v>
      </c>
      <c r="Z10" s="35">
        <v>64.469700000000003</v>
      </c>
      <c r="AA10" s="35">
        <v>70.454999999999998</v>
      </c>
      <c r="AB10" s="35">
        <v>76.174999999999997</v>
      </c>
      <c r="AC10" s="35">
        <v>84.144999999999996</v>
      </c>
      <c r="AD10" s="35">
        <v>91.984999999999999</v>
      </c>
      <c r="AE10" s="35">
        <v>95.726699999999994</v>
      </c>
      <c r="AF10" s="35">
        <v>98.734999999999999</v>
      </c>
      <c r="AG10" s="35">
        <v>102.75</v>
      </c>
      <c r="AH10" s="35">
        <v>110.9783</v>
      </c>
      <c r="AI10" s="35">
        <v>125.215</v>
      </c>
      <c r="AJ10" s="35">
        <v>147.315</v>
      </c>
      <c r="AK10" s="35">
        <v>177.1283</v>
      </c>
      <c r="AL10" s="35">
        <v>208.98830000000001</v>
      </c>
      <c r="AM10" s="35">
        <v>256.67500000000001</v>
      </c>
      <c r="AN10" s="35">
        <v>350.00830000000002</v>
      </c>
      <c r="AO10" s="35">
        <v>808.48329999999999</v>
      </c>
      <c r="AP10" s="35">
        <v>857.41669999999999</v>
      </c>
      <c r="AQ10" s="35">
        <v>911.75</v>
      </c>
      <c r="AR10" s="176">
        <v>970.91669999999999</v>
      </c>
      <c r="AS10" s="176">
        <v>1032.5</v>
      </c>
      <c r="AT10" s="176">
        <v>1073.875</v>
      </c>
      <c r="AU10" s="176">
        <v>1194.0833</v>
      </c>
      <c r="AV10" s="176">
        <v>1366.5833</v>
      </c>
      <c r="AW10" s="176">
        <v>1459.4167</v>
      </c>
      <c r="AX10" s="176">
        <v>1382.7578000000001</v>
      </c>
      <c r="AY10" s="204"/>
    </row>
    <row r="11" spans="1:52" ht="52.5" customHeight="1" x14ac:dyDescent="0.3">
      <c r="A11" s="134" t="s">
        <v>176</v>
      </c>
      <c r="B11" s="135">
        <v>1198.0060980561311</v>
      </c>
      <c r="C11" s="135">
        <v>1236.2989741438882</v>
      </c>
      <c r="D11" s="135">
        <v>1214.2376852143709</v>
      </c>
      <c r="E11" s="135">
        <v>1322.6856137114128</v>
      </c>
      <c r="F11" s="135">
        <v>1161.440776354071</v>
      </c>
      <c r="G11" s="135">
        <v>1284.3857329323723</v>
      </c>
      <c r="H11" s="135">
        <v>1296.7956207809582</v>
      </c>
      <c r="I11" s="135">
        <v>1487.2257882157555</v>
      </c>
      <c r="J11" s="135">
        <v>1186.5068563914324</v>
      </c>
      <c r="K11" s="135">
        <v>1686.5652731506366</v>
      </c>
      <c r="L11" s="135">
        <v>1767.2638008660335</v>
      </c>
      <c r="M11" s="135">
        <v>1820.5741236959532</v>
      </c>
      <c r="N11" s="135">
        <v>1808.1787795455843</v>
      </c>
      <c r="O11" s="135">
        <v>2091.8664489172725</v>
      </c>
      <c r="P11" s="135">
        <v>2029.2965637817033</v>
      </c>
      <c r="Q11" s="135">
        <v>1923.8160416107328</v>
      </c>
      <c r="R11" s="135">
        <v>1906.8874457626971</v>
      </c>
      <c r="S11" s="135">
        <v>1561.8680580314178</v>
      </c>
      <c r="T11" s="135">
        <v>1275.3649271383476</v>
      </c>
      <c r="U11" s="135">
        <v>1427.4429920198836</v>
      </c>
      <c r="V11" s="135">
        <v>1324.8426762725608</v>
      </c>
      <c r="W11" s="135">
        <v>1456.06595329073</v>
      </c>
      <c r="X11" s="135">
        <v>1298.7633279145018</v>
      </c>
      <c r="Y11" s="135">
        <v>1377.625793813218</v>
      </c>
      <c r="Z11" s="135">
        <v>1249.7074659407217</v>
      </c>
      <c r="AA11" s="135">
        <v>1250.6493763069705</v>
      </c>
      <c r="AB11" s="135">
        <v>1245.5093239823298</v>
      </c>
      <c r="AC11" s="135">
        <v>1353.1157961328599</v>
      </c>
      <c r="AD11" s="135">
        <v>1198.165322817955</v>
      </c>
      <c r="AE11" s="135">
        <v>1173.3892580683216</v>
      </c>
      <c r="AF11" s="135">
        <v>1236.2607775559195</v>
      </c>
      <c r="AG11" s="135">
        <v>1408.5738472361975</v>
      </c>
      <c r="AH11" s="135">
        <v>1192.0072095918158</v>
      </c>
      <c r="AI11" s="135">
        <v>1188.4230466792108</v>
      </c>
      <c r="AJ11" s="135">
        <v>1133.268281659588</v>
      </c>
      <c r="AK11" s="135">
        <v>1268.3887105130582</v>
      </c>
      <c r="AL11" s="135">
        <v>957.68267949680569</v>
      </c>
      <c r="AM11" s="135">
        <v>950.52011217489428</v>
      </c>
      <c r="AN11" s="135">
        <v>939.57982004744997</v>
      </c>
      <c r="AO11" s="135">
        <v>772.21285700382805</v>
      </c>
      <c r="AP11" s="135">
        <v>741.53641085319362</v>
      </c>
      <c r="AQ11" s="135">
        <v>747.56802170814649</v>
      </c>
      <c r="AR11" s="177">
        <v>707.20334820747019</v>
      </c>
      <c r="AS11" s="177">
        <v>836.61770355451813</v>
      </c>
      <c r="AT11" s="177">
        <v>707.55220884096832</v>
      </c>
      <c r="AU11" s="177">
        <v>780.51946922466345</v>
      </c>
      <c r="AV11" s="177">
        <v>710.38354324679744</v>
      </c>
      <c r="AW11" s="177">
        <v>807.51187516250525</v>
      </c>
      <c r="AX11" s="177">
        <v>672.73856572161583</v>
      </c>
      <c r="AY11" s="163"/>
    </row>
    <row r="12" spans="1:52" ht="52.5" customHeight="1" x14ac:dyDescent="0.3">
      <c r="A12" s="134" t="s">
        <v>177</v>
      </c>
      <c r="B12" s="34">
        <v>314.46720625</v>
      </c>
      <c r="C12" s="34">
        <v>478.86095884999997</v>
      </c>
      <c r="D12" s="34">
        <v>474.58328738</v>
      </c>
      <c r="E12" s="34">
        <v>778.12609504</v>
      </c>
      <c r="F12" s="34">
        <v>718.73022808000007</v>
      </c>
      <c r="G12" s="34">
        <v>1298.83679237</v>
      </c>
      <c r="H12" s="34">
        <v>1625.11270541</v>
      </c>
      <c r="I12" s="34">
        <v>1674.58950392</v>
      </c>
      <c r="J12" s="34">
        <v>618.91159517999995</v>
      </c>
      <c r="K12" s="40">
        <v>722.13102017999995</v>
      </c>
      <c r="L12" s="34">
        <v>633.77258883000002</v>
      </c>
      <c r="M12" s="40">
        <v>935.87173382000003</v>
      </c>
      <c r="N12" s="34">
        <v>698.34998707</v>
      </c>
      <c r="O12" s="40">
        <v>879.25538699000003</v>
      </c>
      <c r="P12" s="34">
        <v>836.87532364999993</v>
      </c>
      <c r="Q12" s="40">
        <v>898.69213680999997</v>
      </c>
      <c r="R12" s="40">
        <v>1153.66550927</v>
      </c>
      <c r="S12" s="40">
        <v>1117.7619162000001</v>
      </c>
      <c r="T12" s="40">
        <v>973.22907361</v>
      </c>
      <c r="U12" s="40">
        <v>2081.8590620999998</v>
      </c>
      <c r="V12" s="40">
        <v>1166.28844142</v>
      </c>
      <c r="W12" s="34">
        <v>1994.24181458</v>
      </c>
      <c r="X12" s="34">
        <v>1582.17197738</v>
      </c>
      <c r="Y12" s="34">
        <v>3973.4916769800002</v>
      </c>
      <c r="Z12" s="34">
        <v>1829.54825347</v>
      </c>
      <c r="AA12" s="34">
        <v>1967.2654723000001</v>
      </c>
      <c r="AB12" s="34">
        <v>2306.01199004</v>
      </c>
      <c r="AC12" s="34">
        <v>4480.3689031499998</v>
      </c>
      <c r="AD12" s="34">
        <v>1986.7844765499999</v>
      </c>
      <c r="AE12" s="34">
        <v>3455.3547898900001</v>
      </c>
      <c r="AF12" s="34">
        <v>3173.6009410000001</v>
      </c>
      <c r="AG12" s="34">
        <v>5889.6617611600004</v>
      </c>
      <c r="AH12" s="58">
        <v>3272.58093147</v>
      </c>
      <c r="AI12" s="34">
        <v>4502.0658699699998</v>
      </c>
      <c r="AJ12" s="34">
        <v>5201.9054230399997</v>
      </c>
      <c r="AK12" s="34">
        <v>15849.07698921</v>
      </c>
      <c r="AL12" s="34">
        <v>6932.1063246499998</v>
      </c>
      <c r="AM12" s="34">
        <v>9414.13902762</v>
      </c>
      <c r="AN12" s="34">
        <v>7973.2664187500004</v>
      </c>
      <c r="AO12" s="34">
        <v>26319.3699576</v>
      </c>
      <c r="AP12" s="34">
        <v>20209.139166950001</v>
      </c>
      <c r="AQ12" s="34">
        <v>30219.134387059999</v>
      </c>
      <c r="AR12" s="173">
        <v>35409.546910670048</v>
      </c>
      <c r="AS12" s="173">
        <v>93742.170504979993</v>
      </c>
      <c r="AT12" s="173">
        <v>39749.093046549999</v>
      </c>
      <c r="AU12" s="173">
        <v>53262.85471919</v>
      </c>
      <c r="AV12" s="195">
        <v>50311.58528815004</v>
      </c>
      <c r="AW12" s="195">
        <v>130581.6180812104</v>
      </c>
      <c r="AX12" s="173">
        <v>30021.928330009843</v>
      </c>
      <c r="AY12" s="203" t="s">
        <v>173</v>
      </c>
    </row>
    <row r="13" spans="1:52" ht="52.5" customHeight="1" x14ac:dyDescent="0.3">
      <c r="A13" s="134" t="s">
        <v>194</v>
      </c>
      <c r="B13" s="42">
        <v>2337962.5994613399</v>
      </c>
      <c r="C13" s="42">
        <v>2282904.2520252601</v>
      </c>
      <c r="D13" s="42">
        <v>2189918.9645753787</v>
      </c>
      <c r="E13" s="42">
        <v>2324721.3042763285</v>
      </c>
      <c r="F13" s="42">
        <v>2006337.3457218234</v>
      </c>
      <c r="G13" s="42">
        <v>2240334.6753188539</v>
      </c>
      <c r="H13" s="42">
        <v>2267775.8552120081</v>
      </c>
      <c r="I13" s="42">
        <v>3223159.0777194053</v>
      </c>
      <c r="J13" s="42">
        <v>2411716.1479904936</v>
      </c>
      <c r="K13" s="42">
        <v>3140447.0096636</v>
      </c>
      <c r="L13" s="42">
        <v>3207571.0939348815</v>
      </c>
      <c r="M13" s="42">
        <v>3292754.0266898475</v>
      </c>
      <c r="N13" s="42">
        <v>2966564.4401147384</v>
      </c>
      <c r="O13" s="42">
        <v>3514874.6655652383</v>
      </c>
      <c r="P13" s="42">
        <v>3380528.8683053972</v>
      </c>
      <c r="Q13" s="42">
        <v>3277551.5271504535</v>
      </c>
      <c r="R13" s="42">
        <v>3284996.1045047389</v>
      </c>
      <c r="S13" s="42">
        <v>3527410.9706949815</v>
      </c>
      <c r="T13" s="42">
        <v>3556150.7897933503</v>
      </c>
      <c r="U13" s="42">
        <v>3361589.1385334129</v>
      </c>
      <c r="V13" s="42">
        <v>3142811.0253501674</v>
      </c>
      <c r="W13" s="42">
        <v>3125248.1592417588</v>
      </c>
      <c r="X13" s="42">
        <v>3322044.5731119276</v>
      </c>
      <c r="Y13" s="42">
        <v>3368650.7547168126</v>
      </c>
      <c r="Z13" s="42">
        <v>2977472.6879976452</v>
      </c>
      <c r="AA13" s="42">
        <v>3091619.3415914276</v>
      </c>
      <c r="AB13" s="42">
        <v>3100275.3560839985</v>
      </c>
      <c r="AC13" s="42">
        <v>3388646.7850163509</v>
      </c>
      <c r="AD13" s="42">
        <v>2845375.2461475828</v>
      </c>
      <c r="AE13" s="42">
        <v>2645754.4853976928</v>
      </c>
      <c r="AF13" s="42">
        <v>2619044.9054630478</v>
      </c>
      <c r="AG13" s="42">
        <v>2860469.3277927716</v>
      </c>
      <c r="AH13" s="42">
        <v>2217972.7581937127</v>
      </c>
      <c r="AI13" s="42">
        <v>2138262.5520818615</v>
      </c>
      <c r="AJ13" s="42">
        <v>1967351.6400028293</v>
      </c>
      <c r="AK13" s="42">
        <v>2345364.1632399615</v>
      </c>
      <c r="AL13" s="42">
        <v>1659271.367343097</v>
      </c>
      <c r="AM13" s="42">
        <v>1639155.2571590706</v>
      </c>
      <c r="AN13" s="42">
        <v>1618173.0254539486</v>
      </c>
      <c r="AO13" s="42">
        <v>2038773.0730390395</v>
      </c>
      <c r="AP13" s="42">
        <v>1356515.315389259</v>
      </c>
      <c r="AQ13" s="42">
        <v>1241221.9094162921</v>
      </c>
      <c r="AR13" s="175">
        <v>1122549.8793283524</v>
      </c>
      <c r="AS13" s="175">
        <v>1378357.6580736847</v>
      </c>
      <c r="AT13" s="175">
        <v>1060543.0515396716</v>
      </c>
      <c r="AU13" s="175">
        <v>1232742.7074899771</v>
      </c>
      <c r="AV13" s="196">
        <v>1205081.382495722</v>
      </c>
      <c r="AW13" s="196">
        <v>1433232.9720859099</v>
      </c>
      <c r="AX13" s="196">
        <v>960256.42744238675</v>
      </c>
      <c r="AY13" s="162"/>
    </row>
    <row r="14" spans="1:52" ht="52.5" customHeight="1" x14ac:dyDescent="0.3">
      <c r="A14" s="134" t="s">
        <v>178</v>
      </c>
      <c r="B14" s="49">
        <v>6.9227001208521002E-2</v>
      </c>
      <c r="C14" s="49">
        <v>7.2535912608000311E-2</v>
      </c>
      <c r="D14" s="49">
        <v>7.4146315280024883E-2</v>
      </c>
      <c r="E14" s="49">
        <v>8.160544558012163E-2</v>
      </c>
      <c r="F14" s="49">
        <v>5.735785864523011E-2</v>
      </c>
      <c r="G14" s="49">
        <v>6.5348278415788302E-2</v>
      </c>
      <c r="H14" s="49">
        <v>6.8395511333787115E-2</v>
      </c>
      <c r="I14" s="49">
        <v>0.10830021304779371</v>
      </c>
      <c r="J14" s="49">
        <v>7.4753249939541702E-2</v>
      </c>
      <c r="K14" s="49">
        <v>0.10872355502733839</v>
      </c>
      <c r="L14" s="49">
        <v>0.11654710484920711</v>
      </c>
      <c r="M14" s="49">
        <v>0.12467942185187909</v>
      </c>
      <c r="N14" s="49">
        <v>9.3153456803483747E-2</v>
      </c>
      <c r="O14" s="49">
        <v>0.1162929117362564</v>
      </c>
      <c r="P14" s="49">
        <v>0.1177067113092167</v>
      </c>
      <c r="Q14" s="49">
        <v>0.12096937284978961</v>
      </c>
      <c r="R14" s="49">
        <v>9.0657760694579551E-2</v>
      </c>
      <c r="S14" s="49">
        <v>0.1063936132915022</v>
      </c>
      <c r="T14" s="49">
        <v>0.1231039653670864</v>
      </c>
      <c r="U14" s="49">
        <v>0.12737823599438561</v>
      </c>
      <c r="V14" s="49">
        <v>9.3325898946578556E-2</v>
      </c>
      <c r="W14" s="49">
        <v>0.10042851952833411</v>
      </c>
      <c r="X14" s="49">
        <v>0.12146570838863489</v>
      </c>
      <c r="Y14" s="49">
        <v>0.13407183283066801</v>
      </c>
      <c r="Z14" s="49">
        <v>0.11309168871139121</v>
      </c>
      <c r="AA14" s="49">
        <v>0.12368415477018679</v>
      </c>
      <c r="AB14" s="49">
        <v>0.1331760474869236</v>
      </c>
      <c r="AC14" s="49">
        <v>0.15981956865194541</v>
      </c>
      <c r="AD14" s="49">
        <v>9.4857267388186339E-2</v>
      </c>
      <c r="AE14" s="49">
        <v>9.6674524904931947E-2</v>
      </c>
      <c r="AF14" s="49">
        <v>0.1050553253150073</v>
      </c>
      <c r="AG14" s="49">
        <v>0.12456565095417881</v>
      </c>
      <c r="AH14" s="49">
        <v>6.0855049962049247E-2</v>
      </c>
      <c r="AI14" s="49">
        <v>6.8455302903317167E-2</v>
      </c>
      <c r="AJ14" s="49">
        <v>7.6799674105858029E-2</v>
      </c>
      <c r="AK14" s="49">
        <v>0.1033522642550177</v>
      </c>
      <c r="AL14" s="49">
        <v>4.1556798454436279E-2</v>
      </c>
      <c r="AM14" s="49">
        <v>5.0657453815001079E-2</v>
      </c>
      <c r="AN14" s="49">
        <v>6.8282670791967787E-2</v>
      </c>
      <c r="AO14" s="49">
        <v>0.12963030939705061</v>
      </c>
      <c r="AP14" s="49">
        <v>4.5686350082541641E-2</v>
      </c>
      <c r="AQ14" s="49">
        <v>4.8976588665465767E-2</v>
      </c>
      <c r="AR14" s="49">
        <v>4.9338770624140993E-2</v>
      </c>
      <c r="AS14" s="49">
        <v>6.2069629837447737E-2</v>
      </c>
      <c r="AT14" s="164"/>
      <c r="AU14" s="164"/>
      <c r="AV14" s="164"/>
      <c r="AW14" s="201"/>
      <c r="AX14" s="201"/>
      <c r="AY14" s="202"/>
    </row>
    <row r="15" spans="1:52" ht="21.75" customHeight="1" x14ac:dyDescent="0.3">
      <c r="B15" s="37"/>
      <c r="C15" s="37"/>
      <c r="D15" s="37"/>
      <c r="E15" s="37"/>
      <c r="F15" s="37"/>
      <c r="G15" s="37"/>
      <c r="H15" s="37"/>
      <c r="I15" s="37"/>
      <c r="J15" s="37"/>
      <c r="K15" s="37"/>
      <c r="L15" s="37"/>
      <c r="M15" s="37"/>
      <c r="N15" s="37"/>
      <c r="O15" s="37"/>
      <c r="P15" s="37"/>
      <c r="Q15" s="37"/>
      <c r="R15" s="37"/>
      <c r="S15" s="37"/>
      <c r="T15" s="37"/>
      <c r="U15" s="37"/>
      <c r="V15" s="37"/>
      <c r="W15" s="37"/>
      <c r="X15" s="37"/>
      <c r="Y15" s="37"/>
    </row>
    <row r="16" spans="1:52" ht="99" customHeight="1" x14ac:dyDescent="0.3">
      <c r="A16" s="38" t="s">
        <v>179</v>
      </c>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47"/>
      <c r="AL16" s="87"/>
    </row>
    <row r="17" spans="1:51" x14ac:dyDescent="0.3">
      <c r="A17" s="165" t="s">
        <v>180</v>
      </c>
      <c r="B17" s="87"/>
      <c r="C17" s="87"/>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103"/>
      <c r="AP17" s="158"/>
      <c r="AQ17" s="103"/>
      <c r="AR17" s="103"/>
      <c r="AS17" s="103"/>
      <c r="AT17" s="103"/>
      <c r="AU17" s="103"/>
      <c r="AV17" s="103"/>
      <c r="AY17" s="103"/>
    </row>
    <row r="18" spans="1:51" x14ac:dyDescent="0.3">
      <c r="A18" s="165" t="s">
        <v>181</v>
      </c>
      <c r="B18" s="37"/>
      <c r="C18" s="37"/>
      <c r="D18" s="37"/>
      <c r="E18" s="37"/>
      <c r="F18" s="37"/>
      <c r="G18" s="37"/>
      <c r="H18" s="37"/>
      <c r="I18" s="37"/>
      <c r="J18" s="37"/>
      <c r="K18" s="37"/>
      <c r="L18" s="37"/>
      <c r="M18" s="37"/>
      <c r="N18" s="37"/>
      <c r="O18" s="37"/>
      <c r="P18" s="37"/>
      <c r="Q18" s="37"/>
      <c r="R18" s="37"/>
      <c r="S18" s="37"/>
      <c r="T18" s="37"/>
      <c r="U18" s="37"/>
      <c r="V18" s="37"/>
      <c r="W18" s="37"/>
      <c r="X18" s="37"/>
      <c r="Y18" s="37"/>
    </row>
    <row r="19" spans="1:51" x14ac:dyDescent="0.3">
      <c r="A19" s="39"/>
      <c r="B19" s="37"/>
      <c r="C19" s="37"/>
      <c r="D19" s="37"/>
      <c r="E19" s="37"/>
      <c r="F19" s="37"/>
      <c r="G19" s="37"/>
      <c r="H19" s="37"/>
      <c r="I19" s="37"/>
      <c r="J19" s="37"/>
      <c r="K19" s="37"/>
      <c r="L19" s="37"/>
      <c r="M19" s="37"/>
      <c r="N19" s="37"/>
      <c r="O19" s="37"/>
      <c r="P19" s="37"/>
      <c r="Q19" s="37"/>
      <c r="R19" s="37"/>
      <c r="S19" s="37"/>
      <c r="T19" s="37"/>
      <c r="U19" s="37"/>
      <c r="V19" s="37"/>
      <c r="W19" s="37"/>
      <c r="X19" s="37"/>
      <c r="Y19" s="37"/>
    </row>
    <row r="20" spans="1:51" x14ac:dyDescent="0.3">
      <c r="B20" s="37"/>
      <c r="C20" s="37"/>
      <c r="D20" s="37"/>
      <c r="E20" s="37"/>
      <c r="F20" s="37"/>
      <c r="G20" s="37"/>
      <c r="H20" s="37"/>
      <c r="I20" s="37"/>
      <c r="J20" s="37"/>
      <c r="K20" s="37"/>
      <c r="L20" s="37"/>
      <c r="M20" s="37"/>
      <c r="N20" s="37"/>
      <c r="O20" s="37"/>
      <c r="P20" s="37"/>
      <c r="Q20" s="37"/>
      <c r="R20" s="37"/>
      <c r="S20" s="37"/>
      <c r="T20" s="37"/>
      <c r="U20" s="37"/>
      <c r="V20" s="37"/>
      <c r="W20" s="37"/>
      <c r="X20" s="37"/>
      <c r="Y20" s="37"/>
    </row>
    <row r="21" spans="1:51" x14ac:dyDescent="0.3">
      <c r="B21" s="37"/>
      <c r="C21" s="37"/>
      <c r="D21" s="37"/>
      <c r="E21" s="37"/>
      <c r="F21" s="37"/>
      <c r="G21" s="37"/>
      <c r="H21" s="37"/>
      <c r="I21" s="37"/>
      <c r="J21" s="37"/>
      <c r="K21" s="37"/>
      <c r="L21" s="37"/>
      <c r="M21" s="37"/>
      <c r="N21" s="37"/>
      <c r="O21" s="37"/>
      <c r="P21" s="37"/>
      <c r="Q21" s="37"/>
      <c r="R21" s="37"/>
      <c r="S21" s="37"/>
      <c r="T21" s="37"/>
      <c r="U21" s="37"/>
      <c r="V21" s="37"/>
      <c r="W21" s="37"/>
      <c r="X21" s="37"/>
      <c r="Y21" s="37"/>
    </row>
    <row r="22" spans="1:51" x14ac:dyDescent="0.3">
      <c r="B22" s="37"/>
      <c r="C22" s="37"/>
      <c r="D22" s="37"/>
      <c r="E22" s="37"/>
      <c r="F22" s="37"/>
      <c r="G22" s="37"/>
      <c r="H22" s="37"/>
      <c r="I22" s="37"/>
      <c r="J22" s="37"/>
      <c r="K22" s="37"/>
      <c r="L22" s="37"/>
      <c r="M22" s="37"/>
      <c r="N22" s="37"/>
      <c r="O22" s="37"/>
      <c r="P22" s="37"/>
      <c r="Q22" s="37"/>
      <c r="R22" s="37"/>
      <c r="S22" s="37"/>
      <c r="T22" s="37"/>
      <c r="U22" s="37"/>
      <c r="V22" s="37"/>
      <c r="W22" s="37"/>
      <c r="X22" s="37"/>
      <c r="Y22" s="37"/>
    </row>
    <row r="23" spans="1:51" x14ac:dyDescent="0.3">
      <c r="B23" s="37"/>
      <c r="C23" s="37"/>
      <c r="D23" s="37"/>
      <c r="E23" s="37"/>
      <c r="F23" s="37"/>
      <c r="G23" s="37"/>
      <c r="H23" s="37"/>
      <c r="I23" s="37"/>
      <c r="J23" s="37"/>
      <c r="K23" s="37"/>
      <c r="L23" s="37"/>
      <c r="M23" s="37"/>
      <c r="N23" s="37"/>
      <c r="O23" s="37"/>
      <c r="P23" s="37"/>
      <c r="Q23" s="37"/>
      <c r="R23" s="37"/>
      <c r="S23" s="37"/>
      <c r="T23" s="37"/>
      <c r="U23" s="37"/>
      <c r="V23" s="37"/>
      <c r="W23" s="37"/>
      <c r="X23" s="37"/>
      <c r="Y23" s="37"/>
    </row>
    <row r="24" spans="1:51" x14ac:dyDescent="0.3">
      <c r="B24" s="37"/>
      <c r="C24" s="37"/>
      <c r="D24" s="37"/>
      <c r="E24" s="37"/>
      <c r="F24" s="37"/>
      <c r="G24" s="37"/>
      <c r="H24" s="37"/>
      <c r="I24" s="37"/>
      <c r="J24" s="37"/>
      <c r="K24" s="37"/>
      <c r="L24" s="37"/>
      <c r="M24" s="37"/>
      <c r="N24" s="37"/>
      <c r="O24" s="37"/>
      <c r="P24" s="37"/>
      <c r="Q24" s="37"/>
      <c r="R24" s="37"/>
      <c r="S24" s="37"/>
      <c r="T24" s="37"/>
      <c r="U24" s="37"/>
      <c r="V24" s="37"/>
      <c r="W24" s="37"/>
      <c r="X24" s="37"/>
      <c r="Y24" s="37"/>
    </row>
    <row r="37" spans="2:34" x14ac:dyDescent="0.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row>
    <row r="38" spans="2:34" x14ac:dyDescent="0.3">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row>
    <row r="39" spans="2:34" x14ac:dyDescent="0.3">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row>
    <row r="40" spans="2:34" x14ac:dyDescent="0.3">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row>
    <row r="42" spans="2:34" x14ac:dyDescent="0.3">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row>
    <row r="43" spans="2:34" x14ac:dyDescent="0.3">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row>
  </sheetData>
  <mergeCells count="1">
    <mergeCell ref="A1:H1"/>
  </mergeCells>
  <pageMargins left="0.7" right="0.7" top="0.75" bottom="0.75" header="0.3" footer="0.3"/>
  <pageSetup orientation="portrait"/>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5"/>
  <sheetViews>
    <sheetView showGridLines="0" topLeftCell="A14" zoomScale="70" zoomScaleNormal="70" workbookViewId="0">
      <selection activeCell="L44" sqref="L44"/>
    </sheetView>
  </sheetViews>
  <sheetFormatPr baseColWidth="10" defaultRowHeight="15" x14ac:dyDescent="0.25"/>
  <sheetData>
    <row r="1" spans="1:22" ht="21" customHeight="1" x14ac:dyDescent="0.35">
      <c r="A1" s="104" t="s">
        <v>182</v>
      </c>
    </row>
    <row r="2" spans="1:22" ht="21" customHeight="1" x14ac:dyDescent="0.35">
      <c r="A2" s="104"/>
    </row>
    <row r="3" spans="1:22" ht="18" customHeight="1" x14ac:dyDescent="0.25">
      <c r="A3" s="179" t="s">
        <v>183</v>
      </c>
      <c r="B3" s="180"/>
      <c r="C3" s="180"/>
      <c r="D3" s="180"/>
      <c r="E3" s="180"/>
      <c r="F3" s="180"/>
      <c r="L3" s="179" t="s">
        <v>184</v>
      </c>
      <c r="M3" s="180"/>
      <c r="N3" s="180"/>
      <c r="O3" s="180"/>
      <c r="P3" s="180"/>
      <c r="V3" s="179" t="s">
        <v>191</v>
      </c>
    </row>
    <row r="4" spans="1:22" ht="15.75" customHeight="1" x14ac:dyDescent="0.25">
      <c r="A4" s="137" t="s">
        <v>185</v>
      </c>
      <c r="L4" s="137" t="s">
        <v>186</v>
      </c>
      <c r="V4" s="137" t="s">
        <v>186</v>
      </c>
    </row>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4" spans="1:14" ht="18" customHeight="1" x14ac:dyDescent="0.25">
      <c r="A34" s="105" t="s">
        <v>187</v>
      </c>
      <c r="N34" s="105" t="s">
        <v>188</v>
      </c>
    </row>
    <row r="35" spans="1:14" ht="15.75" customHeight="1" x14ac:dyDescent="0.25">
      <c r="A35" s="137" t="s">
        <v>189</v>
      </c>
      <c r="N35" s="137" t="s">
        <v>190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Servicios Deuda Anual </vt:lpstr>
      <vt:lpstr>Perfil Int Mensual </vt:lpstr>
      <vt:lpstr>Perfil Amort Mensual </vt:lpstr>
      <vt:lpstr>Ratios 2026</vt:lpstr>
      <vt:lpstr>Avales</vt:lpstr>
      <vt:lpstr>Evolución Deuda Total</vt:lpstr>
      <vt:lpstr>Gráficos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CreditoPublico Pasante</cp:lastModifiedBy>
  <dcterms:created xsi:type="dcterms:W3CDTF">2020-03-11T14:25:05Z</dcterms:created>
  <dcterms:modified xsi:type="dcterms:W3CDTF">2026-07-24T15:40:03Z</dcterms:modified>
</cp:coreProperties>
</file>