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AAA TABLERO DEUDA\NUEVO TABLERO\ACH\Informe trimestral de deuda\2026 - 06\"/>
    </mc:Choice>
  </mc:AlternateContent>
  <xr:revisionPtr revIDLastSave="0" documentId="13_ncr:1_{FA9A946B-577E-4294-85DF-EB99C3694989}" xr6:coauthVersionLast="47" xr6:coauthVersionMax="47" xr10:uidLastSave="{00000000-0000-0000-0000-000000000000}"/>
  <bookViews>
    <workbookView xWindow="-120" yWindow="-120" windowWidth="24240" windowHeight="13020" tabRatio="954" xr2:uid="{00000000-000D-0000-FFFF-FFFF00000000}"/>
  </bookViews>
  <sheets>
    <sheet name="Servicios Deuda Anual " sheetId="1" r:id="rId1"/>
    <sheet name="Perfil Int Mensual " sheetId="2" r:id="rId2"/>
    <sheet name="Perfil Amort Mensual " sheetId="3" r:id="rId3"/>
    <sheet name="Ratios 2026" sheetId="4" r:id="rId4"/>
    <sheet name="Avales" sheetId="5" r:id="rId5"/>
    <sheet name="Evolución Deuda Total" sheetId="6" r:id="rId6"/>
    <sheet name="Gráficos" sheetId="7" r:id="rId7"/>
  </sheets>
  <externalReferences>
    <externalReference r:id="rId8"/>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#REF!</definedName>
    <definedName name="_._IMPUESTOS_SOBRE_ENERGIA_ELECTRICA">#REF!</definedName>
    <definedName name="_F">#REF!</definedName>
    <definedName name="_Fill" localSheetId="5" hidden="1">#REF!</definedName>
    <definedName name="_Fill" localSheetId="1" hidden="1">#REF!</definedName>
    <definedName name="_Fill" localSheetId="3" hidden="1">#REF!</definedName>
    <definedName name="_Fill" hidden="1">#REF!</definedName>
    <definedName name="_Key1" localSheetId="5" hidden="1">#REF!</definedName>
    <definedName name="_Key1" localSheetId="1" hidden="1">#REF!</definedName>
    <definedName name="_Key1" localSheetId="3" hidden="1">#REF!</definedName>
    <definedName name="_Key1" hidden="1">#REF!</definedName>
    <definedName name="_Order1" hidden="1">255</definedName>
    <definedName name="_Parse_In" localSheetId="5" hidden="1">#REF!</definedName>
    <definedName name="_Parse_In" localSheetId="1" hidden="1">#REF!</definedName>
    <definedName name="_Parse_In" localSheetId="3" hidden="1">#REF!</definedName>
    <definedName name="_Parse_In" hidden="1">#REF!</definedName>
    <definedName name="_Parse_Out" localSheetId="5" hidden="1">#REF!</definedName>
    <definedName name="_Parse_Out" localSheetId="1" hidden="1">#REF!</definedName>
    <definedName name="_Parse_Out" localSheetId="3" hidden="1">#REF!</definedName>
    <definedName name="_Parse_Out" hidden="1">#REF!</definedName>
    <definedName name="_R">#REF!</definedName>
    <definedName name="_Sort" localSheetId="5" hidden="1">#REF!</definedName>
    <definedName name="_Sort" localSheetId="1" hidden="1">#REF!</definedName>
    <definedName name="_Sort" localSheetId="3" hidden="1">#REF!</definedName>
    <definedName name="_Sort" hidden="1">#REF!</definedName>
    <definedName name="A">#REF!</definedName>
    <definedName name="Acreedor_pesos" localSheetId="2">#REF!</definedName>
    <definedName name="Acreedor_pesos" localSheetId="1">#REF!</definedName>
    <definedName name="Acreedor_pesos" localSheetId="0">#REF!</definedName>
    <definedName name="Acreedor_pesos">#REF!</definedName>
    <definedName name="Acreedor_USD" localSheetId="2">#REF!</definedName>
    <definedName name="Acreedor_USD" localSheetId="1">#REF!</definedName>
    <definedName name="Acreedor_USD" localSheetId="0">#REF!</definedName>
    <definedName name="Acreedor_USD">#REF!</definedName>
    <definedName name="Acreedor_UVA" localSheetId="2">#REF!</definedName>
    <definedName name="Acreedor_UVA" localSheetId="1">#REF!</definedName>
    <definedName name="Acreedor_UVA" localSheetId="0">#REF!</definedName>
    <definedName name="Acreedor_UVA">#REF!</definedName>
    <definedName name="ACwvu.PLA1." localSheetId="5" hidden="1">'[1]COP FED'!#REF!</definedName>
    <definedName name="ACwvu.PLA1." localSheetId="1" hidden="1">'[1]COP FED'!#REF!</definedName>
    <definedName name="ACwvu.PLA1." localSheetId="3" hidden="1">'[1]COP FED'!#REF!</definedName>
    <definedName name="ACwvu.PLA1." hidden="1">'[1]COP FED'!#REF!</definedName>
    <definedName name="ACwvu.PLA2." hidden="1">'[1]COP FED'!$A$1:$N$49</definedName>
    <definedName name="AGRO21">#REF!</definedName>
    <definedName name="_xlnm.Extract">#REF!</definedName>
    <definedName name="B">#REF!</definedName>
    <definedName name="Base_datos_IM">#REF!</definedName>
    <definedName name="_xlnm.Database">#REF!</definedName>
    <definedName name="BIDM35">#REF!</definedName>
    <definedName name="BORRAR">#REF!</definedName>
    <definedName name="C_">#REF!</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ntidad_prestada">#REF!</definedName>
    <definedName name="Comisiones">#REF!</definedName>
    <definedName name="COPA">#N/A</definedName>
    <definedName name="COPARTICIPACION_FEDERAL__LEY_N__23548">#REF!</definedName>
    <definedName name="CotizDolar">#REF!</definedName>
    <definedName name="_xlnm.Criteria">#REF!</definedName>
    <definedName name="Criterios_IM">#REF!</definedName>
    <definedName name="D">#REF!</definedName>
    <definedName name="E">#REF!</definedName>
    <definedName name="EXCEDENTE_DEL_10__SEGUN_EL_TOPE_ASIGNADO_A__BUENOS_AIRES__LEY_N__23621">#REF!</definedName>
    <definedName name="Extracción_IM">#REF!</definedName>
    <definedName name="fdafafafafaf">#REF!</definedName>
    <definedName name="Fecha_primer_pago">#REF!</definedName>
    <definedName name="FONDO_COMPENSADOR_DE_DESEQUILIBRIOS_FISCALES_PROVINCIALES">#REF!</definedName>
    <definedName name="FONDO_EDUCATIVO__LEY_N__23906_ART._3_Y_4">#REF!</definedName>
    <definedName name="FONDO_ESPECIAL_DE_DESARROLLO_ELECTRICO_DEL_INTERIOR__LEYES_NROS._23966_ART._19_Y_24065">#REF!</definedName>
    <definedName name="FONDO_NACIONAL_DE_LA_VIVIENDA__LEY_N__23966_ART._18">#REF!</definedName>
    <definedName name="G">#REF!</definedName>
    <definedName name="grafacreedor" localSheetId="2">CHOOSE(#REF!,'Perfil Amort Mensual '!Acreedor_pesos,'Perfil Amort Mensual '!Acreedor_USD,'Perfil Amort Mensual '!Acreedor_UVA)</definedName>
    <definedName name="grafacreedor" localSheetId="1">CHOOSE(#REF!,'Perfil Int Mensual '!Acreedor_pesos,'Perfil Int Mensual '!Acreedor_USD,'Perfil Int Mensual '!Acreedor_UVA)</definedName>
    <definedName name="grafacreedor" localSheetId="0">CHOOSE(#REF!,'Servicios Deuda Anual '!Acreedor_pesos,'Servicios Deuda Anual '!Acreedor_USD,'Servicios Deuda Anual '!Acreedor_UVA)</definedName>
    <definedName name="grafacreedor">CHOOSE(#REF!,Acreedor_pesos,Acreedor_USD,Acreedor_UVA)</definedName>
    <definedName name="grafcomp" localSheetId="2">CHOOSE(#REF!,[0]!Por_tasa_int,[0]!Por_moneda)</definedName>
    <definedName name="grafcomp" localSheetId="1">CHOOSE(#REF!,[0]!Por_tasa_int,[0]!Por_moneda)</definedName>
    <definedName name="grafcomp" localSheetId="0">CHOOSE(#REF!,[0]!Por_tasa_int,[0]!Por_moneda)</definedName>
    <definedName name="grafcomp">CHOOSE(#REF!,Por_tasa_int,Por_moneda)</definedName>
    <definedName name="grafserv" localSheetId="2">CHOOSE(#REF!,[0]!Servicio_pesos,[0]!Servicio_USD,[0]!Servicio_UVA)</definedName>
    <definedName name="grafserv" localSheetId="1">CHOOSE(#REF!,[0]!Servicio_pesos,[0]!Servicio_USD,[0]!Servicio_UVA)</definedName>
    <definedName name="grafserv" localSheetId="0">CHOOSE(#REF!,[0]!Servicio_pesos,[0]!Servicio_USD,[0]!Servicio_UVA)</definedName>
    <definedName name="grafserv">CHOOSE(#REF!,Servicio_pesos,Servicio_USD,Servicio_UVA)</definedName>
    <definedName name="grafvto" localSheetId="2">CHOOSE(#REF!,[0]!Vto_en_pesos,[0]!Vto_en_USD,[0]!Vto_en_UVA)</definedName>
    <definedName name="grafvto" localSheetId="1">CHOOSE(#REF!,[0]!Vto_en_pesos,[0]!Vto_en_USD,[0]!Vto_en_UVA)</definedName>
    <definedName name="grafvto" localSheetId="0">CHOOSE(#REF!,[0]!Vto_en_pesos,[0]!Vto_en_USD,[0]!Vto_en_UVA)</definedName>
    <definedName name="grafvto">CHOOSE(#REF!,Vto_en_pesos,Vto_en_USD,Vto_en_UVA)</definedName>
    <definedName name="H">#REF!</definedName>
    <definedName name="I">#REF!</definedName>
    <definedName name="IMPRIMIR">#REF!</definedName>
    <definedName name="J">#REF!</definedName>
    <definedName name="K">#REF!</definedName>
    <definedName name="L_">#REF!</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nu" localSheetId="5" hidden="1">'[1]COP FED'!#REF!</definedName>
    <definedName name="nu" localSheetId="1" hidden="1">'[1]COP FED'!#REF!</definedName>
    <definedName name="nu" localSheetId="3" hidden="1">'[1]COP FED'!#REF!</definedName>
    <definedName name="nu" hidden="1">'[1]COP FED'!#REF!</definedName>
    <definedName name="O">#REF!</definedName>
    <definedName name="OBRAS_DE_INFRAESTRUCTURA__LEY_N__23966_ART._19">#REF!</definedName>
    <definedName name="OBRAS_DE_INFRAESTRUCTURA_BASICA_SOCIAL_Y_NECESIDADES_BASICAS_INSATISFECHAS__LEY_N__23621">#REF!</definedName>
    <definedName name="ORGANISMOS_DE_VIALIDAD__LEY_N__23966_ART._19">#REF!</definedName>
    <definedName name="P">#REF!</definedName>
    <definedName name="pagos_por_año">#REF!</definedName>
    <definedName name="Plazo_en_años">#REF!</definedName>
    <definedName name="Por_moneda" localSheetId="2">#REF!</definedName>
    <definedName name="Por_moneda" localSheetId="1">#REF!</definedName>
    <definedName name="Por_moneda" localSheetId="0">#REF!</definedName>
    <definedName name="Por_moneda">#REF!</definedName>
    <definedName name="Por_tasa_int" localSheetId="2">#REF!</definedName>
    <definedName name="Por_tasa_int" localSheetId="1">#REF!</definedName>
    <definedName name="Por_tasa_int" localSheetId="0">#REF!</definedName>
    <definedName name="Por_tasa_int">#REF!</definedName>
    <definedName name="Prliq">#REF!</definedName>
    <definedName name="ProdEstimada">#REF!</definedName>
    <definedName name="prueba">#REF!</definedName>
    <definedName name="Q">#REF!</definedName>
    <definedName name="QUE" hidden="1">{FALSE,FALSE,-1.25,-15.5,484.5,276.75,FALSE,FALSE,TRUE,TRUE,0,12,#N/A,46,#N/A,2.93460490463215,15.35,1,FALSE,FALSE,3,TRUE,1,FALSE,100,"Swvu.PLA1.","ACwvu.PLA1.",#N/A,FALSE,FALSE,0,0,0,0,2,"","",TRUE,TRUE,FALSE,FALSE,1,60,#N/A,#N/A,FALSE,FALSE,FALSE,FALSE,FALSE,FALSE,FALSE,9,65532,65532,FALSE,FALSE,TRUE,TRUE,TRUE}</definedName>
    <definedName name="Rwvu.PLA2." localSheetId="5" hidden="1">'[1]COP FED'!#REF!</definedName>
    <definedName name="Rwvu.PLA2." localSheetId="1" hidden="1">'[1]COP FED'!#REF!</definedName>
    <definedName name="Rwvu.PLA2." localSheetId="3" hidden="1">'[1]COP FED'!#REF!</definedName>
    <definedName name="Rwvu.PLA2." hidden="1">'[1]COP FED'!#REF!</definedName>
    <definedName name="S">#REF!</definedName>
    <definedName name="SEGURIDAD_SOCIAL___BS._PERS._NO_INCORP._AL_PROCESO_ECONOMICO__LEY_N__23966__ART._30">#REF!</definedName>
    <definedName name="SEGURIDAD_SOCIAL___IVA__LEY_N__23966_ART._5_PTO._2">#REF!</definedName>
    <definedName name="Servicio_pesos" localSheetId="2">#REF!</definedName>
    <definedName name="Servicio_pesos" localSheetId="1">#REF!</definedName>
    <definedName name="Servicio_pesos" localSheetId="0">#REF!</definedName>
    <definedName name="Servicio_pesos">#REF!</definedName>
    <definedName name="Servicio_USD" localSheetId="2">#REF!</definedName>
    <definedName name="Servicio_USD" localSheetId="1">#REF!</definedName>
    <definedName name="Servicio_USD" localSheetId="0">#REF!</definedName>
    <definedName name="Servicio_USD">#REF!</definedName>
    <definedName name="Servicio_UVA" localSheetId="2">#REF!</definedName>
    <definedName name="Servicio_UVA" localSheetId="1">#REF!</definedName>
    <definedName name="Servicio_UVA" localSheetId="0">#REF!</definedName>
    <definedName name="Servicio_UVA">#REF!</definedName>
    <definedName name="SUMA_FIJA_FINANCIADA_CON__LA_COPARTICIPACION_FEDERAL_DE_NACION__LEY_N__23621_ART._1">#REF!</definedName>
    <definedName name="Swvu.PLA1." localSheetId="5" hidden="1">'[1]COP FED'!#REF!</definedName>
    <definedName name="Swvu.PLA1." localSheetId="1" hidden="1">'[1]COP FED'!#REF!</definedName>
    <definedName name="Swvu.PLA1." localSheetId="3" hidden="1">'[1]COP FED'!#REF!</definedName>
    <definedName name="Swvu.PLA1." hidden="1">'[1]COP FED'!#REF!</definedName>
    <definedName name="Swvu.PLA2." hidden="1">'[1]COP FED'!$A$1:$N$49</definedName>
    <definedName name="T">#REF!</definedName>
    <definedName name="tasa_interes_anual">#REF!</definedName>
    <definedName name="TOTAL">#REF!</definedName>
    <definedName name="TRANSFERENCIA_DE_SERVICIOS__LEY_N__24049_Y_COMPLEMENTARIAS">#REF!</definedName>
    <definedName name="U">#REF!</definedName>
    <definedName name="V">#REF!</definedName>
    <definedName name="Vto_en_pesos" localSheetId="2">#REF!</definedName>
    <definedName name="Vto_en_pesos" localSheetId="1">#REF!</definedName>
    <definedName name="Vto_en_pesos" localSheetId="0">#REF!</definedName>
    <definedName name="Vto_en_pesos">#REF!</definedName>
    <definedName name="Vto_en_USD" localSheetId="2">#REF!</definedName>
    <definedName name="Vto_en_USD" localSheetId="1">#REF!</definedName>
    <definedName name="Vto_en_USD" localSheetId="0">#REF!</definedName>
    <definedName name="Vto_en_USD">#REF!</definedName>
    <definedName name="Vto_en_UVA" localSheetId="2">#REF!</definedName>
    <definedName name="Vto_en_UVA" localSheetId="1">#REF!</definedName>
    <definedName name="Vto_en_UVA" localSheetId="0">#REF!</definedName>
    <definedName name="Vto_en_UVA">#REF!</definedName>
    <definedName name="W">#REF!</definedName>
    <definedName name="WTI">#REF!</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3" i="6" l="1"/>
  <c r="AW11" i="6"/>
  <c r="AW9" i="6"/>
  <c r="AW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VF</author>
  </authors>
  <commentList>
    <comment ref="A6" authorId="0" shapeId="0" xr:uid="{00000000-0006-0000-0500-000001000000}">
      <text>
        <r>
          <rPr>
            <sz val="11"/>
            <color theme="1"/>
            <rFont val="Calibri"/>
            <family val="2"/>
            <scheme val="minor"/>
          </rPr>
          <t>La información sobre DEUDA FLOTANTE se encuentra disponible en la página web del Ministerio de Hacienda - Responsabilidad Fiscal (Anexo 6)</t>
        </r>
      </text>
    </comment>
    <comment ref="A12" authorId="0" shapeId="0" xr:uid="{00000000-0006-0000-0500-000002000000}">
      <text>
        <r>
          <rPr>
            <sz val="11"/>
            <color theme="1"/>
            <rFont val="Calibri"/>
            <family val="2"/>
            <scheme val="minor"/>
          </rPr>
          <t>La información sobre DEUDA FLOTANTE se encuentra disponible en la página web del Ministerio de Hacienda - Responsabilidad Fiscal (Anexo 6)</t>
        </r>
      </text>
    </comment>
  </commentList>
</comments>
</file>

<file path=xl/sharedStrings.xml><?xml version="1.0" encoding="utf-8"?>
<sst xmlns="http://schemas.openxmlformats.org/spreadsheetml/2006/main" count="753" uniqueCount="197">
  <si>
    <t>PERFIL SERVICIOS DE LA DEUDA ANUAL POR TIPO DE MONEDA</t>
  </si>
  <si>
    <t>Servicios Deuda = Amort. + Int</t>
  </si>
  <si>
    <t>En Millones Especie</t>
  </si>
  <si>
    <t>Acreedor/Creditor</t>
  </si>
  <si>
    <t>ID</t>
  </si>
  <si>
    <t>Moneda / Currency (1)</t>
  </si>
  <si>
    <t>Saldo Millones Moneda Origen / Outstanding Millons Currency</t>
  </si>
  <si>
    <t>Saldo Millones USD / Outstanding Millons USD</t>
  </si>
  <si>
    <t>%</t>
  </si>
  <si>
    <t>Garantizado por / Secured by</t>
  </si>
  <si>
    <t>Fecha inicio / Issue date</t>
  </si>
  <si>
    <t>Cupón / Cupon</t>
  </si>
  <si>
    <t>Duración (Meses) / Maturity (Months)</t>
  </si>
  <si>
    <t>Frecuencia / Frequency</t>
  </si>
  <si>
    <t>Fecha vto. / Maturity Date</t>
  </si>
  <si>
    <t>Forma de pago / Payment method</t>
  </si>
  <si>
    <t>Promedio        2030-2050</t>
  </si>
  <si>
    <t>Pesos</t>
  </si>
  <si>
    <t>USD</t>
  </si>
  <si>
    <t>Gobierno Federal</t>
  </si>
  <si>
    <t>FFFIR Cloacas Tunuyán - Tupungato</t>
  </si>
  <si>
    <t>FFFIRS33</t>
  </si>
  <si>
    <t>Coparticipación Federal de Impuestos</t>
  </si>
  <si>
    <t>10-y Bond/LIBOR 12M (mayor) + 3,70%</t>
  </si>
  <si>
    <t>Mensual</t>
  </si>
  <si>
    <t>Automático</t>
  </si>
  <si>
    <t>FFFIR Ley 8930 - $416 MM</t>
  </si>
  <si>
    <t>FFFIRF26</t>
  </si>
  <si>
    <t>ANSES - Fideicomiso IPV VDF</t>
  </si>
  <si>
    <t>IPVO26</t>
  </si>
  <si>
    <t>Otras Transferencias Nacionales</t>
  </si>
  <si>
    <t>Badlar Públicos + 2%</t>
  </si>
  <si>
    <t>Trimestral</t>
  </si>
  <si>
    <t>FFFIR Ley 8066 Ampliación</t>
  </si>
  <si>
    <t>FFFIRE26</t>
  </si>
  <si>
    <t>Banco de la Nación Argentina</t>
  </si>
  <si>
    <t>Banco Nación - Metrotranvía Mza</t>
  </si>
  <si>
    <t>BNAY30</t>
  </si>
  <si>
    <t>Tasa TAMAR + Margen de Puntos Básicos</t>
  </si>
  <si>
    <t>Banco Nación-Refinanciación 2022</t>
  </si>
  <si>
    <t>BNAM27</t>
  </si>
  <si>
    <t>BADLAR Bancos Privados + 3%</t>
  </si>
  <si>
    <t xml:space="preserve">Bancos Nacionales e Internacionales </t>
  </si>
  <si>
    <t>Banco Santander</t>
  </si>
  <si>
    <t>SANG30</t>
  </si>
  <si>
    <t>Tasa TAMAR Corregida</t>
  </si>
  <si>
    <t xml:space="preserve">Mensual </t>
  </si>
  <si>
    <t xml:space="preserve">Automatico </t>
  </si>
  <si>
    <t>Multilateral</t>
  </si>
  <si>
    <t>1.1. B.I.D.</t>
  </si>
  <si>
    <t>4779 BID - RP82</t>
  </si>
  <si>
    <t>BIDN44</t>
  </si>
  <si>
    <t xml:space="preserve">Tasa Base Libor 3 M + Margen BID </t>
  </si>
  <si>
    <t>Semestral</t>
  </si>
  <si>
    <t>3169-BID-Programa-Mendoza-Tecnológica</t>
  </si>
  <si>
    <t>BIDF40</t>
  </si>
  <si>
    <t>2573 BID-PROSAP</t>
  </si>
  <si>
    <t>BIDD36</t>
  </si>
  <si>
    <t>1956 BID-PROSAP</t>
  </si>
  <si>
    <t>BIDA33</t>
  </si>
  <si>
    <t>3806 BID-PROSAP</t>
  </si>
  <si>
    <t>BIDY42</t>
  </si>
  <si>
    <t>4312 BID PLAN BELGRANO</t>
  </si>
  <si>
    <t>BIDE37</t>
  </si>
  <si>
    <t>Libor 6M + 1,35%</t>
  </si>
  <si>
    <t>1855 BID - MUNICIPIOS</t>
  </si>
  <si>
    <t>BIDN32</t>
  </si>
  <si>
    <t>1895 BID - PROAS ENOHSA Los Barriales</t>
  </si>
  <si>
    <t>BIDS34</t>
  </si>
  <si>
    <t>1895 BID - PROAS ENOHSA PMG EPAS</t>
  </si>
  <si>
    <t>BIDS23</t>
  </si>
  <si>
    <t>1.2. B.I.R.F.</t>
  </si>
  <si>
    <t>7597 BIRF - PROSAP</t>
  </si>
  <si>
    <t>BIRS38</t>
  </si>
  <si>
    <t>8712 BIRF - Proyecto Integral Hábitat y Vivienda (2)</t>
  </si>
  <si>
    <t>BIRF34</t>
  </si>
  <si>
    <t>8867 BIRF - GIRSAR</t>
  </si>
  <si>
    <t>BIRE50</t>
  </si>
  <si>
    <t>Tenedores de Bonos</t>
  </si>
  <si>
    <t>BONO MENDOZA 2029 (1)</t>
  </si>
  <si>
    <t>PMM29</t>
  </si>
  <si>
    <t>Sin garantía</t>
  </si>
  <si>
    <t>TGP</t>
  </si>
  <si>
    <t>Títulos de Deuda TAMAR CLASE 1</t>
  </si>
  <si>
    <t>PMJ26</t>
  </si>
  <si>
    <t>TAMAR + 4,75%</t>
  </si>
  <si>
    <t>Títulos de Deuda TAMAR CLASE 2</t>
  </si>
  <si>
    <t>PMD26</t>
  </si>
  <si>
    <t>TAMAR + 5,5%</t>
  </si>
  <si>
    <t>TÍTULOS DE DEUDA CER CLASE 2</t>
  </si>
  <si>
    <t>PMM27</t>
  </si>
  <si>
    <t>Pesos Ajustados</t>
  </si>
  <si>
    <t xml:space="preserve">CER </t>
  </si>
  <si>
    <t>Cupón Cero</t>
  </si>
  <si>
    <t>Bono de Conversión ANSES</t>
  </si>
  <si>
    <t>PMM31</t>
  </si>
  <si>
    <t>BADLAR Bcos Priv</t>
  </si>
  <si>
    <t>TOTAL DEUDA CONSOLIDADA</t>
  </si>
  <si>
    <t>(1) Tasa de Interés: desde e incluyendo el 19 de mayo de 2020 hasta y excluyendo el 19 de septiembre de 2021, 2,75%; desde e incluyendo el 19 de septiembre de 2021 hasta y excluyendo el 19 de marzo de 2023, 4,25%; desde e incluyendo el 19 de marzo de 2023 hasta y excluyendo el 19 de marzo de 2029, 5,75%.</t>
  </si>
  <si>
    <t>(2) La administración y gestión de los fondos provenientes del Préstamo es realizada por el IPV</t>
  </si>
  <si>
    <t>Tipo de Cambio Nominal ARS / USD (Fin de Período)</t>
  </si>
  <si>
    <t>BADLAR (Fin de Período)</t>
  </si>
  <si>
    <t>CER (Fin de Período)</t>
  </si>
  <si>
    <t>PERFIL DE AMORTIZACIONES ANUAL POR TIPO DE MONEDA</t>
  </si>
  <si>
    <t>Acreedor</t>
  </si>
  <si>
    <t xml:space="preserve">Pesos </t>
  </si>
  <si>
    <t xml:space="preserve">Banco Santander </t>
  </si>
  <si>
    <t>Organismos Multilaterales</t>
  </si>
  <si>
    <t>8712 BIRF - Proyecto Integral Hábitat y Vivienda</t>
  </si>
  <si>
    <t>BONO MENDOZA 2029</t>
  </si>
  <si>
    <t>TOTAL</t>
  </si>
  <si>
    <t>PERFIL DE INTERESES ANUAL POR TIPO DE MONEDA</t>
  </si>
  <si>
    <t>PERFIL DE INTERESES MENSUAL POR TIPO DE MONEDA</t>
  </si>
  <si>
    <t>DEUDA PÚBLICA EN PESOS (1)</t>
  </si>
  <si>
    <t>TOTAL INTERESES EN PESOS</t>
  </si>
  <si>
    <t>(1) Se incluye Endeudamiento con el Fondo Fiduciario Federal de Infraestructura Regional (FFFIR) ajustable por el Costo de la Construcción (ICC) con un tope máximo de 17% para 2020 y 2021.</t>
  </si>
  <si>
    <t>DEUDA PÚBLICA EN USD</t>
  </si>
  <si>
    <t>Dólar</t>
  </si>
  <si>
    <t>TOTAL INTERESES EN USD</t>
  </si>
  <si>
    <t>PERFIL DE AMORTIZACIONES MENSUAL POR TIPO DE MONEDA</t>
  </si>
  <si>
    <t>TOTAL AMORTIZACIONES EN PESOS</t>
  </si>
  <si>
    <t>(1) Se incluye Endeudamiento con el Fondo Fiduciario Federal de Infraestructura Regional (FFFIR) ajustable por el Costo de la Construcción (ICC) con un tope máximo de 17%.</t>
  </si>
  <si>
    <t>TOTAL AMORTIZACIONES EN USD</t>
  </si>
  <si>
    <t>1er Trimestre</t>
  </si>
  <si>
    <t>Art. 21 Ley de Responsabilidad Fiscal</t>
  </si>
  <si>
    <t xml:space="preserve">SERVICIOS DEUDA </t>
  </si>
  <si>
    <t>Pertenece a la Ley N° 25.917 de Responabilidad Fiscal en su Capítulo V - "Endeudamiento":
Art 21) Los gobiernos de las provincias y de la Ciudad Autónoma de Buenos Aires tomarán las medidas necesarias para que el nivel de endeudamiento de sus jurisdicciones sea tal que en cada ejercicio fiscal los servicios de la deuda instrumentada no superen el quince por ciento (15%) de los recursos corrientes netos de transferencias por coparticipación a municipios.</t>
  </si>
  <si>
    <t>RECURSOS CORRIENTES
(Netos de Copart. a Municipios)</t>
  </si>
  <si>
    <t>SS DEUDA / REC. CTES. "&lt; 15%"</t>
  </si>
  <si>
    <t>COVENANTS BONOS</t>
  </si>
  <si>
    <t>SERVICIOS DEUDA GARANTIZADA CON COPARTICIPACIÓN SIG. 12 MESES
[1]</t>
  </si>
  <si>
    <t>Pertenece al prospecto del Bono Mendoza 2029 (PMM29)  "Compromisos - Limitación a los Gravámenes":
(e) cualquier Gravamen que garantice Deuda de la Provincia, constituido sobre el derecho de la Provincia a percibir Pagos en Coparticipación; con la salvedad que el monto de capital total de la Deuda así garantizada y pendiente de pago en cualquier momento no podrá superar un monto tal que provoque que la Relación de Deuda Garantizada por la Coparticipación Trimestral supere el 50%.</t>
  </si>
  <si>
    <t>COPARTICIPACIÓN RECIBIDA 3 MESES ANTERIORES x 4
[2]</t>
  </si>
  <si>
    <t>[1] / [2]  "&lt; 50%"</t>
  </si>
  <si>
    <t>INTERESES PAGADOS 12 MESES ANTERIORES A INCURRIR EN DEUDA
[3]</t>
  </si>
  <si>
    <t>Pertenece al prospecto del Bono Mendoza 2029 (PMM29)  "Compromisos - Compromisos de cobertura de interés":                                                                                                                                            La Provincia ha acordado que no incurrirá, asumirá o garantizará y no permitirá que ninguna Entidad Provincial incurra en ninguna Deuda, con la excepción de que, a la fecha en que se proponga incurrir, el monto de los “Gastos de Interés” incurridos durante los anteriores doce meses finalizados en el trimestre fiscales más recientes, dependiendo el caso, no exceda el 13% de los Ingresos obtenidos durante el referido período de doce meses.</t>
  </si>
  <si>
    <t>RECURSOS PERCIBIDOS 12 MESES ANTERIORES
[4]</t>
  </si>
  <si>
    <t>[3] / [4]  "&lt; 13%"</t>
  </si>
  <si>
    <t>CAPITAL PENDIENTE DE DEUDA NO GARANTIZADA CON COPARTICIP.
[5]</t>
  </si>
  <si>
    <t>Pertenece al prospecto del Bono Mendoza 2029 (PMM29)  "Compromisos - Limitación a los Gravámenes":
(h) cualquier otro gravamen, diferente de aquellos Gravámenes relacionados con el derecho de la Provincia a recibir Pagos en Coparticipación, que garanticen Deuda de la Provincia en un monto total de capital pendiente de pago que no supere en ningún momento el 10% de los Ingresos anuales de la Provincia para el período que incluye los cuatro trimestres fiscales consecutivos más recientes que finalicen antes de la fecha en que se incurra dicho Gravamen.</t>
  </si>
  <si>
    <t>RECURSOS PERCIBIDOS 12 MESES ANTERIORES
[6]</t>
  </si>
  <si>
    <t>[5] / [6]  "&lt; 10%"</t>
  </si>
  <si>
    <t>SERVICIOS DEUDA GARANTIZADA CON COPARTICIP. 4 TRIM FISCALES MÁS RECIENTES
[7]</t>
  </si>
  <si>
    <t>"Compromisos - Limitación a los Gravámenes":
(e) cualquier Gravamen que garantice Deuda de la Provincia que involucre el derecho de la Provincia a percibir Pagos en Coparticipación; con la salvedad que la Deuda así garantizada no deberá provocar que el Ratio de Deuda Garantizada por la Coparticipación supere el 50% en el trimestre fiscal más reciente que finalice antes de la fecha de cálculo.</t>
  </si>
  <si>
    <t>COPARTICIPACIÓN RECIBIDA DICHO PERÍODO
[8]</t>
  </si>
  <si>
    <t>[7] / [8]  "&lt; 50%"</t>
  </si>
  <si>
    <t>CARACTERÍSTICA DE LOS AVALES Y/O GARANTÍAS OTORGADAS</t>
  </si>
  <si>
    <t>En millones de $</t>
  </si>
  <si>
    <t>Beneficiario</t>
  </si>
  <si>
    <t>Marco Legal</t>
  </si>
  <si>
    <t>Proyecto</t>
  </si>
  <si>
    <t>Programa</t>
  </si>
  <si>
    <t>Monto del Contrato</t>
  </si>
  <si>
    <t>Moneda</t>
  </si>
  <si>
    <t>Garantía de Contraparte</t>
  </si>
  <si>
    <t>Saldo Adeudado</t>
  </si>
  <si>
    <t>Condiciones Financieras</t>
  </si>
  <si>
    <t>Plazo</t>
  </si>
  <si>
    <t>Gracia</t>
  </si>
  <si>
    <t>Tasa</t>
  </si>
  <si>
    <t>Cantidad de Cuotas</t>
  </si>
  <si>
    <t>Periodicidad</t>
  </si>
  <si>
    <t>No hay avales y/o garantías otorgados</t>
  </si>
  <si>
    <t>EVOLUCIÓN STOCK DEUDA CONSOLIDADA Y DEUDA FLOTANTE</t>
  </si>
  <si>
    <t>En Millones de Especie</t>
  </si>
  <si>
    <t>(1) Deuda Consolidada  ADMINISTRACIÓN CENTRAL</t>
  </si>
  <si>
    <t>(2) Deuda Flotante ADMINISTRACIÓN CENTRAL (a)</t>
  </si>
  <si>
    <t>(p)</t>
  </si>
  <si>
    <t>(1+2)= (3) Deuda TOTAL  ADMINISTRACIÓN CENTRAL</t>
  </si>
  <si>
    <t>(B) TIPO DE CAMBIO COMUNICACIÓN 3500 BCRA  ÚLTIMO DÍA HÁBIL CADA TRIMESTRE</t>
  </si>
  <si>
    <t>(3) / (B) Deuda TOTAL ADMINISTRACIÓN CENTRAL medida en USD</t>
  </si>
  <si>
    <t>(4) Deuda Flotante DESCENTRALIZADAS Y CUENTAS ESPECIALES</t>
  </si>
  <si>
    <t>Deuda TOTAL/PBG*</t>
  </si>
  <si>
    <t>*Nota: A partir de septiembre de 2024, este ratio no resulta directamente comparable con informes anteriores, debido al cambio de base del PBG a 2004, publicado por la DEIE el día 27/08/2024.</t>
  </si>
  <si>
    <t>(p) Dato provisrio</t>
  </si>
  <si>
    <t>(a) Neto de Fondo de Resarcimiento de los Daños de la Promoción Industrial</t>
  </si>
  <si>
    <t>GRÁFICOS</t>
  </si>
  <si>
    <t>COMPOSICIÓN DE LA DEUDA PÚBLICA POR TASA DE INTERÉS</t>
  </si>
  <si>
    <t>COMPOSICIÓN DE LA DEUDA PÚBLICA POR MONEDA</t>
  </si>
  <si>
    <t>% del Total</t>
  </si>
  <si>
    <t xml:space="preserve"> % del Total</t>
  </si>
  <si>
    <t>PERFIL DE VENCIMIENTOS DEUDA PÚBLICA EN PESOS POR TIPO DE SERVICIO</t>
  </si>
  <si>
    <t>PERFIL DE VENCIMIENTOS DEUDA PÚBLICA EN DÓLARES POR TIPO DE SERVICIO</t>
  </si>
  <si>
    <t>Millones de $. Capital e Interés como % del servicio total</t>
  </si>
  <si>
    <t>Millones de USD. Capital e Interés como % del servicio total</t>
  </si>
  <si>
    <t>Títulos de Deuda CER 2026 Clase 1</t>
  </si>
  <si>
    <t>PMA28</t>
  </si>
  <si>
    <t>CER + 7,99%</t>
  </si>
  <si>
    <t>Títulos de Deuda CER 2026 Clase 2</t>
  </si>
  <si>
    <t>PMA29</t>
  </si>
  <si>
    <t>CER + 8,5%</t>
  </si>
  <si>
    <t>COMPOSICIÓN DE LA DEUDA PÚBLICA POR ACREEDOR</t>
  </si>
  <si>
    <t>2do Trimestre</t>
  </si>
  <si>
    <t xml:space="preserve"> (A) (IPC Junio 2026) /(IPC Periodo) </t>
  </si>
  <si>
    <t>(3) x (A) = Deuda TOTAL ADMINISTRACIÓN CENTRAL medida en PESOS de Junio de 2026</t>
  </si>
  <si>
    <t>(3+4) x (A)= Deuda TOTAL medida en PESOS de Junio de 2026</t>
  </si>
  <si>
    <t>Títulos de Deuda CER 2024 Clase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</si>
</sst>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44" formatCode="_-&quot;$&quot;\ * #,##0.00_-;\-&quot;$&quot;\ * #,##0.00_-;_-&quot;$&quot;\ * &quot;-&quot;??_-;_-@_-"/>
    <numFmt numFmtId="43" formatCode="_-* #,##0.00_-;\-* #,##0.00_-;_-* &quot;-&quot;??_-;_-@_-"/>
    <numFmt numFmtId="164" formatCode="[$ARS]\ #,##0.00"/>
    <numFmt numFmtId="165" formatCode="[$USD]\ #,##0.00"/>
    <numFmt numFmtId="166" formatCode="_ * #,##0.00_ ;_ * \-#,##0.00_ ;_ * &quot;-&quot;??_ ;_ @_ "/>
    <numFmt numFmtId="167" formatCode="[$-409]mmm\-yy;@"/>
    <numFmt numFmtId="168" formatCode="_ * #,##0_ ;_ * \-#,##0_ ;_ * &quot;-&quot;??_ ;_ @_ "/>
    <numFmt numFmtId="169" formatCode="0.000"/>
    <numFmt numFmtId="170" formatCode="&quot;$&quot;#,##0.00"/>
    <numFmt numFmtId="171" formatCode="0.0000%"/>
    <numFmt numFmtId="172" formatCode="0.0%"/>
    <numFmt numFmtId="173" formatCode="#,##0.0"/>
    <numFmt numFmtId="174" formatCode="_ * #,##0.00000000_ ;_ * \-#,##0.00000000_ ;_ * &quot;-&quot;??_ ;_ @_ "/>
    <numFmt numFmtId="175" formatCode="_ * #,##0.0_ ;_ * \-#,##0.0_ ;_ * &quot;-&quot;??_ ;_ @_ "/>
    <numFmt numFmtId="176" formatCode="[$USD]\ #,##0.000000"/>
    <numFmt numFmtId="177" formatCode="#,##0.00_ ;[Red]\-#,##0.00\ "/>
    <numFmt numFmtId="178" formatCode="mmmm\-yy"/>
    <numFmt numFmtId="179" formatCode="0.000%"/>
    <numFmt numFmtId="180" formatCode="[$USD]\ #,##0.00000000000000000000"/>
    <numFmt numFmtId="181" formatCode="[$ARS]\ #,##0.00000000000"/>
    <numFmt numFmtId="182" formatCode="[$ARS]\ #,##0.0000000000000000"/>
    <numFmt numFmtId="183" formatCode="[$ARS]\ #,##0.00000000000000000"/>
    <numFmt numFmtId="184" formatCode="[$ARS]\ #,##0.0000000000000000000"/>
    <numFmt numFmtId="185" formatCode="[$ARS]\ #,##0.00000000000000000000"/>
    <numFmt numFmtId="186" formatCode="[$ARS]\ #,##0.000000000000000000000"/>
    <numFmt numFmtId="187" formatCode="[$ARS]\ #,##0.0000000000000"/>
    <numFmt numFmtId="188" formatCode="0.00000"/>
    <numFmt numFmtId="189" formatCode="0.0"/>
    <numFmt numFmtId="190" formatCode="_-* #,##0.00\ _€_-;\-* #,##0.00\ _€_-;_-* &quot;-&quot;??\ _€_-;_-@_-"/>
    <numFmt numFmtId="191" formatCode="_-* #,##0.00\ _p_t_a_-;\-* #,##0.00\ _p_t_a_-;_-* &quot;-&quot;??\ _p_t_a_-;_-@_-"/>
  </numFmts>
  <fonts count="46" x14ac:knownFonts="1">
    <font>
      <sz val="11"/>
      <color theme="1"/>
      <name val="Calibri"/>
      <family val="2"/>
      <scheme val="minor"/>
    </font>
    <font>
      <sz val="11"/>
      <color theme="1"/>
      <name val="Arial Narrow"/>
      <family val="2"/>
    </font>
    <font>
      <sz val="11"/>
      <color theme="1"/>
      <name val="Calibri"/>
      <family val="2"/>
      <scheme val="minor"/>
    </font>
    <font>
      <sz val="12"/>
      <color theme="1"/>
      <name val="Arial Narrow"/>
      <family val="2"/>
    </font>
    <font>
      <b/>
      <sz val="12"/>
      <color theme="0"/>
      <name val="Arial Narrow"/>
      <family val="2"/>
    </font>
    <font>
      <sz val="12"/>
      <name val="Arial Narrow"/>
      <family val="2"/>
    </font>
    <font>
      <b/>
      <sz val="11"/>
      <color theme="0"/>
      <name val="Arial Narrow"/>
      <family val="2"/>
    </font>
    <font>
      <b/>
      <sz val="11"/>
      <color theme="1"/>
      <name val="Arial Narrow"/>
      <family val="2"/>
    </font>
    <font>
      <b/>
      <sz val="16"/>
      <color theme="1"/>
      <name val="Arial Narrow"/>
      <family val="2"/>
    </font>
    <font>
      <sz val="13"/>
      <color rgb="FF000099"/>
      <name val="Arial Narrow"/>
      <family val="2"/>
    </font>
    <font>
      <sz val="11"/>
      <name val="Arial Narrow"/>
      <family val="2"/>
    </font>
    <font>
      <b/>
      <sz val="11"/>
      <color theme="0"/>
      <name val="Calibri"/>
      <family val="2"/>
      <scheme val="minor"/>
    </font>
    <font>
      <sz val="11"/>
      <color theme="0"/>
      <name val="Calibri"/>
      <family val="2"/>
      <scheme val="minor"/>
    </font>
    <font>
      <sz val="11"/>
      <color theme="0"/>
      <name val="Arial Narrow"/>
      <family val="2"/>
    </font>
    <font>
      <b/>
      <sz val="11"/>
      <name val="Arial Narrow"/>
      <family val="2"/>
    </font>
    <font>
      <sz val="9"/>
      <color theme="1"/>
      <name val="Arial Narrow"/>
      <family val="2"/>
    </font>
    <font>
      <sz val="10"/>
      <name val="Arial Narrow"/>
      <family val="2"/>
    </font>
    <font>
      <b/>
      <sz val="10"/>
      <color theme="0"/>
      <name val="Arial Narrow"/>
      <family val="2"/>
    </font>
    <font>
      <b/>
      <sz val="10"/>
      <name val="Arial Narrow"/>
      <family val="2"/>
    </font>
    <font>
      <b/>
      <sz val="12"/>
      <color theme="1"/>
      <name val="Arial Narrow"/>
      <family val="2"/>
    </font>
    <font>
      <sz val="10"/>
      <color theme="1"/>
      <name val="Arial Narrow"/>
      <family val="2"/>
    </font>
    <font>
      <b/>
      <sz val="10"/>
      <color theme="1"/>
      <name val="Arial Narrow"/>
      <family val="2"/>
    </font>
    <font>
      <sz val="11"/>
      <color rgb="FFFF0000"/>
      <name val="Arial Narrow"/>
      <family val="2"/>
    </font>
    <font>
      <sz val="11"/>
      <color rgb="FFFF0000"/>
      <name val="Calibri"/>
      <family val="2"/>
      <scheme val="minor"/>
    </font>
    <font>
      <b/>
      <sz val="9"/>
      <color rgb="FF000099"/>
      <name val="Arial Narrow"/>
      <family val="2"/>
    </font>
    <font>
      <b/>
      <sz val="9"/>
      <color theme="1"/>
      <name val="Arial Narrow"/>
      <family val="2"/>
    </font>
    <font>
      <b/>
      <sz val="11"/>
      <color rgb="FFFF0000"/>
      <name val="Arial Narrow"/>
      <family val="2"/>
    </font>
    <font>
      <sz val="12"/>
      <color theme="0"/>
      <name val="Arial Narrow"/>
      <family val="2"/>
    </font>
    <font>
      <sz val="12"/>
      <color theme="1"/>
      <name val="Calibri"/>
      <family val="2"/>
      <scheme val="minor"/>
    </font>
    <font>
      <b/>
      <sz val="14"/>
      <color theme="1"/>
      <name val="Arial Narrow"/>
      <family val="2"/>
    </font>
    <font>
      <b/>
      <u/>
      <sz val="11"/>
      <color theme="1"/>
      <name val="Calibri"/>
      <family val="2"/>
      <scheme val="minor"/>
    </font>
    <font>
      <b/>
      <sz val="9"/>
      <color theme="0"/>
      <name val="Arial Narrow"/>
      <family val="2"/>
    </font>
    <font>
      <b/>
      <sz val="9"/>
      <color theme="0"/>
      <name val="Arial"/>
      <family val="2"/>
    </font>
    <font>
      <b/>
      <sz val="9"/>
      <name val="Arial"/>
      <family val="2"/>
    </font>
    <font>
      <sz val="9"/>
      <name val="Arial"/>
      <family val="2"/>
    </font>
    <font>
      <sz val="10"/>
      <color theme="1"/>
      <name val="Arial"/>
      <family val="2"/>
    </font>
    <font>
      <sz val="10"/>
      <color indexed="8"/>
      <name val="Arial"/>
      <family val="2"/>
    </font>
    <font>
      <b/>
      <sz val="16"/>
      <color theme="1"/>
      <name val="Calibri"/>
      <family val="2"/>
      <scheme val="minor"/>
    </font>
    <font>
      <b/>
      <sz val="14"/>
      <color rgb="FF000000"/>
      <name val="Arial Narrow"/>
      <family val="2"/>
    </font>
    <font>
      <sz val="13"/>
      <color rgb="FF000F9F"/>
      <name val="Arial Narrow"/>
      <family val="2"/>
    </font>
    <font>
      <sz val="12"/>
      <color rgb="FF000F9F"/>
      <name val="Arial Narrow"/>
      <family val="2"/>
    </font>
    <font>
      <vertAlign val="superscript"/>
      <sz val="11"/>
      <color theme="1"/>
      <name val="Arial Narrow"/>
      <family val="2"/>
    </font>
    <font>
      <sz val="12"/>
      <name val="Arial"/>
      <family val="2"/>
    </font>
    <font>
      <b/>
      <sz val="12"/>
      <color theme="1"/>
      <name val="Calibri"/>
      <family val="2"/>
      <scheme val="minor"/>
    </font>
    <font>
      <sz val="10"/>
      <name val="Arial"/>
      <family val="2"/>
    </font>
    <font>
      <b/>
      <sz val="8"/>
      <color theme="1"/>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0F9F"/>
        <bgColor indexed="64"/>
      </patternFill>
    </fill>
    <fill>
      <patternFill patternType="solid">
        <fgColor rgb="FF3CB4E5"/>
        <bgColor indexed="64"/>
      </patternFill>
    </fill>
    <fill>
      <patternFill patternType="solid">
        <fgColor rgb="FFC8A977"/>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s>
  <cellStyleXfs count="102">
    <xf numFmtId="0" fontId="0" fillId="0" borderId="0"/>
    <xf numFmtId="166" fontId="2" fillId="0" borderId="0"/>
    <xf numFmtId="9" fontId="2" fillId="0" borderId="0"/>
    <xf numFmtId="43" fontId="2" fillId="0" borderId="0"/>
    <xf numFmtId="0" fontId="35" fillId="0" borderId="0"/>
    <xf numFmtId="177" fontId="36" fillId="0" borderId="0"/>
    <xf numFmtId="166" fontId="2" fillId="0" borderId="0"/>
    <xf numFmtId="190" fontId="2" fillId="0" borderId="0"/>
    <xf numFmtId="44" fontId="2" fillId="0" borderId="0"/>
    <xf numFmtId="43" fontId="2" fillId="0" borderId="0"/>
    <xf numFmtId="44" fontId="2" fillId="0" borderId="0"/>
    <xf numFmtId="166" fontId="2" fillId="0" borderId="0"/>
    <xf numFmtId="0" fontId="44" fillId="0" borderId="0"/>
    <xf numFmtId="43" fontId="2" fillId="0" borderId="0"/>
    <xf numFmtId="43" fontId="2" fillId="0" borderId="0"/>
    <xf numFmtId="43" fontId="2" fillId="0" borderId="0"/>
    <xf numFmtId="191" fontId="44" fillId="0" borderId="0"/>
    <xf numFmtId="191" fontId="44" fillId="0" borderId="0"/>
    <xf numFmtId="191" fontId="44" fillId="0" borderId="0"/>
    <xf numFmtId="0" fontId="2" fillId="0" borderId="0"/>
    <xf numFmtId="9" fontId="44" fillId="0" borderId="0"/>
    <xf numFmtId="9" fontId="44" fillId="0" borderId="0"/>
    <xf numFmtId="43" fontId="2" fillId="0" borderId="0"/>
    <xf numFmtId="44" fontId="2" fillId="0" borderId="0"/>
    <xf numFmtId="43" fontId="2" fillId="0" borderId="0"/>
    <xf numFmtId="44" fontId="2" fillId="0" borderId="0"/>
    <xf numFmtId="43" fontId="2" fillId="0" borderId="0"/>
    <xf numFmtId="43" fontId="2" fillId="0" borderId="0"/>
    <xf numFmtId="43" fontId="2" fillId="0" borderId="0"/>
    <xf numFmtId="166"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77" fontId="36"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91" fontId="44" fillId="0" borderId="0" applyFont="0" applyFill="0" applyBorder="0" applyAlignment="0" applyProtection="0"/>
    <xf numFmtId="191" fontId="44" fillId="0" borderId="0" applyFont="0" applyFill="0" applyBorder="0" applyAlignment="0" applyProtection="0"/>
    <xf numFmtId="191"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xf numFmtId="44" fontId="2" fillId="0" borderId="0"/>
    <xf numFmtId="43" fontId="2" fillId="0" borderId="0"/>
    <xf numFmtId="44" fontId="2" fillId="0" borderId="0"/>
    <xf numFmtId="43" fontId="2" fillId="0" borderId="0"/>
    <xf numFmtId="43" fontId="2" fillId="0" borderId="0"/>
    <xf numFmtId="43" fontId="2" fillId="0" borderId="0"/>
    <xf numFmtId="43" fontId="2" fillId="0" borderId="0"/>
    <xf numFmtId="44" fontId="2" fillId="0" borderId="0"/>
    <xf numFmtId="43" fontId="2" fillId="0" borderId="0"/>
    <xf numFmtId="44" fontId="2" fillId="0" borderId="0"/>
    <xf numFmtId="43" fontId="2" fillId="0" borderId="0"/>
    <xf numFmtId="43" fontId="2" fillId="0" borderId="0"/>
    <xf numFmtId="43"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269">
    <xf numFmtId="0" fontId="0" fillId="0" borderId="0" xfId="0"/>
    <xf numFmtId="164" fontId="3" fillId="0" borderId="0" xfId="0" applyNumberFormat="1" applyFont="1" applyAlignment="1">
      <alignment vertical="center"/>
    </xf>
    <xf numFmtId="164" fontId="5" fillId="0" borderId="0" xfId="0" applyNumberFormat="1" applyFont="1" applyAlignment="1">
      <alignment vertical="center"/>
    </xf>
    <xf numFmtId="164" fontId="9" fillId="0" borderId="0" xfId="0" applyNumberFormat="1" applyFont="1" applyAlignment="1">
      <alignment vertical="center"/>
    </xf>
    <xf numFmtId="164" fontId="8" fillId="0" borderId="0" xfId="0" applyNumberFormat="1" applyFont="1" applyAlignment="1">
      <alignment horizontal="left" vertical="center"/>
    </xf>
    <xf numFmtId="164" fontId="10" fillId="0" borderId="2" xfId="0" applyNumberFormat="1" applyFont="1" applyBorder="1" applyAlignment="1">
      <alignment vertical="center"/>
    </xf>
    <xf numFmtId="164" fontId="10" fillId="0" borderId="2" xfId="0" applyNumberFormat="1" applyFont="1" applyBorder="1" applyAlignment="1">
      <alignment horizontal="center" vertical="center"/>
    </xf>
    <xf numFmtId="0" fontId="1" fillId="0" borderId="0" xfId="0" applyFont="1" applyAlignment="1">
      <alignment vertical="center"/>
    </xf>
    <xf numFmtId="165" fontId="10" fillId="0" borderId="2" xfId="0" applyNumberFormat="1" applyFont="1" applyBorder="1" applyAlignment="1">
      <alignment horizontal="center" vertical="center"/>
    </xf>
    <xf numFmtId="164" fontId="10" fillId="0" borderId="0" xfId="0" applyNumberFormat="1" applyFont="1" applyAlignment="1">
      <alignment vertical="center"/>
    </xf>
    <xf numFmtId="0" fontId="1" fillId="0" borderId="0" xfId="0" applyFont="1"/>
    <xf numFmtId="164" fontId="10" fillId="2" borderId="0" xfId="0" applyNumberFormat="1" applyFont="1" applyFill="1" applyAlignment="1">
      <alignment vertical="center"/>
    </xf>
    <xf numFmtId="166" fontId="1" fillId="0" borderId="0" xfId="1" applyFont="1" applyAlignment="1">
      <alignment horizontal="center"/>
    </xf>
    <xf numFmtId="0" fontId="13" fillId="0" borderId="0" xfId="0" applyFont="1"/>
    <xf numFmtId="0" fontId="12" fillId="0" borderId="0" xfId="0" applyFont="1" applyAlignment="1">
      <alignment horizontal="center" vertical="center"/>
    </xf>
    <xf numFmtId="43" fontId="0" fillId="0" borderId="0" xfId="0" applyNumberFormat="1"/>
    <xf numFmtId="167" fontId="10" fillId="2" borderId="2" xfId="0" applyNumberFormat="1" applyFont="1" applyFill="1" applyBorder="1" applyAlignment="1">
      <alignment horizontal="center" vertical="center"/>
    </xf>
    <xf numFmtId="3" fontId="10" fillId="0" borderId="2" xfId="0" applyNumberFormat="1" applyFont="1" applyBorder="1" applyAlignment="1">
      <alignment horizontal="center" vertical="center"/>
    </xf>
    <xf numFmtId="0" fontId="6" fillId="0" borderId="0" xfId="0" applyFont="1" applyAlignment="1">
      <alignment horizontal="center" vertical="center"/>
    </xf>
    <xf numFmtId="164" fontId="6" fillId="0" borderId="0" xfId="0" applyNumberFormat="1" applyFont="1" applyAlignment="1">
      <alignment vertical="center"/>
    </xf>
    <xf numFmtId="164" fontId="14" fillId="0" borderId="0" xfId="0" applyNumberFormat="1" applyFont="1" applyAlignment="1">
      <alignment vertical="center"/>
    </xf>
    <xf numFmtId="164" fontId="6" fillId="0" borderId="0" xfId="0" applyNumberFormat="1" applyFont="1" applyAlignment="1">
      <alignment horizontal="left" vertical="center" wrapText="1"/>
    </xf>
    <xf numFmtId="165" fontId="14" fillId="0" borderId="2" xfId="0" applyNumberFormat="1" applyFont="1" applyBorder="1" applyAlignment="1">
      <alignment horizontal="center" vertical="center"/>
    </xf>
    <xf numFmtId="0" fontId="15" fillId="0" borderId="0" xfId="0" applyFont="1" applyAlignment="1">
      <alignment horizontal="left"/>
    </xf>
    <xf numFmtId="164" fontId="16" fillId="0" borderId="2" xfId="0" applyNumberFormat="1" applyFont="1" applyBorder="1" applyAlignment="1">
      <alignment horizontal="center" vertical="center" wrapText="1"/>
    </xf>
    <xf numFmtId="10" fontId="16" fillId="0" borderId="2" xfId="2" applyNumberFormat="1" applyFont="1" applyBorder="1" applyAlignment="1">
      <alignment horizontal="center" vertical="center" wrapText="1"/>
    </xf>
    <xf numFmtId="164" fontId="10" fillId="0" borderId="0" xfId="0" applyNumberFormat="1" applyFont="1" applyAlignment="1">
      <alignment horizontal="center" vertical="center"/>
    </xf>
    <xf numFmtId="166" fontId="15" fillId="0" borderId="0" xfId="1" applyFont="1" applyAlignment="1">
      <alignment horizontal="left"/>
    </xf>
    <xf numFmtId="166" fontId="1" fillId="0" borderId="0" xfId="1" applyFont="1" applyAlignment="1">
      <alignment vertical="center"/>
    </xf>
    <xf numFmtId="166" fontId="0" fillId="0" borderId="0" xfId="1" applyFont="1"/>
    <xf numFmtId="168" fontId="1" fillId="0" borderId="0" xfId="1" applyNumberFormat="1" applyFont="1" applyAlignment="1">
      <alignment vertical="center"/>
    </xf>
    <xf numFmtId="0" fontId="15" fillId="0" borderId="7" xfId="0" applyFont="1" applyBorder="1"/>
    <xf numFmtId="0" fontId="15" fillId="0" borderId="0" xfId="0" applyFont="1"/>
    <xf numFmtId="0" fontId="20" fillId="0" borderId="0" xfId="0" applyFont="1" applyAlignment="1">
      <alignment wrapText="1"/>
    </xf>
    <xf numFmtId="4" fontId="20" fillId="0" borderId="2" xfId="0" applyNumberFormat="1" applyFont="1" applyBorder="1" applyAlignment="1">
      <alignment horizontal="center" vertical="center"/>
    </xf>
    <xf numFmtId="169" fontId="20" fillId="0" borderId="2" xfId="0" applyNumberFormat="1" applyFont="1" applyBorder="1" applyAlignment="1">
      <alignment horizontal="center" vertical="center"/>
    </xf>
    <xf numFmtId="0" fontId="1" fillId="0" borderId="0" xfId="0" applyFont="1" applyAlignment="1">
      <alignment wrapText="1"/>
    </xf>
    <xf numFmtId="168" fontId="1" fillId="0" borderId="0" xfId="1" applyNumberFormat="1" applyFont="1"/>
    <xf numFmtId="166" fontId="1" fillId="0" borderId="0" xfId="1" applyFont="1" applyAlignment="1">
      <alignment wrapText="1"/>
    </xf>
    <xf numFmtId="0" fontId="1" fillId="0" borderId="0" xfId="0" applyFont="1" applyAlignment="1">
      <alignment horizontal="left"/>
    </xf>
    <xf numFmtId="4" fontId="20" fillId="0" borderId="2" xfId="3" applyNumberFormat="1" applyFont="1" applyBorder="1" applyAlignment="1">
      <alignment horizontal="center" vertical="center"/>
    </xf>
    <xf numFmtId="170" fontId="15" fillId="0" borderId="0" xfId="0" applyNumberFormat="1" applyFont="1" applyAlignment="1">
      <alignment horizontal="left"/>
    </xf>
    <xf numFmtId="4" fontId="21" fillId="0" borderId="2" xfId="0" applyNumberFormat="1" applyFont="1" applyBorder="1" applyAlignment="1">
      <alignment horizontal="center" vertical="center"/>
    </xf>
    <xf numFmtId="171" fontId="1" fillId="0" borderId="0" xfId="2" applyNumberFormat="1" applyFont="1" applyAlignment="1">
      <alignment vertical="center"/>
    </xf>
    <xf numFmtId="166" fontId="1" fillId="0" borderId="0" xfId="1" applyFont="1"/>
    <xf numFmtId="0" fontId="22" fillId="0" borderId="0" xfId="0" applyFont="1"/>
    <xf numFmtId="4" fontId="1" fillId="0" borderId="0" xfId="0" applyNumberFormat="1" applyFont="1"/>
    <xf numFmtId="172" fontId="1" fillId="0" borderId="0" xfId="2" applyNumberFormat="1" applyFont="1"/>
    <xf numFmtId="10" fontId="1" fillId="0" borderId="0" xfId="0" applyNumberFormat="1" applyFont="1"/>
    <xf numFmtId="172" fontId="20" fillId="0" borderId="2" xfId="2" applyNumberFormat="1" applyFont="1" applyBorder="1" applyAlignment="1">
      <alignment horizontal="center" vertical="center"/>
    </xf>
    <xf numFmtId="173" fontId="1" fillId="0" borderId="2" xfId="1" applyNumberFormat="1" applyFont="1" applyBorder="1" applyAlignment="1">
      <alignment horizontal="center" vertical="center"/>
    </xf>
    <xf numFmtId="173" fontId="0" fillId="0" borderId="0" xfId="0" applyNumberFormat="1"/>
    <xf numFmtId="173" fontId="10" fillId="0" borderId="0" xfId="0" applyNumberFormat="1" applyFont="1" applyAlignment="1">
      <alignment horizontal="center" vertical="center"/>
    </xf>
    <xf numFmtId="0" fontId="15" fillId="0" borderId="0" xfId="0" applyFont="1" applyAlignment="1">
      <alignment horizontal="left" vertical="center" wrapText="1"/>
    </xf>
    <xf numFmtId="166" fontId="24" fillId="0" borderId="0" xfId="1" applyFont="1" applyAlignment="1">
      <alignment horizontal="left"/>
    </xf>
    <xf numFmtId="0" fontId="24" fillId="0" borderId="0" xfId="0" applyFont="1" applyAlignment="1">
      <alignment horizontal="left"/>
    </xf>
    <xf numFmtId="0" fontId="23" fillId="0" borderId="0" xfId="0" applyFont="1" applyAlignment="1">
      <alignment horizontal="center" vertical="center"/>
    </xf>
    <xf numFmtId="166" fontId="25" fillId="0" borderId="7" xfId="1" applyFont="1" applyBorder="1" applyAlignment="1">
      <alignment horizontal="center"/>
    </xf>
    <xf numFmtId="173" fontId="20" fillId="0" borderId="2" xfId="0" applyNumberFormat="1" applyFont="1" applyBorder="1" applyAlignment="1">
      <alignment horizontal="center" vertical="center"/>
    </xf>
    <xf numFmtId="164" fontId="26" fillId="0" borderId="0" xfId="0" applyNumberFormat="1" applyFont="1" applyAlignment="1">
      <alignment horizontal="left" vertical="center" wrapText="1"/>
    </xf>
    <xf numFmtId="166" fontId="25" fillId="0" borderId="0" xfId="1" applyFont="1" applyAlignment="1">
      <alignment horizontal="center"/>
    </xf>
    <xf numFmtId="173" fontId="1" fillId="0" borderId="0" xfId="1" applyNumberFormat="1" applyFont="1" applyAlignment="1">
      <alignment horizontal="center" vertical="center"/>
    </xf>
    <xf numFmtId="173" fontId="7" fillId="0" borderId="0" xfId="1" applyNumberFormat="1" applyFont="1" applyAlignment="1">
      <alignment horizontal="center" vertical="center"/>
    </xf>
    <xf numFmtId="173" fontId="11" fillId="0" borderId="0" xfId="1" applyNumberFormat="1"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173" fontId="6" fillId="0" borderId="0" xfId="0" applyNumberFormat="1" applyFont="1" applyAlignment="1">
      <alignment horizontal="center" vertical="center"/>
    </xf>
    <xf numFmtId="4" fontId="0" fillId="0" borderId="0" xfId="0" applyNumberFormat="1"/>
    <xf numFmtId="173" fontId="14" fillId="0" borderId="0" xfId="0" applyNumberFormat="1" applyFont="1" applyAlignment="1">
      <alignment horizontal="center" vertical="center"/>
    </xf>
    <xf numFmtId="174" fontId="15" fillId="0" borderId="0" xfId="1" applyNumberFormat="1" applyFont="1" applyAlignment="1">
      <alignment horizontal="left"/>
    </xf>
    <xf numFmtId="165" fontId="15" fillId="0" borderId="0" xfId="0" applyNumberFormat="1" applyFont="1" applyAlignment="1">
      <alignment horizontal="left"/>
    </xf>
    <xf numFmtId="0" fontId="27" fillId="0" borderId="0" xfId="0" applyFont="1"/>
    <xf numFmtId="0" fontId="3" fillId="0" borderId="0" xfId="0" applyFont="1"/>
    <xf numFmtId="175" fontId="3" fillId="0" borderId="0" xfId="0" applyNumberFormat="1" applyFont="1"/>
    <xf numFmtId="43" fontId="3" fillId="0" borderId="0" xfId="0" applyNumberFormat="1" applyFont="1"/>
    <xf numFmtId="43" fontId="3" fillId="0" borderId="0" xfId="1" applyNumberFormat="1" applyFont="1" applyAlignment="1">
      <alignment horizontal="center"/>
    </xf>
    <xf numFmtId="0" fontId="28" fillId="0" borderId="0" xfId="0" applyFont="1"/>
    <xf numFmtId="0" fontId="3" fillId="0" borderId="0" xfId="0" applyFont="1" applyAlignment="1">
      <alignment horizontal="left" vertical="center" wrapText="1"/>
    </xf>
    <xf numFmtId="176" fontId="3" fillId="0" borderId="0" xfId="0" applyNumberFormat="1" applyFont="1"/>
    <xf numFmtId="164" fontId="5" fillId="2" borderId="0" xfId="0" applyNumberFormat="1" applyFont="1" applyFill="1" applyAlignment="1">
      <alignment vertical="center"/>
    </xf>
    <xf numFmtId="43" fontId="3" fillId="0" borderId="0" xfId="0" applyNumberFormat="1" applyFont="1" applyAlignment="1">
      <alignment vertical="center"/>
    </xf>
    <xf numFmtId="165" fontId="8" fillId="0" borderId="0" xfId="0" applyNumberFormat="1" applyFont="1" applyAlignment="1">
      <alignment horizontal="left" vertical="center"/>
    </xf>
    <xf numFmtId="165" fontId="3" fillId="0" borderId="0" xfId="0" applyNumberFormat="1" applyFont="1" applyAlignment="1">
      <alignment vertical="center"/>
    </xf>
    <xf numFmtId="165" fontId="0" fillId="0" borderId="0" xfId="0" applyNumberFormat="1"/>
    <xf numFmtId="165" fontId="25" fillId="0" borderId="7" xfId="1" applyNumberFormat="1" applyFont="1" applyBorder="1" applyAlignment="1">
      <alignment horizontal="center"/>
    </xf>
    <xf numFmtId="165" fontId="15" fillId="0" borderId="0" xfId="0" applyNumberFormat="1" applyFont="1"/>
    <xf numFmtId="9" fontId="1" fillId="0" borderId="0" xfId="2" applyFont="1"/>
    <xf numFmtId="0" fontId="30" fillId="0" borderId="0" xfId="0" applyFont="1"/>
    <xf numFmtId="0" fontId="33" fillId="0" borderId="16" xfId="0" applyFont="1" applyBorder="1"/>
    <xf numFmtId="177" fontId="33" fillId="0" borderId="2" xfId="0" applyNumberFormat="1" applyFont="1" applyBorder="1" applyAlignment="1">
      <alignment horizontal="right"/>
    </xf>
    <xf numFmtId="177" fontId="33" fillId="0" borderId="2" xfId="0" applyNumberFormat="1" applyFont="1" applyBorder="1"/>
    <xf numFmtId="0" fontId="34" fillId="0" borderId="2" xfId="0" applyFont="1" applyBorder="1" applyAlignment="1">
      <alignment horizontal="center"/>
    </xf>
    <xf numFmtId="178" fontId="34" fillId="0" borderId="2" xfId="0" applyNumberFormat="1" applyFont="1" applyBorder="1" applyAlignment="1">
      <alignment horizontal="center"/>
    </xf>
    <xf numFmtId="0" fontId="34" fillId="0" borderId="18" xfId="0" applyFont="1" applyBorder="1" applyAlignment="1">
      <alignment horizontal="center"/>
    </xf>
    <xf numFmtId="0" fontId="34" fillId="0" borderId="19" xfId="0" applyFont="1" applyBorder="1"/>
    <xf numFmtId="177" fontId="34" fillId="0" borderId="20" xfId="0" applyNumberFormat="1" applyFont="1" applyBorder="1"/>
    <xf numFmtId="4" fontId="34" fillId="0" borderId="20" xfId="0" applyNumberFormat="1" applyFont="1" applyBorder="1"/>
    <xf numFmtId="0" fontId="34" fillId="0" borderId="20" xfId="0" applyFont="1" applyBorder="1" applyAlignment="1">
      <alignment horizontal="center"/>
    </xf>
    <xf numFmtId="178" fontId="34" fillId="0" borderId="20" xfId="0" applyNumberFormat="1" applyFont="1" applyBorder="1" applyAlignment="1">
      <alignment horizontal="center"/>
    </xf>
    <xf numFmtId="1" fontId="34" fillId="0" borderId="20" xfId="0" applyNumberFormat="1" applyFont="1" applyBorder="1" applyAlignment="1">
      <alignment horizontal="center"/>
    </xf>
    <xf numFmtId="0" fontId="34" fillId="0" borderId="21" xfId="0" applyFont="1" applyBorder="1" applyAlignment="1">
      <alignment horizontal="center"/>
    </xf>
    <xf numFmtId="164" fontId="10" fillId="2" borderId="2" xfId="0" applyNumberFormat="1" applyFont="1" applyFill="1" applyBorder="1" applyAlignment="1">
      <alignment vertical="center"/>
    </xf>
    <xf numFmtId="9" fontId="1" fillId="0" borderId="0" xfId="0" applyNumberFormat="1" applyFont="1"/>
    <xf numFmtId="0" fontId="37" fillId="0" borderId="0" xfId="0" applyFont="1"/>
    <xf numFmtId="0" fontId="38" fillId="0" borderId="0" xfId="0" applyFont="1" applyAlignment="1">
      <alignment horizontal="left" vertical="center" indent="1" readingOrder="1"/>
    </xf>
    <xf numFmtId="167" fontId="10" fillId="0" borderId="2" xfId="0" applyNumberFormat="1" applyFont="1" applyBorder="1" applyAlignment="1">
      <alignment horizontal="center" vertical="center"/>
    </xf>
    <xf numFmtId="164" fontId="39" fillId="0" borderId="0" xfId="0" applyNumberFormat="1" applyFont="1" applyAlignment="1">
      <alignment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14" fontId="6" fillId="4" borderId="5" xfId="0" applyNumberFormat="1" applyFont="1" applyFill="1" applyBorder="1" applyAlignment="1">
      <alignment horizontal="center" vertical="center"/>
    </xf>
    <xf numFmtId="164" fontId="6" fillId="5" borderId="2" xfId="0" applyNumberFormat="1" applyFont="1" applyFill="1" applyBorder="1" applyAlignment="1">
      <alignment vertical="center"/>
    </xf>
    <xf numFmtId="165" fontId="6" fillId="5" borderId="2" xfId="0" applyNumberFormat="1" applyFont="1" applyFill="1" applyBorder="1" applyAlignment="1">
      <alignment horizontal="center" vertical="center"/>
    </xf>
    <xf numFmtId="10" fontId="6" fillId="5" borderId="2" xfId="2" applyNumberFormat="1" applyFont="1" applyFill="1" applyBorder="1" applyAlignment="1">
      <alignment horizontal="center" vertical="center"/>
    </xf>
    <xf numFmtId="164" fontId="17" fillId="5" borderId="2" xfId="0" applyNumberFormat="1" applyFont="1" applyFill="1" applyBorder="1" applyAlignment="1">
      <alignment horizontal="center" vertical="center" wrapText="1"/>
    </xf>
    <xf numFmtId="164" fontId="17" fillId="5" borderId="2" xfId="0" applyNumberFormat="1" applyFont="1" applyFill="1" applyBorder="1" applyAlignment="1">
      <alignment vertical="center" wrapText="1"/>
    </xf>
    <xf numFmtId="164" fontId="14" fillId="6" borderId="2" xfId="0" applyNumberFormat="1" applyFont="1" applyFill="1" applyBorder="1" applyAlignment="1">
      <alignment vertical="center"/>
    </xf>
    <xf numFmtId="165" fontId="7" fillId="6" borderId="2" xfId="0" applyNumberFormat="1" applyFont="1" applyFill="1" applyBorder="1" applyAlignment="1">
      <alignment horizontal="center" vertical="center"/>
    </xf>
    <xf numFmtId="164" fontId="18" fillId="6" borderId="2" xfId="0" applyNumberFormat="1" applyFont="1" applyFill="1" applyBorder="1" applyAlignment="1">
      <alignment horizontal="center" vertical="center" wrapText="1"/>
    </xf>
    <xf numFmtId="164" fontId="18" fillId="6" borderId="2" xfId="0" applyNumberFormat="1" applyFont="1" applyFill="1" applyBorder="1" applyAlignment="1">
      <alignment vertical="center" wrapText="1"/>
    </xf>
    <xf numFmtId="164" fontId="6" fillId="4" borderId="2" xfId="1" applyNumberFormat="1" applyFont="1" applyFill="1" applyBorder="1" applyAlignment="1">
      <alignment vertical="center"/>
    </xf>
    <xf numFmtId="0" fontId="11" fillId="4" borderId="2" xfId="0" applyFont="1" applyFill="1" applyBorder="1" applyAlignment="1">
      <alignment horizontal="center" vertical="center"/>
    </xf>
    <xf numFmtId="0" fontId="11" fillId="4" borderId="2" xfId="0" applyFont="1" applyFill="1" applyBorder="1" applyAlignment="1">
      <alignment horizontal="center" vertical="center" wrapText="1"/>
    </xf>
    <xf numFmtId="0" fontId="6" fillId="4" borderId="9" xfId="0" applyFont="1" applyFill="1" applyBorder="1" applyAlignment="1">
      <alignment horizontal="center" vertical="center"/>
    </xf>
    <xf numFmtId="173" fontId="6" fillId="5" borderId="2" xfId="0" applyNumberFormat="1" applyFont="1" applyFill="1" applyBorder="1" applyAlignment="1">
      <alignment horizontal="center" vertical="center"/>
    </xf>
    <xf numFmtId="173" fontId="11" fillId="5" borderId="2" xfId="1" applyNumberFormat="1" applyFont="1" applyFill="1" applyBorder="1" applyAlignment="1">
      <alignment horizontal="center" vertical="center"/>
    </xf>
    <xf numFmtId="173" fontId="7" fillId="6" borderId="2" xfId="1" applyNumberFormat="1" applyFont="1" applyFill="1" applyBorder="1" applyAlignment="1">
      <alignment horizontal="center" vertical="center"/>
    </xf>
    <xf numFmtId="173" fontId="14" fillId="6" borderId="2" xfId="0" applyNumberFormat="1" applyFont="1" applyFill="1" applyBorder="1" applyAlignment="1">
      <alignment horizontal="center" vertical="center"/>
    </xf>
    <xf numFmtId="164" fontId="40" fillId="0" borderId="0" xfId="0" applyNumberFormat="1" applyFont="1" applyAlignment="1">
      <alignment vertical="center"/>
    </xf>
    <xf numFmtId="166" fontId="4" fillId="5" borderId="0" xfId="0" applyNumberFormat="1" applyFont="1" applyFill="1" applyAlignment="1">
      <alignment horizontal="center" vertical="center"/>
    </xf>
    <xf numFmtId="0" fontId="4" fillId="4" borderId="0" xfId="0" applyFont="1" applyFill="1" applyAlignment="1">
      <alignment horizontal="center"/>
    </xf>
    <xf numFmtId="166" fontId="6" fillId="5" borderId="0" xfId="0" applyNumberFormat="1" applyFont="1" applyFill="1" applyAlignment="1">
      <alignment horizontal="center" vertical="center"/>
    </xf>
    <xf numFmtId="0" fontId="6" fillId="4" borderId="0" xfId="0" applyFont="1" applyFill="1" applyAlignment="1">
      <alignment horizontal="center"/>
    </xf>
    <xf numFmtId="17" fontId="17" fillId="5" borderId="2" xfId="0" applyNumberFormat="1" applyFont="1" applyFill="1" applyBorder="1" applyAlignment="1">
      <alignment horizontal="center" vertical="center"/>
    </xf>
    <xf numFmtId="0" fontId="17" fillId="4" borderId="2" xfId="0" applyFont="1" applyFill="1" applyBorder="1" applyAlignment="1">
      <alignment horizontal="left" vertical="center" wrapText="1"/>
    </xf>
    <xf numFmtId="4" fontId="20" fillId="6" borderId="2" xfId="0" applyNumberFormat="1" applyFont="1" applyFill="1" applyBorder="1" applyAlignment="1">
      <alignment horizontal="center" vertical="center"/>
    </xf>
    <xf numFmtId="0" fontId="6" fillId="5" borderId="2" xfId="0" applyFont="1" applyFill="1" applyBorder="1" applyAlignment="1">
      <alignment horizontal="center" vertical="center" wrapText="1"/>
    </xf>
    <xf numFmtId="0" fontId="40" fillId="0" borderId="0" xfId="0" applyFont="1" applyAlignment="1">
      <alignment horizontal="left" vertical="center" indent="1" readingOrder="1"/>
    </xf>
    <xf numFmtId="173" fontId="10" fillId="2" borderId="2" xfId="0"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165" fontId="10" fillId="2" borderId="2" xfId="0" applyNumberFormat="1" applyFont="1" applyFill="1" applyBorder="1" applyAlignment="1">
      <alignment horizontal="center" vertical="center"/>
    </xf>
    <xf numFmtId="169" fontId="7" fillId="2" borderId="2" xfId="0" applyNumberFormat="1" applyFont="1" applyFill="1" applyBorder="1" applyAlignment="1">
      <alignment horizontal="center"/>
    </xf>
    <xf numFmtId="179" fontId="7" fillId="2" borderId="2" xfId="2" applyNumberFormat="1" applyFont="1" applyFill="1" applyBorder="1" applyAlignment="1">
      <alignment horizontal="center"/>
    </xf>
    <xf numFmtId="164" fontId="5" fillId="2" borderId="2" xfId="0" applyNumberFormat="1" applyFont="1" applyFill="1" applyBorder="1" applyAlignment="1">
      <alignment vertical="center"/>
    </xf>
    <xf numFmtId="180" fontId="15" fillId="0" borderId="0" xfId="0" applyNumberFormat="1" applyFont="1" applyAlignment="1">
      <alignment horizontal="left"/>
    </xf>
    <xf numFmtId="181" fontId="10" fillId="0" borderId="2" xfId="0" applyNumberFormat="1" applyFont="1" applyBorder="1" applyAlignment="1">
      <alignment vertical="center"/>
    </xf>
    <xf numFmtId="182" fontId="10" fillId="0" borderId="2" xfId="0" applyNumberFormat="1" applyFont="1" applyBorder="1" applyAlignment="1">
      <alignment vertical="center"/>
    </xf>
    <xf numFmtId="183" fontId="10" fillId="0" borderId="2" xfId="0" applyNumberFormat="1" applyFont="1" applyBorder="1" applyAlignment="1">
      <alignment vertical="center"/>
    </xf>
    <xf numFmtId="184" fontId="10" fillId="0" borderId="2" xfId="0" applyNumberFormat="1" applyFont="1" applyBorder="1" applyAlignment="1">
      <alignment vertical="center"/>
    </xf>
    <xf numFmtId="185" fontId="10" fillId="0" borderId="2" xfId="0" applyNumberFormat="1" applyFont="1" applyBorder="1" applyAlignment="1">
      <alignment vertical="center"/>
    </xf>
    <xf numFmtId="186" fontId="10" fillId="0" borderId="2" xfId="0" applyNumberFormat="1" applyFont="1" applyBorder="1" applyAlignment="1">
      <alignment vertical="center"/>
    </xf>
    <xf numFmtId="187" fontId="10" fillId="2" borderId="2" xfId="0" applyNumberFormat="1" applyFont="1" applyFill="1" applyBorder="1" applyAlignment="1">
      <alignment vertical="center"/>
    </xf>
    <xf numFmtId="164" fontId="16" fillId="2" borderId="2" xfId="0" applyNumberFormat="1" applyFont="1" applyFill="1" applyBorder="1" applyAlignment="1">
      <alignment horizontal="center" vertical="center" wrapText="1"/>
    </xf>
    <xf numFmtId="10" fontId="16" fillId="2" borderId="2" xfId="2" applyNumberFormat="1" applyFont="1" applyFill="1" applyBorder="1" applyAlignment="1">
      <alignment horizontal="center" vertical="center" wrapText="1"/>
    </xf>
    <xf numFmtId="3" fontId="10" fillId="2" borderId="2" xfId="0" applyNumberFormat="1" applyFont="1" applyFill="1" applyBorder="1" applyAlignment="1">
      <alignment horizontal="center" vertical="center"/>
    </xf>
    <xf numFmtId="166" fontId="3" fillId="2" borderId="2" xfId="1" applyFont="1" applyFill="1" applyBorder="1" applyAlignment="1">
      <alignment horizontal="center" vertical="center"/>
    </xf>
    <xf numFmtId="164" fontId="5" fillId="0" borderId="2" xfId="0" applyNumberFormat="1" applyFont="1" applyBorder="1" applyAlignment="1">
      <alignment vertical="center"/>
    </xf>
    <xf numFmtId="44" fontId="1" fillId="0" borderId="0" xfId="8" applyFont="1"/>
    <xf numFmtId="2" fontId="1" fillId="0" borderId="0" xfId="8" applyNumberFormat="1" applyFont="1"/>
    <xf numFmtId="10" fontId="1" fillId="0" borderId="0" xfId="2" applyNumberFormat="1" applyFont="1"/>
    <xf numFmtId="0" fontId="12" fillId="2" borderId="0" xfId="0" applyFont="1" applyFill="1" applyAlignment="1">
      <alignment horizontal="center" vertical="center"/>
    </xf>
    <xf numFmtId="4" fontId="21" fillId="0" borderId="9" xfId="0" applyNumberFormat="1" applyFont="1" applyBorder="1" applyAlignment="1">
      <alignment horizontal="center" vertical="center"/>
    </xf>
    <xf numFmtId="4" fontId="20" fillId="6" borderId="9" xfId="0" applyNumberFormat="1" applyFont="1" applyFill="1" applyBorder="1" applyAlignment="1">
      <alignment horizontal="center" vertical="center"/>
    </xf>
    <xf numFmtId="0" fontId="1" fillId="0" borderId="0" xfId="0" quotePrefix="1" applyFont="1" applyAlignment="1">
      <alignment horizontal="left"/>
    </xf>
    <xf numFmtId="188" fontId="7" fillId="2" borderId="2" xfId="0" applyNumberFormat="1" applyFont="1" applyFill="1" applyBorder="1" applyAlignment="1">
      <alignment horizontal="center"/>
    </xf>
    <xf numFmtId="173" fontId="6" fillId="2" borderId="0" xfId="0" applyNumberFormat="1" applyFont="1" applyFill="1" applyAlignment="1">
      <alignment horizontal="center" vertical="center"/>
    </xf>
    <xf numFmtId="166" fontId="25" fillId="2" borderId="0" xfId="1" applyFont="1" applyFill="1" applyAlignment="1">
      <alignment horizontal="center"/>
    </xf>
    <xf numFmtId="2" fontId="15" fillId="2" borderId="0" xfId="0" applyNumberFormat="1" applyFont="1" applyFill="1"/>
    <xf numFmtId="0" fontId="15" fillId="2" borderId="0" xfId="0" applyFont="1" applyFill="1"/>
    <xf numFmtId="4" fontId="20" fillId="0" borderId="4" xfId="0" applyNumberFormat="1" applyFont="1" applyBorder="1" applyAlignment="1">
      <alignment horizontal="center" vertical="center"/>
    </xf>
    <xf numFmtId="173" fontId="20" fillId="0" borderId="4" xfId="0" applyNumberFormat="1" applyFont="1" applyBorder="1" applyAlignment="1">
      <alignment horizontal="center" vertical="center"/>
    </xf>
    <xf numFmtId="4" fontId="21" fillId="0" borderId="4" xfId="0" applyNumberFormat="1" applyFont="1" applyBorder="1" applyAlignment="1">
      <alignment horizontal="center" vertical="center"/>
    </xf>
    <xf numFmtId="169" fontId="20" fillId="0" borderId="4" xfId="0" applyNumberFormat="1" applyFont="1" applyBorder="1" applyAlignment="1">
      <alignment horizontal="center" vertical="center"/>
    </xf>
    <xf numFmtId="4" fontId="20" fillId="6" borderId="4" xfId="0" applyNumberFormat="1" applyFont="1" applyFill="1" applyBorder="1" applyAlignment="1">
      <alignment horizontal="center" vertical="center"/>
    </xf>
    <xf numFmtId="173" fontId="41" fillId="0" borderId="9" xfId="0" quotePrefix="1" applyNumberFormat="1" applyFont="1" applyBorder="1" applyAlignment="1">
      <alignment horizontal="center" vertical="center" wrapText="1"/>
    </xf>
    <xf numFmtId="0" fontId="38" fillId="7" borderId="0" xfId="0" applyFont="1" applyFill="1" applyAlignment="1">
      <alignment horizontal="left" vertical="center" indent="1" readingOrder="1"/>
    </xf>
    <xf numFmtId="0" fontId="0" fillId="7" borderId="0" xfId="0" applyFill="1"/>
    <xf numFmtId="0" fontId="23" fillId="2" borderId="0" xfId="0" applyFont="1" applyFill="1" applyAlignment="1">
      <alignment horizontal="center" vertical="center"/>
    </xf>
    <xf numFmtId="164" fontId="42" fillId="2" borderId="0" xfId="0" applyNumberFormat="1" applyFont="1" applyFill="1" applyAlignment="1">
      <alignment vertical="center"/>
    </xf>
    <xf numFmtId="164" fontId="42" fillId="0" borderId="0" xfId="0" applyNumberFormat="1" applyFont="1" applyAlignment="1">
      <alignment vertical="center"/>
    </xf>
    <xf numFmtId="166" fontId="3" fillId="0" borderId="2" xfId="1" applyFont="1" applyBorder="1" applyAlignment="1">
      <alignment horizontal="center" vertical="center"/>
    </xf>
    <xf numFmtId="2" fontId="15" fillId="0" borderId="0" xfId="2" applyNumberFormat="1" applyFont="1" applyAlignment="1">
      <alignment horizontal="left"/>
    </xf>
    <xf numFmtId="0" fontId="43" fillId="0" borderId="0" xfId="0" applyFont="1"/>
    <xf numFmtId="2" fontId="6" fillId="5" borderId="2" xfId="0" applyNumberFormat="1" applyFont="1" applyFill="1" applyBorder="1" applyAlignment="1">
      <alignment horizontal="center" vertical="center"/>
    </xf>
    <xf numFmtId="166" fontId="1" fillId="2" borderId="0" xfId="1" applyFont="1" applyFill="1"/>
    <xf numFmtId="0" fontId="1" fillId="2" borderId="0" xfId="0" applyFont="1" applyFill="1"/>
    <xf numFmtId="0" fontId="1" fillId="3" borderId="0" xfId="0" applyFont="1" applyFill="1"/>
    <xf numFmtId="43" fontId="1" fillId="0" borderId="0" xfId="0" applyNumberFormat="1" applyFont="1"/>
    <xf numFmtId="175" fontId="1" fillId="0" borderId="0" xfId="0" applyNumberFormat="1" applyFont="1"/>
    <xf numFmtId="189" fontId="6" fillId="5" borderId="2" xfId="0" applyNumberFormat="1" applyFont="1" applyFill="1" applyBorder="1" applyAlignment="1">
      <alignment horizontal="center" vertical="center"/>
    </xf>
    <xf numFmtId="164" fontId="42" fillId="0" borderId="2" xfId="0" applyNumberFormat="1" applyFont="1" applyBorder="1" applyAlignment="1">
      <alignment vertical="center"/>
    </xf>
    <xf numFmtId="9" fontId="10" fillId="0" borderId="2" xfId="2" applyFont="1" applyBorder="1" applyAlignment="1">
      <alignment vertical="center"/>
    </xf>
    <xf numFmtId="4" fontId="20" fillId="2" borderId="4" xfId="0" applyNumberFormat="1" applyFont="1" applyFill="1" applyBorder="1" applyAlignment="1">
      <alignment horizontal="center" vertical="center"/>
    </xf>
    <xf numFmtId="4" fontId="21" fillId="2" borderId="4" xfId="0" applyNumberFormat="1" applyFont="1" applyFill="1" applyBorder="1" applyAlignment="1">
      <alignment horizontal="center" vertical="center"/>
    </xf>
    <xf numFmtId="173" fontId="20" fillId="2" borderId="4" xfId="0" applyNumberFormat="1" applyFont="1" applyFill="1" applyBorder="1" applyAlignment="1">
      <alignment horizontal="center" vertical="center"/>
    </xf>
    <xf numFmtId="169" fontId="20" fillId="2" borderId="9" xfId="0" applyNumberFormat="1" applyFont="1" applyFill="1" applyBorder="1" applyAlignment="1">
      <alignment horizontal="center" vertical="center"/>
    </xf>
    <xf numFmtId="189" fontId="45" fillId="0" borderId="0" xfId="0" applyNumberFormat="1" applyFont="1"/>
    <xf numFmtId="10" fontId="20" fillId="6" borderId="8" xfId="2" applyNumberFormat="1" applyFont="1" applyFill="1" applyBorder="1" applyAlignment="1">
      <alignment horizontal="center" vertical="center"/>
    </xf>
    <xf numFmtId="10" fontId="20" fillId="6" borderId="10" xfId="2" applyNumberFormat="1" applyFont="1" applyFill="1" applyBorder="1" applyAlignment="1">
      <alignment horizontal="center" vertical="center"/>
    </xf>
    <xf numFmtId="173" fontId="41" fillId="0" borderId="9" xfId="0" quotePrefix="1" applyNumberFormat="1" applyFont="1" applyBorder="1" applyAlignment="1">
      <alignment horizontal="center" vertical="center"/>
    </xf>
    <xf numFmtId="169" fontId="20" fillId="0" borderId="9" xfId="0" applyNumberFormat="1" applyFont="1" applyBorder="1" applyAlignment="1">
      <alignment horizontal="center" vertical="center"/>
    </xf>
    <xf numFmtId="4" fontId="20" fillId="6" borderId="8" xfId="0" applyNumberFormat="1" applyFont="1" applyFill="1" applyBorder="1" applyAlignment="1">
      <alignment horizontal="center" vertical="center"/>
    </xf>
    <xf numFmtId="4" fontId="20" fillId="6" borderId="10" xfId="0" applyNumberFormat="1" applyFont="1" applyFill="1" applyBorder="1" applyAlignment="1">
      <alignment horizontal="center" vertical="center"/>
    </xf>
    <xf numFmtId="172" fontId="2" fillId="0" borderId="0" xfId="2" applyNumberFormat="1"/>
    <xf numFmtId="0" fontId="10" fillId="0" borderId="2" xfId="0" applyFont="1" applyBorder="1" applyAlignment="1">
      <alignment horizontal="center" vertical="center"/>
    </xf>
    <xf numFmtId="166" fontId="3" fillId="0" borderId="0" xfId="1" applyFont="1" applyAlignment="1">
      <alignment horizontal="center" vertical="center"/>
    </xf>
    <xf numFmtId="166" fontId="3" fillId="2" borderId="0" xfId="1" applyFont="1" applyFill="1" applyAlignment="1">
      <alignment horizontal="center" vertical="center"/>
    </xf>
    <xf numFmtId="3" fontId="1" fillId="2" borderId="2" xfId="0" applyNumberFormat="1" applyFont="1" applyFill="1" applyBorder="1" applyAlignment="1">
      <alignment horizontal="center" vertical="center" wrapText="1"/>
    </xf>
    <xf numFmtId="172" fontId="7" fillId="2" borderId="2" xfId="2" applyNumberFormat="1" applyFont="1" applyFill="1" applyBorder="1" applyAlignment="1">
      <alignment horizontal="center" vertical="center" wrapText="1"/>
    </xf>
    <xf numFmtId="4" fontId="1" fillId="2" borderId="2" xfId="0" applyNumberFormat="1" applyFont="1" applyFill="1" applyBorder="1" applyAlignment="1">
      <alignment horizontal="center" vertical="center" wrapText="1"/>
    </xf>
    <xf numFmtId="179" fontId="7" fillId="2" borderId="2" xfId="2" applyNumberFormat="1" applyFont="1" applyFill="1" applyBorder="1" applyAlignment="1">
      <alignment horizontal="center" vertical="center" wrapText="1"/>
    </xf>
    <xf numFmtId="17" fontId="17" fillId="5" borderId="4" xfId="0" applyNumberFormat="1" applyFont="1" applyFill="1" applyBorder="1" applyAlignment="1">
      <alignment horizontal="center" vertical="center"/>
    </xf>
    <xf numFmtId="4" fontId="20" fillId="0" borderId="8" xfId="0" applyNumberFormat="1" applyFont="1" applyBorder="1" applyAlignment="1">
      <alignment horizontal="center" vertical="center"/>
    </xf>
    <xf numFmtId="4" fontId="20" fillId="0" borderId="10" xfId="0" applyNumberFormat="1" applyFont="1" applyBorder="1" applyAlignment="1">
      <alignment horizontal="center" vertical="center"/>
    </xf>
    <xf numFmtId="164" fontId="1" fillId="2" borderId="2" xfId="0" applyNumberFormat="1" applyFont="1" applyFill="1" applyBorder="1" applyAlignment="1">
      <alignment vertical="center"/>
    </xf>
    <xf numFmtId="10" fontId="20" fillId="2" borderId="4" xfId="2" applyNumberFormat="1" applyFont="1" applyFill="1" applyBorder="1" applyAlignment="1">
      <alignment horizontal="center" vertical="center"/>
    </xf>
    <xf numFmtId="10" fontId="20" fillId="2" borderId="8" xfId="2" applyNumberFormat="1" applyFont="1" applyFill="1" applyBorder="1" applyAlignment="1">
      <alignment horizontal="center" vertical="center"/>
    </xf>
    <xf numFmtId="17" fontId="17" fillId="5" borderId="9" xfId="0" applyNumberFormat="1" applyFont="1" applyFill="1" applyBorder="1" applyAlignment="1">
      <alignment horizontal="center" vertical="center"/>
    </xf>
    <xf numFmtId="0" fontId="19" fillId="0" borderId="0" xfId="0" applyFont="1" applyAlignment="1">
      <alignment horizontal="left" vertical="center" wrapText="1"/>
    </xf>
    <xf numFmtId="164" fontId="8" fillId="0" borderId="0" xfId="0" applyNumberFormat="1" applyFont="1" applyAlignment="1">
      <alignment horizontal="left" vertical="center"/>
    </xf>
    <xf numFmtId="0" fontId="0" fillId="0" borderId="0" xfId="0"/>
    <xf numFmtId="165" fontId="0" fillId="0" borderId="0" xfId="0" applyNumberFormat="1"/>
    <xf numFmtId="0" fontId="6" fillId="4" borderId="1" xfId="0" applyFont="1" applyFill="1" applyBorder="1" applyAlignment="1">
      <alignment horizontal="center" vertical="center" wrapText="1"/>
    </xf>
    <xf numFmtId="0" fontId="0" fillId="0" borderId="3" xfId="0" applyBorder="1"/>
    <xf numFmtId="0" fontId="6" fillId="4" borderId="2" xfId="0" applyFont="1" applyFill="1" applyBorder="1" applyAlignment="1">
      <alignment horizontal="center" vertical="center"/>
    </xf>
    <xf numFmtId="0" fontId="0" fillId="0" borderId="5" xfId="0" applyBorder="1"/>
    <xf numFmtId="0" fontId="6" fillId="4" borderId="2" xfId="0"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164" fontId="6" fillId="5" borderId="3" xfId="0" applyNumberFormat="1" applyFont="1" applyFill="1" applyBorder="1" applyAlignment="1">
      <alignment horizontal="center" vertical="center" wrapText="1"/>
    </xf>
    <xf numFmtId="0" fontId="0" fillId="0" borderId="12" xfId="0" applyBorder="1"/>
    <xf numFmtId="0" fontId="15" fillId="0" borderId="0" xfId="0" applyFont="1" applyAlignment="1">
      <alignment horizontal="left"/>
    </xf>
    <xf numFmtId="164" fontId="6" fillId="5" borderId="5" xfId="0" applyNumberFormat="1" applyFont="1" applyFill="1" applyBorder="1" applyAlignment="1">
      <alignment horizontal="center" vertical="center" wrapText="1"/>
    </xf>
    <xf numFmtId="0" fontId="0" fillId="0" borderId="6" xfId="0" applyBorder="1"/>
    <xf numFmtId="0" fontId="0" fillId="0" borderId="10" xfId="0" applyBorder="1"/>
    <xf numFmtId="164" fontId="6" fillId="5" borderId="8" xfId="0" applyNumberFormat="1" applyFont="1" applyFill="1" applyBorder="1" applyAlignment="1">
      <alignment horizontal="center" vertical="center" wrapText="1"/>
    </xf>
    <xf numFmtId="164" fontId="3" fillId="0" borderId="0" xfId="0" applyNumberFormat="1" applyFont="1" applyAlignment="1">
      <alignment vertical="center"/>
    </xf>
    <xf numFmtId="0" fontId="1" fillId="0" borderId="0" xfId="0" applyFont="1"/>
    <xf numFmtId="0" fontId="6" fillId="5" borderId="0" xfId="0" applyFont="1" applyFill="1" applyAlignment="1">
      <alignment horizontal="center" vertical="center"/>
    </xf>
    <xf numFmtId="0" fontId="15" fillId="0" borderId="0" xfId="0" applyFont="1" applyAlignment="1">
      <alignment horizontal="left" vertical="center" wrapText="1"/>
    </xf>
    <xf numFmtId="164" fontId="4" fillId="5" borderId="6" xfId="0" applyNumberFormat="1" applyFont="1" applyFill="1" applyBorder="1" applyAlignment="1">
      <alignment horizontal="left" vertical="center"/>
    </xf>
    <xf numFmtId="164" fontId="4" fillId="4" borderId="1" xfId="0" applyNumberFormat="1" applyFont="1" applyFill="1" applyBorder="1" applyAlignment="1">
      <alignment horizontal="center" vertical="center" wrapText="1"/>
    </xf>
    <xf numFmtId="164" fontId="4" fillId="5" borderId="2" xfId="0" applyNumberFormat="1" applyFont="1" applyFill="1" applyBorder="1" applyAlignment="1">
      <alignment horizontal="left" vertical="center"/>
    </xf>
    <xf numFmtId="0" fontId="0" fillId="0" borderId="22" xfId="0" applyBorder="1"/>
    <xf numFmtId="0" fontId="0" fillId="0" borderId="9" xfId="0" applyBorder="1"/>
    <xf numFmtId="164" fontId="4"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wrapText="1"/>
    </xf>
    <xf numFmtId="164" fontId="19" fillId="0" borderId="0" xfId="0" applyNumberFormat="1" applyFont="1" applyAlignment="1">
      <alignment horizontal="left" vertical="center"/>
    </xf>
    <xf numFmtId="0" fontId="3" fillId="0" borderId="0" xfId="0" applyFont="1"/>
    <xf numFmtId="0" fontId="4" fillId="5" borderId="0" xfId="0" applyFont="1" applyFill="1" applyAlignment="1">
      <alignment horizontal="center" vertical="center"/>
    </xf>
    <xf numFmtId="0" fontId="3" fillId="0" borderId="0" xfId="0" applyFont="1" applyAlignment="1">
      <alignment horizontal="left" vertical="center" wrapText="1"/>
    </xf>
    <xf numFmtId="164" fontId="4" fillId="5" borderId="6" xfId="0" applyNumberFormat="1" applyFont="1" applyFill="1" applyBorder="1" applyAlignment="1">
      <alignment horizontal="center" vertical="center"/>
    </xf>
    <xf numFmtId="0" fontId="7" fillId="0" borderId="2" xfId="0" applyFont="1" applyBorder="1" applyAlignment="1">
      <alignment horizontal="left" vertical="center" wrapText="1"/>
    </xf>
    <xf numFmtId="0" fontId="0" fillId="0" borderId="7" xfId="0" applyBorder="1"/>
    <xf numFmtId="0" fontId="0" fillId="0" borderId="23" xfId="0" applyBorder="1"/>
    <xf numFmtId="0" fontId="0" fillId="0" borderId="11" xfId="0" applyBorder="1"/>
    <xf numFmtId="0" fontId="0" fillId="0" borderId="8" xfId="0" applyBorder="1"/>
    <xf numFmtId="0" fontId="6" fillId="5" borderId="2" xfId="0" applyFont="1" applyFill="1" applyBorder="1" applyAlignment="1">
      <alignment horizontal="center" vertical="center" wrapText="1"/>
    </xf>
    <xf numFmtId="164" fontId="29" fillId="0" borderId="0" xfId="0" applyNumberFormat="1" applyFont="1" applyAlignment="1">
      <alignment horizontal="left" vertical="center"/>
    </xf>
    <xf numFmtId="0" fontId="32" fillId="4" borderId="14"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4" borderId="18" xfId="0" applyFont="1" applyFill="1" applyBorder="1" applyAlignment="1">
      <alignment horizontal="center" vertical="center" wrapText="1"/>
    </xf>
    <xf numFmtId="0" fontId="0" fillId="0" borderId="17" xfId="0" applyBorder="1"/>
    <xf numFmtId="0" fontId="31" fillId="4" borderId="13" xfId="0" applyFont="1" applyFill="1" applyBorder="1" applyAlignment="1">
      <alignment horizontal="center" vertical="center"/>
    </xf>
    <xf numFmtId="0" fontId="0" fillId="0" borderId="24" xfId="0" applyBorder="1"/>
    <xf numFmtId="0" fontId="0" fillId="0" borderId="25" xfId="0" applyBorder="1"/>
    <xf numFmtId="0" fontId="32" fillId="4" borderId="15" xfId="0" applyFont="1" applyFill="1" applyBorder="1" applyAlignment="1">
      <alignment horizontal="center" vertical="center" wrapText="1"/>
    </xf>
    <xf numFmtId="0" fontId="0" fillId="0" borderId="26" xfId="0" applyBorder="1"/>
    <xf numFmtId="0" fontId="0" fillId="0" borderId="27" xfId="0" applyBorder="1"/>
  </cellXfs>
  <cellStyles count="102">
    <cellStyle name="Millares" xfId="1" builtinId="3"/>
    <cellStyle name="Millares 10" xfId="3" xr:uid="{00000000-0005-0000-0000-000003000000}"/>
    <cellStyle name="Millares 10 2" xfId="9" xr:uid="{00000000-0005-0000-0000-000009000000}"/>
    <cellStyle name="Millares 10 2 2" xfId="24" xr:uid="{00000000-0005-0000-0000-000018000000}"/>
    <cellStyle name="Millares 10 2 2 2" xfId="49" xr:uid="{EF403010-B012-4FBA-9C0F-61959B6A9DFE}"/>
    <cellStyle name="Millares 10 2 2 2 2" xfId="80" xr:uid="{6872F6CA-2612-400C-96EA-58C4396926F5}"/>
    <cellStyle name="Millares 10 2 2 3" xfId="66" xr:uid="{E6FE2E27-D5C1-4D97-AFBF-B508E2D84B4A}"/>
    <cellStyle name="Millares 10 2 2 4" xfId="97" xr:uid="{6054515C-338C-4A84-A0B8-3E0776D723F9}"/>
    <cellStyle name="Millares 10 2 3" xfId="36" xr:uid="{0E49FBD6-4A24-4E0F-B82E-229BCA4A62EE}"/>
    <cellStyle name="Millares 10 2 3 2" xfId="73" xr:uid="{027F1D96-5FD3-46E6-B99D-86BDEF79EFDC}"/>
    <cellStyle name="Millares 10 2 4" xfId="59" xr:uid="{6BE27D0C-516D-4D0F-98AC-5E6529D0D64D}"/>
    <cellStyle name="Millares 10 2 5" xfId="90" xr:uid="{BE83F701-4533-4141-91A7-8488A6C084C8}"/>
    <cellStyle name="Millares 10 3" xfId="15" xr:uid="{00000000-0005-0000-0000-00000F000000}"/>
    <cellStyle name="Millares 10 3 2" xfId="28" xr:uid="{00000000-0005-0000-0000-00001C000000}"/>
    <cellStyle name="Millares 10 3 2 2" xfId="53" xr:uid="{E40DD0B9-3DA6-4EAD-A7ED-D034D34710A8}"/>
    <cellStyle name="Millares 10 3 2 2 2" xfId="84" xr:uid="{12E88FDA-2368-4181-B3ED-A2E5DCDD998B}"/>
    <cellStyle name="Millares 10 3 2 3" xfId="70" xr:uid="{AFE1125D-E4B2-4BAC-B619-A93F719CED35}"/>
    <cellStyle name="Millares 10 3 2 4" xfId="101" xr:uid="{DEE324ED-F86F-413A-A00D-32DFCA8F8371}"/>
    <cellStyle name="Millares 10 3 3" xfId="41" xr:uid="{308BB9FB-14AC-47D3-A5C3-490C70A82768}"/>
    <cellStyle name="Millares 10 3 3 2" xfId="77" xr:uid="{000808D0-3CEA-4B56-BE6A-9AB53256B963}"/>
    <cellStyle name="Millares 10 3 4" xfId="63" xr:uid="{4127E7B1-0680-4ED6-BCF6-C73E8DFF592B}"/>
    <cellStyle name="Millares 10 3 5" xfId="94" xr:uid="{1EA7B191-A089-4819-A379-D89649C7366E}"/>
    <cellStyle name="Millares 10 4" xfId="7" xr:uid="{00000000-0005-0000-0000-000007000000}"/>
    <cellStyle name="Millares 10 4 2" xfId="34" xr:uid="{ADAD6221-50B7-4863-AD2E-3BCB602D2708}"/>
    <cellStyle name="Millares 10 5" xfId="22" xr:uid="{00000000-0005-0000-0000-000016000000}"/>
    <cellStyle name="Millares 10 5 2" xfId="47" xr:uid="{C6B01F79-0093-41F2-B3EC-3EE62BB2DD61}"/>
    <cellStyle name="Millares 10 5 2 2" xfId="78" xr:uid="{59453A1C-ACA8-4421-A2C8-577CBE766DAF}"/>
    <cellStyle name="Millares 10 5 3" xfId="64" xr:uid="{F56C0A9B-B574-44E5-81AF-FAEF4C2E27FA}"/>
    <cellStyle name="Millares 10 5 4" xfId="95" xr:uid="{5C792D0D-51A0-40CE-A533-0060CAA09CA0}"/>
    <cellStyle name="Millares 10 6" xfId="31" xr:uid="{7EF34AC6-6929-40CE-AFF9-6A58D6946791}"/>
    <cellStyle name="Millares 10 6 2" xfId="71" xr:uid="{32D4D0E3-C2AC-499F-A7E6-1A544D3DD389}"/>
    <cellStyle name="Millares 10 7" xfId="56" xr:uid="{F45A397E-25DC-492B-87EE-F80D7369B0E7}"/>
    <cellStyle name="Millares 10 7 2" xfId="87" xr:uid="{D4075037-DC82-47EE-8F9D-63562068D9DF}"/>
    <cellStyle name="Millares 10 8" xfId="57" xr:uid="{4E03CFBC-F44F-4D94-96EA-69B549080E7F}"/>
    <cellStyle name="Millares 10 9" xfId="88" xr:uid="{6FE103B9-EA0B-490E-9A79-788406979F4B}"/>
    <cellStyle name="Millares 2" xfId="13" xr:uid="{00000000-0005-0000-0000-00000D000000}"/>
    <cellStyle name="Millares 2 2" xfId="6" xr:uid="{00000000-0005-0000-0000-000006000000}"/>
    <cellStyle name="Millares 2 2 2" xfId="33" xr:uid="{E16FE7E9-F0D8-489B-961A-F13347CD6091}"/>
    <cellStyle name="Millares 2 3" xfId="17" xr:uid="{00000000-0005-0000-0000-000011000000}"/>
    <cellStyle name="Millares 2 3 2" xfId="43" xr:uid="{2DFC4F66-E2B7-474D-9C7B-F6AD9B7627B8}"/>
    <cellStyle name="Millares 2 4" xfId="26" xr:uid="{00000000-0005-0000-0000-00001A000000}"/>
    <cellStyle name="Millares 2 4 2" xfId="51" xr:uid="{B9EC7937-840C-4815-AED1-743DC5F9B6C5}"/>
    <cellStyle name="Millares 2 4 2 2" xfId="82" xr:uid="{23818ADB-AAA5-4FED-A6B0-38CDD1518FDD}"/>
    <cellStyle name="Millares 2 4 3" xfId="68" xr:uid="{8E679650-3EF4-4ABC-BAD1-95D72EC372F4}"/>
    <cellStyle name="Millares 2 4 4" xfId="99" xr:uid="{1370FF00-8793-46F6-AD29-009D34328CD1}"/>
    <cellStyle name="Millares 2 5" xfId="39" xr:uid="{ADE1BE4C-822D-46B8-BF80-F40D88A71C4C}"/>
    <cellStyle name="Millares 2 5 2" xfId="75" xr:uid="{89CDB01A-0C9C-4E80-8630-57BCB281F09D}"/>
    <cellStyle name="Millares 2 6" xfId="54" xr:uid="{7A56D51E-2584-4F7C-97BB-260AC1E29A73}"/>
    <cellStyle name="Millares 2 6 2" xfId="85" xr:uid="{96EE69E7-CDC5-431D-BEB7-832B57EDDAB9}"/>
    <cellStyle name="Millares 2 7" xfId="61" xr:uid="{6A19DDF0-F367-4923-9419-A3F80D49700C}"/>
    <cellStyle name="Millares 2 8" xfId="92" xr:uid="{C60797DB-FA5A-4F9B-B3CB-78179A1EFE2C}"/>
    <cellStyle name="Millares 3" xfId="11" xr:uid="{00000000-0005-0000-0000-00000B000000}"/>
    <cellStyle name="Millares 3 2" xfId="18" xr:uid="{00000000-0005-0000-0000-000012000000}"/>
    <cellStyle name="Millares 3 2 2" xfId="44" xr:uid="{F9F6A5EA-D385-4D75-AB61-5B59FAFAA5E2}"/>
    <cellStyle name="Millares 3 3" xfId="38" xr:uid="{B89CE7C9-303C-43AC-9316-0644B0581FC4}"/>
    <cellStyle name="Millares 4" xfId="14" xr:uid="{00000000-0005-0000-0000-00000E000000}"/>
    <cellStyle name="Millares 4 2" xfId="27" xr:uid="{00000000-0005-0000-0000-00001B000000}"/>
    <cellStyle name="Millares 4 2 2" xfId="52" xr:uid="{9C314902-A857-4985-AEE6-E5F1F96D6A07}"/>
    <cellStyle name="Millares 4 2 2 2" xfId="83" xr:uid="{A4F48AEF-3A6C-4799-B9B1-E0AF415C8ED7}"/>
    <cellStyle name="Millares 4 2 3" xfId="69" xr:uid="{48C49A7C-AE10-43D5-A87B-62A7984274C2}"/>
    <cellStyle name="Millares 4 2 4" xfId="100" xr:uid="{BF94D046-4B66-493F-9B0C-14E00905A47D}"/>
    <cellStyle name="Millares 4 3" xfId="40" xr:uid="{254F60EC-509A-4BE5-BE92-423F7BD05347}"/>
    <cellStyle name="Millares 4 3 2" xfId="76" xr:uid="{32A3919C-8BA2-4F66-9EA2-F1F3B68ECCC6}"/>
    <cellStyle name="Millares 4 4" xfId="62" xr:uid="{4B8CA7DD-5586-4E1B-9668-0E2900EF520D}"/>
    <cellStyle name="Millares 4 5" xfId="93" xr:uid="{ED7AECDE-4F4A-4B58-86AE-B15B34164368}"/>
    <cellStyle name="Millares 5" xfId="16" xr:uid="{00000000-0005-0000-0000-000010000000}"/>
    <cellStyle name="Millares 5 2" xfId="42" xr:uid="{6536FD42-5EB3-4AE7-A60E-53FC29AFEC8D}"/>
    <cellStyle name="Millares 6" xfId="29" xr:uid="{9958C4ED-6DF6-45B9-A32B-746F80D351A7}"/>
    <cellStyle name="Millares 7" xfId="55" xr:uid="{F2264FA3-3908-4FA1-88C2-DA7341FAA8C7}"/>
    <cellStyle name="Millares 7 2" xfId="86" xr:uid="{2743DA03-7B88-4899-8259-D732E49CCF8A}"/>
    <cellStyle name="Millares 8" xfId="5" xr:uid="{00000000-0005-0000-0000-000005000000}"/>
    <cellStyle name="Millares 8 2" xfId="32" xr:uid="{5CC1AEC5-CF21-49E4-BD84-FC24C4C2CC7A}"/>
    <cellStyle name="Moneda" xfId="8" builtinId="4"/>
    <cellStyle name="Moneda 2" xfId="10" xr:uid="{00000000-0005-0000-0000-00000A000000}"/>
    <cellStyle name="Moneda 2 2" xfId="25" xr:uid="{00000000-0005-0000-0000-000019000000}"/>
    <cellStyle name="Moneda 2 2 2" xfId="50" xr:uid="{7630ABB3-3AA8-4FBB-9CB0-662EC2E96920}"/>
    <cellStyle name="Moneda 2 2 2 2" xfId="81" xr:uid="{7CB67A6F-BBF6-44EC-A94B-AF2283EE043F}"/>
    <cellStyle name="Moneda 2 2 3" xfId="67" xr:uid="{D0B45115-21B2-491F-8A73-95EBDF379DFE}"/>
    <cellStyle name="Moneda 2 2 4" xfId="98" xr:uid="{23A4A6EC-8675-4B55-9295-E617347AFA86}"/>
    <cellStyle name="Moneda 2 3" xfId="37" xr:uid="{76C3D9F0-94B8-4D38-AE4E-2DA3C9C163D6}"/>
    <cellStyle name="Moneda 2 3 2" xfId="74" xr:uid="{52B55830-9648-4310-B698-19A5D1DDB514}"/>
    <cellStyle name="Moneda 2 4" xfId="60" xr:uid="{E0660497-C929-4832-8642-1CAF3463FE6E}"/>
    <cellStyle name="Moneda 2 5" xfId="91" xr:uid="{4811CADB-845D-4C73-A5AA-EC352767FF18}"/>
    <cellStyle name="Moneda 3" xfId="23" xr:uid="{00000000-0005-0000-0000-000017000000}"/>
    <cellStyle name="Moneda 3 2" xfId="48" xr:uid="{829EC5CC-3D81-4DB9-A6F1-D0AC4B0CE52B}"/>
    <cellStyle name="Moneda 3 2 2" xfId="79" xr:uid="{B4907B2B-B1E9-4B6F-A242-3D193789102D}"/>
    <cellStyle name="Moneda 3 3" xfId="65" xr:uid="{3265492C-C72F-4FC8-A9C0-CCBF24DBE24E}"/>
    <cellStyle name="Moneda 3 4" xfId="96" xr:uid="{5A5A4D19-BFBB-47BD-BDCC-B1DF03BCF11E}"/>
    <cellStyle name="Moneda 4" xfId="35" xr:uid="{81B24C0C-F735-43EB-B8D6-A83CC1259E79}"/>
    <cellStyle name="Moneda 4 2" xfId="72" xr:uid="{2BF95FBF-4929-4F21-A38D-FEA6CA118ADB}"/>
    <cellStyle name="Moneda 5" xfId="58" xr:uid="{AB9AEEC1-8987-474F-B716-6D8C868BC0B4}"/>
    <cellStyle name="Moneda 6" xfId="89" xr:uid="{DBF644CD-B265-4BF8-A5F1-F52F5B6C3D20}"/>
    <cellStyle name="Normal" xfId="0" builtinId="0"/>
    <cellStyle name="Normal 2" xfId="12" xr:uid="{00000000-0005-0000-0000-00000C000000}"/>
    <cellStyle name="Normal 3" xfId="4" xr:uid="{00000000-0005-0000-0000-000004000000}"/>
    <cellStyle name="Normal 3 2" xfId="19" xr:uid="{00000000-0005-0000-0000-000013000000}"/>
    <cellStyle name="Porcentaje" xfId="2" builtinId="5"/>
    <cellStyle name="Porcentaje 2" xfId="21" xr:uid="{00000000-0005-0000-0000-000015000000}"/>
    <cellStyle name="Porcentaje 2 2" xfId="46" xr:uid="{05D31BC7-68EB-4E28-80BB-86A758CCEE9E}"/>
    <cellStyle name="Porcentaje 3" xfId="20" xr:uid="{00000000-0005-0000-0000-000014000000}"/>
    <cellStyle name="Porcentaje 3 2" xfId="45" xr:uid="{9635D626-B15F-4068-B604-573ACC85723C}"/>
    <cellStyle name="Porcentaje 4" xfId="30" xr:uid="{AB7DA806-EF08-46DF-A281-06115B3C0904}"/>
  </cellStyles>
  <dxfs count="0"/>
  <tableStyles count="1" defaultTableStyle="TableStyleMedium2" defaultPivotStyle="PivotStyleLight16">
    <tableStyle name="Invisible" pivot="0" table="0" count="0" xr9:uid="{00000000-0011-0000-FFFF-FFFF00000000}"/>
  </tableStyles>
  <colors>
    <mruColors>
      <color rgb="FF3CB4E5"/>
      <color rgb="FF000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l">
              <a:defRPr sz="1400" b="0" i="0" strike="noStrike" kern="1200" spc="0" baseline="0">
                <a:solidFill>
                  <a:schemeClr val="tx1">
                    <a:lumMod val="65000"/>
                    <a:lumOff val="35000"/>
                  </a:schemeClr>
                </a:solidFill>
                <a:latin typeface="+mn-lt"/>
                <a:ea typeface="+mn-ea"/>
                <a:cs typeface="+mn-cs"/>
              </a:defRPr>
            </a:pPr>
            <a:r>
              <a:rPr lang="es-AR" sz="1400" b="1" i="0" baseline="0">
                <a:solidFill>
                  <a:schemeClr val="tx1"/>
                </a:solidFill>
                <a:latin typeface="Arial Narrow" panose="020B0606020202030204" pitchFamily="34" charset="0"/>
              </a:rPr>
              <a:t>DEUDA TOTAL ADMINISTRACIÓN CENTRAL MEDIDA EN TÉRMINOS REALES Y EN DÓLARES</a:t>
            </a:r>
            <a:endParaRPr lang="es-AR" sz="1400">
              <a:solidFill>
                <a:schemeClr val="tx1"/>
              </a:solidFill>
              <a:latin typeface="Arial Narrow" panose="020B0606020202030204" pitchFamily="34" charset="0"/>
            </a:endParaRPr>
          </a:p>
          <a:p>
            <a:pPr algn="l">
              <a:defRPr sz="1400" b="0" i="0" strike="noStrike" kern="1200" spc="0" baseline="0">
                <a:solidFill>
                  <a:schemeClr val="tx1">
                    <a:lumMod val="65000"/>
                    <a:lumOff val="35000"/>
                  </a:schemeClr>
                </a:solidFill>
                <a:latin typeface="+mn-lt"/>
                <a:ea typeface="+mn-ea"/>
                <a:cs typeface="+mn-cs"/>
              </a:defRPr>
            </a:pPr>
            <a:r>
              <a:rPr lang="es-AR" sz="1200" b="0" i="0" baseline="0">
                <a:solidFill>
                  <a:srgbClr val="000F9F"/>
                </a:solidFill>
                <a:latin typeface="Arial Narrow" panose="020B0606020202030204" pitchFamily="34" charset="0"/>
              </a:rPr>
              <a:t>Deuda en Millones de $ de Jun-26 (Eje Izq.) y en Millones de USD (Eje Der.)</a:t>
            </a:r>
            <a:endParaRPr lang="es-AR" sz="1200">
              <a:solidFill>
                <a:srgbClr val="000F9F"/>
              </a:solidFill>
              <a:latin typeface="Arial Narrow" panose="020B0606020202030204" pitchFamily="34" charset="0"/>
            </a:endParaRPr>
          </a:p>
          <a:p>
            <a:pPr algn="l">
              <a:defRPr sz="1400" b="0" i="0" strike="noStrike" kern="1200" spc="0" baseline="0">
                <a:solidFill>
                  <a:schemeClr val="tx1">
                    <a:lumMod val="65000"/>
                    <a:lumOff val="35000"/>
                  </a:schemeClr>
                </a:solidFill>
                <a:latin typeface="+mn-lt"/>
                <a:ea typeface="+mn-ea"/>
                <a:cs typeface="+mn-cs"/>
              </a:defRPr>
            </a:pPr>
            <a:r>
              <a:rPr lang="es-AR" sz="1200" b="0" i="0" baseline="0">
                <a:solidFill>
                  <a:srgbClr val="000F9F"/>
                </a:solidFill>
                <a:latin typeface="Arial Narrow" panose="020B0606020202030204" pitchFamily="34" charset="0"/>
              </a:rPr>
              <a:t>Fuente: DGCSP, BCRA, DEIE</a:t>
            </a:r>
            <a:endParaRPr lang="es-AR" sz="1200">
              <a:solidFill>
                <a:srgbClr val="000F9F"/>
              </a:solidFill>
              <a:latin typeface="Arial Narrow" panose="020B0606020202030204" pitchFamily="34" charset="0"/>
            </a:endParaRPr>
          </a:p>
        </c:rich>
      </c:tx>
      <c:layout>
        <c:manualLayout>
          <c:xMode val="edge"/>
          <c:yMode val="edge"/>
          <c:x val="1.2628787878787859E-2"/>
          <c:y val="2.5656565656565659E-2"/>
        </c:manualLayout>
      </c:layout>
      <c:overlay val="0"/>
      <c:spPr>
        <a:noFill/>
        <a:ln>
          <a:noFill/>
          <a:prstDash val="solid"/>
        </a:ln>
      </c:spPr>
    </c:title>
    <c:autoTitleDeleted val="0"/>
    <c:plotArea>
      <c:layout>
        <c:manualLayout>
          <c:layoutTarget val="inner"/>
          <c:xMode val="edge"/>
          <c:yMode val="edge"/>
          <c:x val="0.1024730399348055"/>
          <c:y val="0.22714874010695399"/>
          <c:w val="0.82580079359459535"/>
          <c:h val="0.56070151515151512"/>
        </c:manualLayout>
      </c:layout>
      <c:lineChart>
        <c:grouping val="standard"/>
        <c:varyColors val="0"/>
        <c:ser>
          <c:idx val="0"/>
          <c:order val="0"/>
          <c:tx>
            <c:v>Deuda Total Adm Central en $ Jun-26</c:v>
          </c:tx>
          <c:spPr>
            <a:ln w="19050" cap="rnd">
              <a:solidFill>
                <a:srgbClr val="000F9F"/>
              </a:solidFill>
              <a:prstDash val="solid"/>
              <a:round/>
            </a:ln>
          </c:spPr>
          <c:marker>
            <c:symbol val="none"/>
          </c:marker>
          <c:cat>
            <c:numRef>
              <c:f>'Evolución Deuda Total'!$B$4:$AY$4</c:f>
              <c:numCache>
                <c:formatCode>mmm\-yy</c:formatCode>
                <c:ptCount val="50"/>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pt idx="40">
                  <c:v>45382</c:v>
                </c:pt>
                <c:pt idx="41">
                  <c:v>45473</c:v>
                </c:pt>
                <c:pt idx="42">
                  <c:v>45565</c:v>
                </c:pt>
                <c:pt idx="43">
                  <c:v>45657</c:v>
                </c:pt>
                <c:pt idx="44">
                  <c:v>45747</c:v>
                </c:pt>
                <c:pt idx="45">
                  <c:v>45838</c:v>
                </c:pt>
                <c:pt idx="46">
                  <c:v>45930</c:v>
                </c:pt>
                <c:pt idx="47">
                  <c:v>46022</c:v>
                </c:pt>
                <c:pt idx="48">
                  <c:v>46112</c:v>
                </c:pt>
                <c:pt idx="49">
                  <c:v>46203</c:v>
                </c:pt>
              </c:numCache>
            </c:numRef>
          </c:cat>
          <c:val>
            <c:numRef>
              <c:f>'Evolución Deuda Total'!$B$9:$AY$9</c:f>
              <c:numCache>
                <c:formatCode>#,##0.00</c:formatCode>
                <c:ptCount val="50"/>
                <c:pt idx="0">
                  <c:v>2416465.8064873158</c:v>
                </c:pt>
                <c:pt idx="1">
                  <c:v>2326100.0712905154</c:v>
                </c:pt>
                <c:pt idx="2">
                  <c:v>2234449.3670425764</c:v>
                </c:pt>
                <c:pt idx="3">
                  <c:v>2321805.1935920515</c:v>
                </c:pt>
                <c:pt idx="4">
                  <c:v>2001247.7724365667</c:v>
                </c:pt>
                <c:pt idx="5">
                  <c:v>2151949.8533342676</c:v>
                </c:pt>
                <c:pt idx="6">
                  <c:v>2136487.3651548494</c:v>
                </c:pt>
                <c:pt idx="7">
                  <c:v>3166409.2089049062</c:v>
                </c:pt>
                <c:pt idx="8">
                  <c:v>2485473.1178588606</c:v>
                </c:pt>
                <c:pt idx="9">
                  <c:v>3258750.2188378256</c:v>
                </c:pt>
                <c:pt idx="10">
                  <c:v>3345319.9828361347</c:v>
                </c:pt>
                <c:pt idx="11">
                  <c:v>3404435.6964817136</c:v>
                </c:pt>
                <c:pt idx="12">
                  <c:v>3089094.1495768824</c:v>
                </c:pt>
                <c:pt idx="13">
                  <c:v>3659287.2521871203</c:v>
                </c:pt>
                <c:pt idx="14">
                  <c:v>3524612.6217046464</c:v>
                </c:pt>
                <c:pt idx="15">
                  <c:v>3413680.9838002259</c:v>
                </c:pt>
                <c:pt idx="16">
                  <c:v>3404319.1130978465</c:v>
                </c:pt>
                <c:pt idx="17">
                  <c:v>3674226.2193017886</c:v>
                </c:pt>
                <c:pt idx="18">
                  <c:v>3726477.9461195939</c:v>
                </c:pt>
                <c:pt idx="19">
                  <c:v>3455047.9118183856</c:v>
                </c:pt>
                <c:pt idx="20">
                  <c:v>3288025.7608366595</c:v>
                </c:pt>
                <c:pt idx="21">
                  <c:v>3231769.9803595212</c:v>
                </c:pt>
                <c:pt idx="22">
                  <c:v>3472616.8966484983</c:v>
                </c:pt>
                <c:pt idx="23">
                  <c:v>3430657.3772084243</c:v>
                </c:pt>
                <c:pt idx="24">
                  <c:v>3107730.8473551944</c:v>
                </c:pt>
                <c:pt idx="25">
                  <c:v>3228076.3256027643</c:v>
                </c:pt>
                <c:pt idx="26">
                  <c:v>3230859.7679860578</c:v>
                </c:pt>
                <c:pt idx="27">
                  <c:v>3480258.8862284119</c:v>
                </c:pt>
                <c:pt idx="28">
                  <c:v>2983511.0711660809</c:v>
                </c:pt>
                <c:pt idx="29">
                  <c:v>2739922.9013819951</c:v>
                </c:pt>
                <c:pt idx="30">
                  <c:v>2724852.0588115994</c:v>
                </c:pt>
                <c:pt idx="31">
                  <c:v>2934009.9967289972</c:v>
                </c:pt>
                <c:pt idx="32">
                  <c:v>2310417.3615227942</c:v>
                </c:pt>
                <c:pt idx="33">
                  <c:v>2215460.2387138102</c:v>
                </c:pt>
                <c:pt idx="34">
                  <c:v>2036590.2717857277</c:v>
                </c:pt>
                <c:pt idx="35">
                  <c:v>2338583.1420888263</c:v>
                </c:pt>
                <c:pt idx="36">
                  <c:v>1711895.7953905067</c:v>
                </c:pt>
                <c:pt idx="37">
                  <c:v>1684708.2091148521</c:v>
                </c:pt>
                <c:pt idx="38">
                  <c:v>1686430.0912009997</c:v>
                </c:pt>
                <c:pt idx="39">
                  <c:v>2088253.0222350184</c:v>
                </c:pt>
                <c:pt idx="40">
                  <c:v>1403404.103580408</c:v>
                </c:pt>
                <c:pt idx="41">
                  <c:v>1268692.9078408305</c:v>
                </c:pt>
                <c:pt idx="42">
                  <c:v>1139501.4858201528</c:v>
                </c:pt>
                <c:pt idx="43">
                  <c:v>1327287.1303833318</c:v>
                </c:pt>
                <c:pt idx="44">
                  <c:v>1075797.1440214154</c:v>
                </c:pt>
                <c:pt idx="45">
                  <c:v>1244754.3826800662</c:v>
                </c:pt>
                <c:pt idx="46">
                  <c:v>1222982.352217719</c:v>
                </c:pt>
                <c:pt idx="47">
                  <c:v>1377294.4721534282</c:v>
                </c:pt>
                <c:pt idx="48">
                  <c:v>992978.23375071026</c:v>
                </c:pt>
                <c:pt idx="49">
                  <c:v>1292993.0647281588</c:v>
                </c:pt>
              </c:numCache>
            </c:numRef>
          </c:val>
          <c:smooth val="0"/>
          <c:extLst>
            <c:ext xmlns:c16="http://schemas.microsoft.com/office/drawing/2014/chart" uri="{C3380CC4-5D6E-409C-BE32-E72D297353CC}">
              <c16:uniqueId val="{00000000-AC17-45C2-BB89-CD58CA170BEF}"/>
            </c:ext>
          </c:extLst>
        </c:ser>
        <c:dLbls>
          <c:showLegendKey val="0"/>
          <c:showVal val="0"/>
          <c:showCatName val="0"/>
          <c:showSerName val="0"/>
          <c:showPercent val="0"/>
          <c:showBubbleSize val="0"/>
        </c:dLbls>
        <c:marker val="1"/>
        <c:smooth val="0"/>
        <c:axId val="-303967920"/>
        <c:axId val="-303969008"/>
      </c:lineChart>
      <c:lineChart>
        <c:grouping val="standard"/>
        <c:varyColors val="0"/>
        <c:ser>
          <c:idx val="1"/>
          <c:order val="1"/>
          <c:tx>
            <c:v>Deuda Total Adm Central en USD (Eje Der)</c:v>
          </c:tx>
          <c:spPr>
            <a:ln w="19050" cap="rnd">
              <a:solidFill>
                <a:srgbClr val="3CB4E5"/>
              </a:solidFill>
              <a:prstDash val="solid"/>
              <a:round/>
            </a:ln>
          </c:spPr>
          <c:marker>
            <c:symbol val="none"/>
          </c:marker>
          <c:cat>
            <c:numRef>
              <c:f>'Evolución Deuda Total'!$B$4:$AY$4</c:f>
              <c:numCache>
                <c:formatCode>mmm\-yy</c:formatCode>
                <c:ptCount val="50"/>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pt idx="40">
                  <c:v>45382</c:v>
                </c:pt>
                <c:pt idx="41">
                  <c:v>45473</c:v>
                </c:pt>
                <c:pt idx="42">
                  <c:v>45565</c:v>
                </c:pt>
                <c:pt idx="43">
                  <c:v>45657</c:v>
                </c:pt>
                <c:pt idx="44">
                  <c:v>45747</c:v>
                </c:pt>
                <c:pt idx="45">
                  <c:v>45838</c:v>
                </c:pt>
                <c:pt idx="46">
                  <c:v>45930</c:v>
                </c:pt>
                <c:pt idx="47">
                  <c:v>46022</c:v>
                </c:pt>
                <c:pt idx="48">
                  <c:v>46112</c:v>
                </c:pt>
                <c:pt idx="49">
                  <c:v>46203</c:v>
                </c:pt>
              </c:numCache>
            </c:numRef>
          </c:cat>
          <c:val>
            <c:numRef>
              <c:f>'Evolución Deuda Total'!$B$11:$AY$11</c:f>
              <c:numCache>
                <c:formatCode>#,##0.00</c:formatCode>
                <c:ptCount val="50"/>
                <c:pt idx="0">
                  <c:v>1198.0060980561311</c:v>
                </c:pt>
                <c:pt idx="1">
                  <c:v>1236.2989741438882</c:v>
                </c:pt>
                <c:pt idx="2">
                  <c:v>1214.2376852143709</c:v>
                </c:pt>
                <c:pt idx="3">
                  <c:v>1322.6856137114128</c:v>
                </c:pt>
                <c:pt idx="4">
                  <c:v>1161.440776354071</c:v>
                </c:pt>
                <c:pt idx="5">
                  <c:v>1284.3857329323723</c:v>
                </c:pt>
                <c:pt idx="6">
                  <c:v>1296.7956207809582</c:v>
                </c:pt>
                <c:pt idx="7">
                  <c:v>1487.2257882157555</c:v>
                </c:pt>
                <c:pt idx="8">
                  <c:v>1186.5068563914324</c:v>
                </c:pt>
                <c:pt idx="9">
                  <c:v>1686.5652731506366</c:v>
                </c:pt>
                <c:pt idx="10">
                  <c:v>1767.2638008660335</c:v>
                </c:pt>
                <c:pt idx="11">
                  <c:v>1820.5741236959532</c:v>
                </c:pt>
                <c:pt idx="12">
                  <c:v>1808.1787795455843</c:v>
                </c:pt>
                <c:pt idx="13">
                  <c:v>2091.8664489172725</c:v>
                </c:pt>
                <c:pt idx="14">
                  <c:v>2029.2965637817033</c:v>
                </c:pt>
                <c:pt idx="15">
                  <c:v>1923.8160416107328</c:v>
                </c:pt>
                <c:pt idx="16">
                  <c:v>1906.8874457626971</c:v>
                </c:pt>
                <c:pt idx="17">
                  <c:v>1561.8680580314178</c:v>
                </c:pt>
                <c:pt idx="18">
                  <c:v>1275.3649271383476</c:v>
                </c:pt>
                <c:pt idx="19">
                  <c:v>1427.4429920198836</c:v>
                </c:pt>
                <c:pt idx="20">
                  <c:v>1324.8426762725608</c:v>
                </c:pt>
                <c:pt idx="21">
                  <c:v>1456.06595329073</c:v>
                </c:pt>
                <c:pt idx="22">
                  <c:v>1298.7633279145018</c:v>
                </c:pt>
                <c:pt idx="23">
                  <c:v>1377.625793813218</c:v>
                </c:pt>
                <c:pt idx="24">
                  <c:v>1249.7074659407217</c:v>
                </c:pt>
                <c:pt idx="25">
                  <c:v>1250.6493763069705</c:v>
                </c:pt>
                <c:pt idx="26">
                  <c:v>1245.5093239823298</c:v>
                </c:pt>
                <c:pt idx="27">
                  <c:v>1353.1157961328599</c:v>
                </c:pt>
                <c:pt idx="28">
                  <c:v>1198.165322817955</c:v>
                </c:pt>
                <c:pt idx="29">
                  <c:v>1173.3892580683216</c:v>
                </c:pt>
                <c:pt idx="30">
                  <c:v>1236.2607775559195</c:v>
                </c:pt>
                <c:pt idx="31">
                  <c:v>1408.5738472361975</c:v>
                </c:pt>
                <c:pt idx="32">
                  <c:v>1192.0072095918158</c:v>
                </c:pt>
                <c:pt idx="33">
                  <c:v>1188.4230466792108</c:v>
                </c:pt>
                <c:pt idx="34">
                  <c:v>1133.268281659588</c:v>
                </c:pt>
                <c:pt idx="35">
                  <c:v>1268.3887105130582</c:v>
                </c:pt>
                <c:pt idx="36">
                  <c:v>957.68267949680569</c:v>
                </c:pt>
                <c:pt idx="37">
                  <c:v>950.52011217489428</c:v>
                </c:pt>
                <c:pt idx="38">
                  <c:v>939.57982004744997</c:v>
                </c:pt>
                <c:pt idx="39">
                  <c:v>772.21285700382805</c:v>
                </c:pt>
                <c:pt idx="40">
                  <c:v>741.53641085319362</c:v>
                </c:pt>
                <c:pt idx="41">
                  <c:v>747.56802170814649</c:v>
                </c:pt>
                <c:pt idx="42">
                  <c:v>707.20334820747019</c:v>
                </c:pt>
                <c:pt idx="43">
                  <c:v>836.61770355451813</c:v>
                </c:pt>
                <c:pt idx="44">
                  <c:v>707.55220884096832</c:v>
                </c:pt>
                <c:pt idx="45">
                  <c:v>780.51946922466345</c:v>
                </c:pt>
                <c:pt idx="46">
                  <c:v>710.38354324679744</c:v>
                </c:pt>
                <c:pt idx="47">
                  <c:v>807.51187516250525</c:v>
                </c:pt>
                <c:pt idx="48">
                  <c:v>672.73856572161583</c:v>
                </c:pt>
                <c:pt idx="49">
                  <c:v>871.86500458602018</c:v>
                </c:pt>
              </c:numCache>
            </c:numRef>
          </c:val>
          <c:smooth val="0"/>
          <c:extLst>
            <c:ext xmlns:c16="http://schemas.microsoft.com/office/drawing/2014/chart" uri="{C3380CC4-5D6E-409C-BE32-E72D297353CC}">
              <c16:uniqueId val="{00000001-AC17-45C2-BB89-CD58CA170BEF}"/>
            </c:ext>
          </c:extLst>
        </c:ser>
        <c:dLbls>
          <c:showLegendKey val="0"/>
          <c:showVal val="0"/>
          <c:showCatName val="0"/>
          <c:showSerName val="0"/>
          <c:showPercent val="0"/>
          <c:showBubbleSize val="0"/>
        </c:dLbls>
        <c:marker val="1"/>
        <c:smooth val="0"/>
        <c:axId val="-303978800"/>
        <c:axId val="-303979888"/>
      </c:lineChart>
      <c:dateAx>
        <c:axId val="-303967920"/>
        <c:scaling>
          <c:orientation val="minMax"/>
        </c:scaling>
        <c:delete val="0"/>
        <c:axPos val="b"/>
        <c:numFmt formatCode="mmm\-yy" sourceLinked="1"/>
        <c:majorTickMark val="in"/>
        <c:minorTickMark val="none"/>
        <c:tickLblPos val="nextTo"/>
        <c:spPr>
          <a:noFill/>
          <a:ln w="9525" cap="flat" cmpd="sng" algn="ctr">
            <a:solidFill>
              <a:schemeClr val="tx1"/>
            </a:solidFill>
            <a:prstDash val="solid"/>
            <a:round/>
          </a:ln>
        </c:spPr>
        <c:txPr>
          <a:bodyPr rot="-5400000" spcFirstLastPara="1" vertOverflow="ellipsis"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69008"/>
        <c:crosses val="autoZero"/>
        <c:auto val="1"/>
        <c:lblOffset val="100"/>
        <c:baseTimeUnit val="months"/>
        <c:majorUnit val="3"/>
      </c:dateAx>
      <c:valAx>
        <c:axId val="-303969008"/>
        <c:scaling>
          <c:orientation val="minMax"/>
        </c:scaling>
        <c:delete val="0"/>
        <c:axPos val="l"/>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s-AR" sz="1100" b="0">
                    <a:solidFill>
                      <a:schemeClr val="tx1"/>
                    </a:solidFill>
                    <a:latin typeface="Arial Narrow" panose="020B0606020202030204" pitchFamily="34" charset="0"/>
                  </a:rPr>
                  <a:t>Millones de Pesos</a:t>
                </a:r>
                <a:r>
                  <a:rPr lang="es-AR" sz="1100" b="0" baseline="0">
                    <a:solidFill>
                      <a:schemeClr val="tx1"/>
                    </a:solidFill>
                    <a:latin typeface="Arial Narrow" panose="020B0606020202030204" pitchFamily="34" charset="0"/>
                  </a:rPr>
                  <a:t> Jun - 26</a:t>
                </a:r>
                <a:endParaRPr lang="es-AR" sz="1100" b="0">
                  <a:solidFill>
                    <a:schemeClr val="tx1"/>
                  </a:solidFill>
                  <a:latin typeface="Arial Narrow" panose="020B0606020202030204" pitchFamily="34" charset="0"/>
                </a:endParaRPr>
              </a:p>
            </c:rich>
          </c:tx>
          <c:layout>
            <c:manualLayout>
              <c:xMode val="edge"/>
              <c:yMode val="edge"/>
              <c:x val="7.1891835016835021E-3"/>
              <c:y val="0.31143510101010102"/>
            </c:manualLayout>
          </c:layout>
          <c:overlay val="0"/>
          <c:spPr>
            <a:noFill/>
            <a:ln>
              <a:noFill/>
              <a:prstDash val="solid"/>
            </a:ln>
          </c:spPr>
        </c:title>
        <c:numFmt formatCode="#,##0" sourceLinked="0"/>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67920"/>
        <c:crosses val="autoZero"/>
        <c:crossBetween val="between"/>
      </c:valAx>
      <c:dateAx>
        <c:axId val="-303978800"/>
        <c:scaling>
          <c:orientation val="minMax"/>
        </c:scaling>
        <c:delete val="1"/>
        <c:axPos val="b"/>
        <c:numFmt formatCode="mmm\-yy" sourceLinked="1"/>
        <c:majorTickMark val="out"/>
        <c:minorTickMark val="none"/>
        <c:tickLblPos val="nextTo"/>
        <c:crossAx val="-303979888"/>
        <c:crosses val="autoZero"/>
        <c:auto val="1"/>
        <c:lblOffset val="100"/>
        <c:baseTimeUnit val="months"/>
      </c:dateAx>
      <c:valAx>
        <c:axId val="-303979888"/>
        <c:scaling>
          <c:orientation val="minMax"/>
          <c:max val="2500"/>
        </c:scaling>
        <c:delete val="0"/>
        <c:axPos val="r"/>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s-AR" sz="1100" b="0">
                    <a:solidFill>
                      <a:schemeClr val="tx1"/>
                    </a:solidFill>
                    <a:latin typeface="Arial Narrow" panose="020B0606020202030204" pitchFamily="34" charset="0"/>
                  </a:rPr>
                  <a:t>Millones de USD</a:t>
                </a:r>
              </a:p>
            </c:rich>
          </c:tx>
          <c:layout>
            <c:manualLayout>
              <c:xMode val="edge"/>
              <c:yMode val="edge"/>
              <c:x val="0.96926557239057243"/>
              <c:y val="0.34206262626262629"/>
            </c:manualLayout>
          </c:layout>
          <c:overlay val="0"/>
          <c:spPr>
            <a:noFill/>
            <a:ln>
              <a:noFill/>
              <a:prstDash val="solid"/>
            </a:ln>
          </c:spPr>
        </c:title>
        <c:numFmt formatCode="#,##0" sourceLinked="0"/>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78800"/>
        <c:crosses val="max"/>
        <c:crossBetween val="between"/>
      </c:valAx>
    </c:plotArea>
    <c:legend>
      <c:legendPos val="b"/>
      <c:layout>
        <c:manualLayout>
          <c:xMode val="edge"/>
          <c:yMode val="edge"/>
          <c:x val="0.19972327441077439"/>
          <c:y val="0.92197045454545457"/>
          <c:w val="0.60589846380471379"/>
          <c:h val="5.8787121212121207E-2"/>
        </c:manualLayout>
      </c:layout>
      <c:overlay val="0"/>
      <c:spPr>
        <a:noFill/>
        <a:ln>
          <a:noFill/>
          <a:prstDash val="solid"/>
        </a:ln>
      </c:spPr>
      <c:txPr>
        <a:bodyPr rot="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legend>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304800</xdr:colOff>
      <xdr:row>18</xdr:row>
      <xdr:rowOff>119061</xdr:rowOff>
    </xdr:from>
    <xdr:to>
      <xdr:col>10</xdr:col>
      <xdr:colOff>381000</xdr:colOff>
      <xdr:row>37</xdr:row>
      <xdr:rowOff>92849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415636</xdr:colOff>
      <xdr:row>5</xdr:row>
      <xdr:rowOff>138545</xdr:rowOff>
    </xdr:from>
    <xdr:to>
      <xdr:col>10</xdr:col>
      <xdr:colOff>18762</xdr:colOff>
      <xdr:row>28</xdr:row>
      <xdr:rowOff>86591</xdr:rowOff>
    </xdr:to>
    <xdr:pic>
      <xdr:nvPicPr>
        <xdr:cNvPr id="3" name="Imagen 2">
          <a:extLst>
            <a:ext uri="{FF2B5EF4-FFF2-40B4-BE49-F238E27FC236}">
              <a16:creationId xmlns:a16="http://schemas.microsoft.com/office/drawing/2014/main" id="{2AB0D81F-0A97-5760-053A-25648EB74DFA}"/>
            </a:ext>
          </a:extLst>
        </xdr:cNvPr>
        <xdr:cNvPicPr>
          <a:picLocks noChangeAspect="1"/>
        </xdr:cNvPicPr>
      </xdr:nvPicPr>
      <xdr:blipFill>
        <a:blip xmlns:r="http://schemas.openxmlformats.org/officeDocument/2006/relationships" r:embed="rId1"/>
        <a:stretch>
          <a:fillRect/>
        </a:stretch>
      </xdr:blipFill>
      <xdr:spPr>
        <a:xfrm>
          <a:off x="415636" y="1281545"/>
          <a:ext cx="7223126" cy="4329546"/>
        </a:xfrm>
        <a:prstGeom prst="rect">
          <a:avLst/>
        </a:prstGeom>
      </xdr:spPr>
    </xdr:pic>
    <xdr:clientData/>
  </xdr:twoCellAnchor>
  <xdr:twoCellAnchor editAs="oneCell">
    <xdr:from>
      <xdr:col>20</xdr:col>
      <xdr:colOff>744681</xdr:colOff>
      <xdr:row>5</xdr:row>
      <xdr:rowOff>103909</xdr:rowOff>
    </xdr:from>
    <xdr:to>
      <xdr:col>28</xdr:col>
      <xdr:colOff>544024</xdr:colOff>
      <xdr:row>24</xdr:row>
      <xdr:rowOff>136230</xdr:rowOff>
    </xdr:to>
    <xdr:pic>
      <xdr:nvPicPr>
        <xdr:cNvPr id="5" name="Imagen 4">
          <a:extLst>
            <a:ext uri="{FF2B5EF4-FFF2-40B4-BE49-F238E27FC236}">
              <a16:creationId xmlns:a16="http://schemas.microsoft.com/office/drawing/2014/main" id="{AA7D689C-2AAD-D775-7420-07A3BBA116AA}"/>
            </a:ext>
          </a:extLst>
        </xdr:cNvPr>
        <xdr:cNvPicPr>
          <a:picLocks noChangeAspect="1"/>
        </xdr:cNvPicPr>
      </xdr:nvPicPr>
      <xdr:blipFill>
        <a:blip xmlns:r="http://schemas.openxmlformats.org/officeDocument/2006/relationships" r:embed="rId2"/>
        <a:stretch>
          <a:fillRect/>
        </a:stretch>
      </xdr:blipFill>
      <xdr:spPr>
        <a:xfrm>
          <a:off x="15984681" y="1246909"/>
          <a:ext cx="5895343" cy="3651821"/>
        </a:xfrm>
        <a:prstGeom prst="rect">
          <a:avLst/>
        </a:prstGeom>
      </xdr:spPr>
    </xdr:pic>
    <xdr:clientData/>
  </xdr:twoCellAnchor>
  <xdr:twoCellAnchor editAs="oneCell">
    <xdr:from>
      <xdr:col>11</xdr:col>
      <xdr:colOff>86590</xdr:colOff>
      <xdr:row>4</xdr:row>
      <xdr:rowOff>138545</xdr:rowOff>
    </xdr:from>
    <xdr:to>
      <xdr:col>19</xdr:col>
      <xdr:colOff>519545</xdr:colOff>
      <xdr:row>25</xdr:row>
      <xdr:rowOff>122418</xdr:rowOff>
    </xdr:to>
    <xdr:pic>
      <xdr:nvPicPr>
        <xdr:cNvPr id="7" name="Imagen 6">
          <a:extLst>
            <a:ext uri="{FF2B5EF4-FFF2-40B4-BE49-F238E27FC236}">
              <a16:creationId xmlns:a16="http://schemas.microsoft.com/office/drawing/2014/main" id="{958FEB50-5E4E-382F-12EC-E127F2788DE9}"/>
            </a:ext>
          </a:extLst>
        </xdr:cNvPr>
        <xdr:cNvPicPr>
          <a:picLocks noChangeAspect="1"/>
        </xdr:cNvPicPr>
      </xdr:nvPicPr>
      <xdr:blipFill>
        <a:blip xmlns:r="http://schemas.openxmlformats.org/officeDocument/2006/relationships" r:embed="rId3"/>
        <a:stretch>
          <a:fillRect/>
        </a:stretch>
      </xdr:blipFill>
      <xdr:spPr>
        <a:xfrm>
          <a:off x="8468590" y="1091045"/>
          <a:ext cx="6528955" cy="3984373"/>
        </a:xfrm>
        <a:prstGeom prst="rect">
          <a:avLst/>
        </a:prstGeom>
      </xdr:spPr>
    </xdr:pic>
    <xdr:clientData/>
  </xdr:twoCellAnchor>
  <xdr:twoCellAnchor editAs="oneCell">
    <xdr:from>
      <xdr:col>0</xdr:col>
      <xdr:colOff>242455</xdr:colOff>
      <xdr:row>36</xdr:row>
      <xdr:rowOff>51954</xdr:rowOff>
    </xdr:from>
    <xdr:to>
      <xdr:col>10</xdr:col>
      <xdr:colOff>700355</xdr:colOff>
      <xdr:row>60</xdr:row>
      <xdr:rowOff>88929</xdr:rowOff>
    </xdr:to>
    <xdr:pic>
      <xdr:nvPicPr>
        <xdr:cNvPr id="12" name="Imagen 11">
          <a:extLst>
            <a:ext uri="{FF2B5EF4-FFF2-40B4-BE49-F238E27FC236}">
              <a16:creationId xmlns:a16="http://schemas.microsoft.com/office/drawing/2014/main" id="{5F96522D-2A48-EB0C-CEA5-25F807D13781}"/>
            </a:ext>
          </a:extLst>
        </xdr:cNvPr>
        <xdr:cNvPicPr>
          <a:picLocks noChangeAspect="1"/>
        </xdr:cNvPicPr>
      </xdr:nvPicPr>
      <xdr:blipFill>
        <a:blip xmlns:r="http://schemas.openxmlformats.org/officeDocument/2006/relationships" r:embed="rId4"/>
        <a:stretch>
          <a:fillRect/>
        </a:stretch>
      </xdr:blipFill>
      <xdr:spPr>
        <a:xfrm>
          <a:off x="242455" y="7152409"/>
          <a:ext cx="8077900" cy="4608975"/>
        </a:xfrm>
        <a:prstGeom prst="rect">
          <a:avLst/>
        </a:prstGeom>
      </xdr:spPr>
    </xdr:pic>
    <xdr:clientData/>
  </xdr:twoCellAnchor>
  <xdr:twoCellAnchor editAs="oneCell">
    <xdr:from>
      <xdr:col>13</xdr:col>
      <xdr:colOff>363681</xdr:colOff>
      <xdr:row>35</xdr:row>
      <xdr:rowOff>-1</xdr:rowOff>
    </xdr:from>
    <xdr:to>
      <xdr:col>22</xdr:col>
      <xdr:colOff>415636</xdr:colOff>
      <xdr:row>62</xdr:row>
      <xdr:rowOff>129886</xdr:rowOff>
    </xdr:to>
    <xdr:pic>
      <xdr:nvPicPr>
        <xdr:cNvPr id="14" name="Imagen 13">
          <a:extLst>
            <a:ext uri="{FF2B5EF4-FFF2-40B4-BE49-F238E27FC236}">
              <a16:creationId xmlns:a16="http://schemas.microsoft.com/office/drawing/2014/main" id="{F44C6B57-6E88-DBCA-0EDD-B4B5E59A73F9}"/>
            </a:ext>
          </a:extLst>
        </xdr:cNvPr>
        <xdr:cNvPicPr>
          <a:picLocks noChangeAspect="1"/>
        </xdr:cNvPicPr>
      </xdr:nvPicPr>
      <xdr:blipFill>
        <a:blip xmlns:r="http://schemas.openxmlformats.org/officeDocument/2006/relationships" r:embed="rId5"/>
        <a:stretch>
          <a:fillRect/>
        </a:stretch>
      </xdr:blipFill>
      <xdr:spPr>
        <a:xfrm>
          <a:off x="10269681" y="6909954"/>
          <a:ext cx="6909955" cy="52733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ncfp01\direccion\DNCFP\Recursos\Proyrena\Anual\2002\Alt4_Proy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Alt4_Proy2002"/>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 val="Stock 30-06-19"/>
      <sheetName val="Stock 31-12-18"/>
      <sheetName val="Gráfico 2"/>
      <sheetName val="Stock 30-09-19"/>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36"/>
  <sheetViews>
    <sheetView showGridLines="0" tabSelected="1" zoomScale="70" zoomScaleNormal="70" workbookViewId="0">
      <pane xSplit="2" ySplit="8" topLeftCell="C9" activePane="bottomRight" state="frozen"/>
      <selection pane="topRight" activeCell="C1" sqref="C1"/>
      <selection pane="bottomLeft" activeCell="A9" sqref="A9"/>
      <selection pane="bottomRight"/>
    </sheetView>
  </sheetViews>
  <sheetFormatPr baseColWidth="10" defaultRowHeight="16.5" x14ac:dyDescent="0.3"/>
  <cols>
    <col min="1" max="1" width="5.28515625" style="13" customWidth="1"/>
    <col min="2" max="2" width="64.140625" customWidth="1"/>
    <col min="3" max="3" width="17.140625" bestFit="1" customWidth="1"/>
    <col min="4" max="4" width="15.140625" customWidth="1"/>
    <col min="5" max="5" width="29.140625" customWidth="1"/>
    <col min="6" max="6" width="22.28515625" style="83" customWidth="1"/>
    <col min="7" max="7" width="15.85546875" customWidth="1"/>
    <col min="8" max="8" width="23.28515625" customWidth="1"/>
    <col min="9" max="9" width="16.7109375" customWidth="1"/>
    <col min="10" max="10" width="20.140625" customWidth="1"/>
    <col min="11" max="13" width="16.7109375" customWidth="1"/>
    <col min="14" max="14" width="22" customWidth="1"/>
    <col min="15" max="16" width="16.7109375" customWidth="1"/>
    <col min="17" max="17" width="17.7109375" bestFit="1" customWidth="1"/>
    <col min="18" max="18" width="18.85546875" bestFit="1" customWidth="1"/>
    <col min="19" max="19" width="17.42578125" bestFit="1" customWidth="1"/>
    <col min="20" max="20" width="16.7109375" customWidth="1"/>
    <col min="21" max="21" width="17.42578125" bestFit="1" customWidth="1"/>
    <col min="22" max="94" width="16.7109375" customWidth="1"/>
  </cols>
  <sheetData>
    <row r="1" spans="1:78" x14ac:dyDescent="0.3">
      <c r="B1" s="181"/>
    </row>
    <row r="2" spans="1:78" ht="20.25" customHeight="1" x14ac:dyDescent="0.3">
      <c r="B2" s="218" t="s">
        <v>0</v>
      </c>
      <c r="C2" s="219"/>
      <c r="D2" s="219"/>
      <c r="E2" s="219"/>
      <c r="F2" s="220"/>
      <c r="G2" s="219"/>
      <c r="H2" s="219"/>
      <c r="I2" s="219"/>
      <c r="J2" s="219"/>
      <c r="K2" s="219"/>
      <c r="L2" s="219"/>
      <c r="M2" s="219"/>
      <c r="N2" s="219"/>
      <c r="O2" s="219"/>
      <c r="P2" s="219"/>
      <c r="Q2" s="219"/>
      <c r="R2" s="219"/>
      <c r="S2" s="219"/>
    </row>
    <row r="3" spans="1:78" ht="20.25" customHeight="1" x14ac:dyDescent="0.3">
      <c r="B3" s="106" t="s">
        <v>1</v>
      </c>
      <c r="C3" s="4"/>
      <c r="D3" s="4"/>
      <c r="E3" s="4"/>
      <c r="F3" s="81"/>
      <c r="G3" s="4"/>
      <c r="H3" s="4"/>
      <c r="I3" s="4"/>
      <c r="J3" s="4"/>
      <c r="K3" s="4"/>
      <c r="L3" s="4"/>
      <c r="M3" s="4"/>
      <c r="N3" s="4"/>
      <c r="O3" s="4"/>
      <c r="P3" s="4"/>
      <c r="Q3" s="4"/>
      <c r="R3" s="4"/>
      <c r="S3" s="4"/>
    </row>
    <row r="4" spans="1:78" ht="17.25" customHeight="1" x14ac:dyDescent="0.3">
      <c r="B4" s="106" t="s">
        <v>2</v>
      </c>
      <c r="C4" s="1"/>
      <c r="D4" s="1"/>
      <c r="E4" s="1"/>
      <c r="F4" s="82"/>
      <c r="G4" s="1"/>
      <c r="H4" s="1"/>
      <c r="I4" s="1"/>
      <c r="J4" s="1"/>
      <c r="K4" s="1"/>
      <c r="L4" s="1"/>
      <c r="M4" s="1"/>
      <c r="N4" s="1"/>
      <c r="O4" s="1"/>
      <c r="P4" s="10"/>
    </row>
    <row r="5" spans="1:78" ht="17.25" customHeight="1" x14ac:dyDescent="0.3">
      <c r="B5" s="3"/>
      <c r="C5" s="1"/>
      <c r="D5" s="1"/>
      <c r="E5" s="1"/>
      <c r="F5" s="82"/>
      <c r="G5" s="1"/>
      <c r="H5" s="1"/>
      <c r="I5" s="1"/>
      <c r="J5" s="1"/>
      <c r="K5" s="1"/>
      <c r="L5" s="1"/>
      <c r="M5" s="1"/>
      <c r="N5" s="1"/>
      <c r="O5" s="1"/>
      <c r="P5" s="10"/>
    </row>
    <row r="6" spans="1:78" ht="30" customHeight="1" x14ac:dyDescent="0.3">
      <c r="B6" s="223" t="s">
        <v>3</v>
      </c>
      <c r="C6" s="223" t="s">
        <v>4</v>
      </c>
      <c r="D6" s="225" t="s">
        <v>5</v>
      </c>
      <c r="E6" s="221" t="s">
        <v>6</v>
      </c>
      <c r="F6" s="227" t="s">
        <v>7</v>
      </c>
      <c r="G6" s="223" t="s">
        <v>8</v>
      </c>
      <c r="H6" s="226" t="s">
        <v>9</v>
      </c>
      <c r="I6" s="226" t="s">
        <v>10</v>
      </c>
      <c r="J6" s="223" t="s">
        <v>11</v>
      </c>
      <c r="K6" s="226" t="s">
        <v>12</v>
      </c>
      <c r="L6" s="226" t="s">
        <v>13</v>
      </c>
      <c r="M6" s="226" t="s">
        <v>14</v>
      </c>
      <c r="N6" s="226" t="s">
        <v>15</v>
      </c>
      <c r="O6" s="1"/>
      <c r="P6" s="10"/>
    </row>
    <row r="7" spans="1:78" ht="32.25" customHeight="1" x14ac:dyDescent="0.3">
      <c r="B7" s="222"/>
      <c r="C7" s="222"/>
      <c r="D7" s="222"/>
      <c r="E7" s="222"/>
      <c r="F7" s="222"/>
      <c r="G7" s="222"/>
      <c r="H7" s="222"/>
      <c r="I7" s="222"/>
      <c r="J7" s="222"/>
      <c r="K7" s="222"/>
      <c r="L7" s="222"/>
      <c r="M7" s="222"/>
      <c r="N7" s="222"/>
      <c r="P7" s="120">
        <v>2026</v>
      </c>
      <c r="Q7" s="120">
        <v>2026</v>
      </c>
      <c r="R7" s="120">
        <v>2027</v>
      </c>
      <c r="S7" s="120">
        <v>2027</v>
      </c>
      <c r="T7" s="120">
        <v>2028</v>
      </c>
      <c r="U7" s="120">
        <v>2028</v>
      </c>
      <c r="V7" s="120">
        <v>2029</v>
      </c>
      <c r="W7" s="120">
        <v>2029</v>
      </c>
      <c r="X7" s="121" t="s">
        <v>16</v>
      </c>
      <c r="Y7" s="121" t="s">
        <v>16</v>
      </c>
      <c r="Z7" s="64"/>
      <c r="AC7" s="65"/>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row>
    <row r="8" spans="1:78" ht="21" customHeight="1" x14ac:dyDescent="0.3">
      <c r="B8" s="224"/>
      <c r="C8" s="224"/>
      <c r="D8" s="224"/>
      <c r="E8" s="109">
        <v>46203</v>
      </c>
      <c r="F8" s="109">
        <v>46203</v>
      </c>
      <c r="G8" s="224"/>
      <c r="H8" s="224"/>
      <c r="I8" s="224"/>
      <c r="J8" s="224"/>
      <c r="K8" s="224"/>
      <c r="L8" s="224"/>
      <c r="M8" s="224"/>
      <c r="N8" s="224"/>
      <c r="O8" s="18"/>
      <c r="P8" s="107" t="s">
        <v>17</v>
      </c>
      <c r="Q8" s="122" t="s">
        <v>18</v>
      </c>
      <c r="R8" s="107" t="s">
        <v>17</v>
      </c>
      <c r="S8" s="122" t="s">
        <v>18</v>
      </c>
      <c r="T8" s="107" t="s">
        <v>17</v>
      </c>
      <c r="U8" s="122" t="s">
        <v>18</v>
      </c>
      <c r="V8" s="107" t="s">
        <v>17</v>
      </c>
      <c r="W8" s="122" t="s">
        <v>18</v>
      </c>
      <c r="X8" s="107" t="s">
        <v>17</v>
      </c>
      <c r="Y8" s="107" t="s">
        <v>18</v>
      </c>
      <c r="Z8" s="18"/>
      <c r="AC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row>
    <row r="9" spans="1:78" ht="27.95" customHeight="1" x14ac:dyDescent="0.3">
      <c r="B9" s="110" t="s">
        <v>19</v>
      </c>
      <c r="C9" s="110"/>
      <c r="D9" s="110"/>
      <c r="E9" s="111"/>
      <c r="F9" s="111">
        <v>1.5724183220277974</v>
      </c>
      <c r="G9" s="112">
        <v>2.0292395688072287E-3</v>
      </c>
      <c r="H9" s="110"/>
      <c r="I9" s="110"/>
      <c r="J9" s="110"/>
      <c r="K9" s="110"/>
      <c r="L9" s="110"/>
      <c r="M9" s="110"/>
      <c r="N9" s="110"/>
      <c r="O9" s="19"/>
      <c r="P9" s="123">
        <v>571.63249404012674</v>
      </c>
      <c r="Q9" s="123">
        <v>0</v>
      </c>
      <c r="R9" s="123">
        <v>506.06149831237451</v>
      </c>
      <c r="S9" s="123">
        <v>0</v>
      </c>
      <c r="T9" s="123">
        <v>474.5317798951952</v>
      </c>
      <c r="U9" s="123">
        <v>0</v>
      </c>
      <c r="V9" s="123">
        <v>443.14109593375747</v>
      </c>
      <c r="W9" s="123">
        <v>0</v>
      </c>
      <c r="X9" s="123">
        <v>354.92466405753646</v>
      </c>
      <c r="Y9" s="123">
        <v>0</v>
      </c>
      <c r="Z9" s="66"/>
      <c r="AC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row>
    <row r="10" spans="1:78" ht="27.95" customHeight="1" x14ac:dyDescent="0.3">
      <c r="A10" s="45"/>
      <c r="B10" s="5" t="s">
        <v>20</v>
      </c>
      <c r="C10" s="5" t="s">
        <v>21</v>
      </c>
      <c r="D10" s="5" t="s">
        <v>17</v>
      </c>
      <c r="E10" s="138">
        <v>2323.25306568</v>
      </c>
      <c r="F10" s="8">
        <v>1.5665691487598479</v>
      </c>
      <c r="G10" s="148"/>
      <c r="H10" s="24" t="s">
        <v>22</v>
      </c>
      <c r="I10" s="16">
        <v>45176</v>
      </c>
      <c r="J10" s="25" t="s">
        <v>23</v>
      </c>
      <c r="K10" s="17">
        <v>120</v>
      </c>
      <c r="L10" s="6" t="s">
        <v>24</v>
      </c>
      <c r="M10" s="16">
        <v>48845</v>
      </c>
      <c r="N10" s="6" t="s">
        <v>25</v>
      </c>
      <c r="O10" s="9"/>
      <c r="P10" s="50">
        <v>516.55378999446293</v>
      </c>
      <c r="Q10" s="50">
        <v>0</v>
      </c>
      <c r="R10" s="50">
        <v>506.06149831237451</v>
      </c>
      <c r="S10" s="50">
        <v>0</v>
      </c>
      <c r="T10" s="50">
        <v>474.5317798951952</v>
      </c>
      <c r="U10" s="50">
        <v>0</v>
      </c>
      <c r="V10" s="50">
        <v>443.14109593375747</v>
      </c>
      <c r="W10" s="50">
        <v>0</v>
      </c>
      <c r="X10" s="50">
        <v>354.92466405753646</v>
      </c>
      <c r="Y10" s="50">
        <v>0</v>
      </c>
      <c r="Z10" s="61"/>
      <c r="AC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row>
    <row r="11" spans="1:78" ht="27.95" customHeight="1" x14ac:dyDescent="0.3">
      <c r="A11" s="45"/>
      <c r="B11" s="5" t="s">
        <v>28</v>
      </c>
      <c r="C11" s="5" t="s">
        <v>29</v>
      </c>
      <c r="D11" s="5" t="s">
        <v>17</v>
      </c>
      <c r="E11" s="138">
        <v>8.6761075099999996</v>
      </c>
      <c r="F11" s="8">
        <v>5.8502978247492038E-3</v>
      </c>
      <c r="G11" s="145"/>
      <c r="H11" s="24" t="s">
        <v>30</v>
      </c>
      <c r="I11" s="16">
        <v>40603</v>
      </c>
      <c r="J11" s="25" t="s">
        <v>31</v>
      </c>
      <c r="K11" s="17">
        <v>187</v>
      </c>
      <c r="L11" s="6" t="s">
        <v>32</v>
      </c>
      <c r="M11" s="16">
        <v>46296</v>
      </c>
      <c r="N11" s="6" t="s">
        <v>25</v>
      </c>
      <c r="O11" s="9"/>
      <c r="P11" s="50">
        <v>22.983022569999996</v>
      </c>
      <c r="Q11" s="50">
        <v>0</v>
      </c>
      <c r="R11" s="50">
        <v>0</v>
      </c>
      <c r="S11" s="50">
        <v>0</v>
      </c>
      <c r="T11" s="50">
        <v>0</v>
      </c>
      <c r="U11" s="50">
        <v>0</v>
      </c>
      <c r="V11" s="50">
        <v>0</v>
      </c>
      <c r="W11" s="50">
        <v>0</v>
      </c>
      <c r="X11" s="50">
        <v>0</v>
      </c>
      <c r="Y11" s="50">
        <v>0</v>
      </c>
      <c r="Z11" s="61"/>
      <c r="AC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row>
    <row r="12" spans="1:78" ht="27.95" customHeight="1" x14ac:dyDescent="0.3">
      <c r="A12" s="45"/>
      <c r="B12" s="5" t="s">
        <v>26</v>
      </c>
      <c r="C12" s="5" t="s">
        <v>27</v>
      </c>
      <c r="D12" s="5" t="s">
        <v>17</v>
      </c>
      <c r="E12" s="138">
        <v>-2.2000000000000001E-7</v>
      </c>
      <c r="F12" s="139">
        <v>-1.4834596274439492E-10</v>
      </c>
      <c r="G12" s="148"/>
      <c r="H12" s="24" t="s">
        <v>22</v>
      </c>
      <c r="I12" s="16">
        <v>43158</v>
      </c>
      <c r="J12" s="25" t="s">
        <v>23</v>
      </c>
      <c r="K12" s="17">
        <v>96</v>
      </c>
      <c r="L12" s="6" t="s">
        <v>24</v>
      </c>
      <c r="M12" s="16">
        <v>46080</v>
      </c>
      <c r="N12" s="6" t="s">
        <v>25</v>
      </c>
      <c r="O12" s="9"/>
      <c r="P12" s="50">
        <v>30.466595040000005</v>
      </c>
      <c r="Q12" s="50">
        <v>0</v>
      </c>
      <c r="R12" s="50">
        <v>0</v>
      </c>
      <c r="S12" s="50">
        <v>0</v>
      </c>
      <c r="T12" s="50">
        <v>0</v>
      </c>
      <c r="U12" s="50">
        <v>0</v>
      </c>
      <c r="V12" s="50">
        <v>0</v>
      </c>
      <c r="W12" s="50">
        <v>0</v>
      </c>
      <c r="X12" s="50">
        <v>0</v>
      </c>
      <c r="Y12" s="50">
        <v>0</v>
      </c>
      <c r="Z12" s="61"/>
      <c r="AC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row>
    <row r="13" spans="1:78" ht="27.95" customHeight="1" x14ac:dyDescent="0.3">
      <c r="A13" s="45"/>
      <c r="B13" s="5" t="s">
        <v>33</v>
      </c>
      <c r="C13" s="5" t="s">
        <v>34</v>
      </c>
      <c r="D13" s="5" t="s">
        <v>17</v>
      </c>
      <c r="E13" s="138">
        <v>-1.66752E-3</v>
      </c>
      <c r="F13" s="8">
        <v>-1.1244084536160609E-6</v>
      </c>
      <c r="G13" s="146"/>
      <c r="H13" s="24" t="s">
        <v>22</v>
      </c>
      <c r="I13" s="16">
        <v>43104</v>
      </c>
      <c r="J13" s="25" t="s">
        <v>23</v>
      </c>
      <c r="K13" s="17">
        <v>96</v>
      </c>
      <c r="L13" s="6" t="s">
        <v>24</v>
      </c>
      <c r="M13" s="16">
        <v>46026</v>
      </c>
      <c r="N13" s="6" t="s">
        <v>25</v>
      </c>
      <c r="O13" s="9"/>
      <c r="P13" s="50">
        <v>1.6290864356638146</v>
      </c>
      <c r="Q13" s="50">
        <v>0</v>
      </c>
      <c r="R13" s="50">
        <v>0</v>
      </c>
      <c r="S13" s="50">
        <v>0</v>
      </c>
      <c r="T13" s="50">
        <v>0</v>
      </c>
      <c r="U13" s="50">
        <v>0</v>
      </c>
      <c r="V13" s="50">
        <v>0</v>
      </c>
      <c r="W13" s="50">
        <v>0</v>
      </c>
      <c r="X13" s="50">
        <v>0</v>
      </c>
      <c r="Y13" s="50">
        <v>0</v>
      </c>
      <c r="Z13" s="61"/>
      <c r="AC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row>
    <row r="14" spans="1:78" ht="27.95" customHeight="1" x14ac:dyDescent="0.3">
      <c r="A14" s="45"/>
      <c r="B14" s="110" t="s">
        <v>35</v>
      </c>
      <c r="C14" s="110"/>
      <c r="D14" s="110"/>
      <c r="E14" s="110"/>
      <c r="F14" s="111">
        <v>19.825034318956405</v>
      </c>
      <c r="G14" s="112">
        <v>2.5584631983368876E-2</v>
      </c>
      <c r="H14" s="113"/>
      <c r="I14" s="110"/>
      <c r="J14" s="114"/>
      <c r="K14" s="110"/>
      <c r="L14" s="110"/>
      <c r="M14" s="110"/>
      <c r="N14" s="110"/>
      <c r="O14" s="19"/>
      <c r="P14" s="123">
        <v>20331.497977803381</v>
      </c>
      <c r="Q14" s="123">
        <v>0</v>
      </c>
      <c r="R14" s="123">
        <v>14055.273992879829</v>
      </c>
      <c r="S14" s="123">
        <v>0</v>
      </c>
      <c r="T14" s="123">
        <v>9901.8109452794233</v>
      </c>
      <c r="U14" s="123">
        <v>0</v>
      </c>
      <c r="V14" s="123">
        <v>7579.2703117834008</v>
      </c>
      <c r="W14" s="123">
        <v>0</v>
      </c>
      <c r="X14" s="123">
        <v>2280.5487397930347</v>
      </c>
      <c r="Y14" s="123">
        <v>0</v>
      </c>
      <c r="Z14" s="66"/>
      <c r="AC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row>
    <row r="15" spans="1:78" ht="27.95" customHeight="1" x14ac:dyDescent="0.3">
      <c r="A15" s="45"/>
      <c r="B15" s="5" t="s">
        <v>36</v>
      </c>
      <c r="C15" s="5" t="s">
        <v>37</v>
      </c>
      <c r="D15" s="5" t="s">
        <v>17</v>
      </c>
      <c r="E15" s="138">
        <v>25452.851851851861</v>
      </c>
      <c r="F15" s="139">
        <v>17.162853693424633</v>
      </c>
      <c r="G15" s="146"/>
      <c r="H15" s="151" t="s">
        <v>22</v>
      </c>
      <c r="I15" s="16">
        <v>45717</v>
      </c>
      <c r="J15" s="25" t="s">
        <v>38</v>
      </c>
      <c r="K15" s="17">
        <v>60</v>
      </c>
      <c r="L15" s="6" t="s">
        <v>24</v>
      </c>
      <c r="M15" s="16">
        <v>11018</v>
      </c>
      <c r="N15" s="6" t="s">
        <v>25</v>
      </c>
      <c r="O15" s="9"/>
      <c r="P15" s="50">
        <v>14823.457030741007</v>
      </c>
      <c r="Q15" s="50">
        <v>0</v>
      </c>
      <c r="R15" s="50">
        <v>12155.750477795718</v>
      </c>
      <c r="S15" s="50">
        <v>0</v>
      </c>
      <c r="T15" s="50">
        <v>9901.8109452794233</v>
      </c>
      <c r="U15" s="50">
        <v>0</v>
      </c>
      <c r="V15" s="50">
        <v>7579.2703117834008</v>
      </c>
      <c r="W15" s="50">
        <v>0</v>
      </c>
      <c r="X15" s="50">
        <v>2280.5487397930347</v>
      </c>
      <c r="Y15" s="50">
        <v>0</v>
      </c>
      <c r="Z15" s="61"/>
      <c r="AC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row>
    <row r="16" spans="1:78" ht="27.95" customHeight="1" x14ac:dyDescent="0.3">
      <c r="A16" s="45"/>
      <c r="B16" s="101" t="s">
        <v>39</v>
      </c>
      <c r="C16" s="101" t="s">
        <v>40</v>
      </c>
      <c r="D16" s="101" t="s">
        <v>17</v>
      </c>
      <c r="E16" s="138">
        <v>3948.0665788400001</v>
      </c>
      <c r="F16" s="139">
        <v>2.6621806255317697</v>
      </c>
      <c r="G16" s="150"/>
      <c r="H16" s="151" t="s">
        <v>22</v>
      </c>
      <c r="I16" s="16">
        <v>44684</v>
      </c>
      <c r="J16" s="152" t="s">
        <v>41</v>
      </c>
      <c r="K16" s="153">
        <v>60</v>
      </c>
      <c r="L16" s="138" t="s">
        <v>24</v>
      </c>
      <c r="M16" s="16">
        <v>46510</v>
      </c>
      <c r="N16" s="138" t="s">
        <v>25</v>
      </c>
      <c r="O16" s="9"/>
      <c r="P16" s="50">
        <v>5508.0409470623763</v>
      </c>
      <c r="Q16" s="50">
        <v>0</v>
      </c>
      <c r="R16" s="50">
        <v>1899.5235150841108</v>
      </c>
      <c r="S16" s="50">
        <v>0</v>
      </c>
      <c r="T16" s="50">
        <v>0</v>
      </c>
      <c r="U16" s="50">
        <v>0</v>
      </c>
      <c r="V16" s="50">
        <v>0</v>
      </c>
      <c r="W16" s="50">
        <v>0</v>
      </c>
      <c r="X16" s="50">
        <v>0</v>
      </c>
      <c r="Y16" s="50">
        <v>0</v>
      </c>
      <c r="Z16" s="61"/>
      <c r="AC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row>
    <row r="17" spans="1:92" ht="27.95" customHeight="1" x14ac:dyDescent="0.3">
      <c r="A17" s="45"/>
      <c r="B17" s="110" t="s">
        <v>42</v>
      </c>
      <c r="C17" s="110"/>
      <c r="D17" s="110"/>
      <c r="E17" s="110"/>
      <c r="F17" s="111">
        <v>15.533158369834306</v>
      </c>
      <c r="G17" s="112">
        <v>2.004587402159496E-2</v>
      </c>
      <c r="H17" s="110"/>
      <c r="I17" s="110"/>
      <c r="J17" s="110"/>
      <c r="K17" s="110"/>
      <c r="L17" s="110"/>
      <c r="M17" s="110"/>
      <c r="N17" s="110"/>
      <c r="O17" s="9"/>
      <c r="P17" s="123">
        <v>9476.4736904002602</v>
      </c>
      <c r="Q17" s="123">
        <v>0</v>
      </c>
      <c r="R17" s="123">
        <v>11688.009567101912</v>
      </c>
      <c r="S17" s="123">
        <v>0</v>
      </c>
      <c r="T17" s="123">
        <v>11078.764903008177</v>
      </c>
      <c r="U17" s="123">
        <v>0</v>
      </c>
      <c r="V17" s="123">
        <v>8731.1887840204636</v>
      </c>
      <c r="W17" s="123">
        <v>0</v>
      </c>
      <c r="X17" s="123">
        <v>5558.81086676411</v>
      </c>
      <c r="Y17" s="123">
        <v>0</v>
      </c>
      <c r="Z17" s="61"/>
      <c r="AC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row>
    <row r="18" spans="1:92" ht="27.95" customHeight="1" x14ac:dyDescent="0.3">
      <c r="A18" s="45"/>
      <c r="B18" s="101" t="s">
        <v>43</v>
      </c>
      <c r="C18" s="101" t="s">
        <v>44</v>
      </c>
      <c r="D18" s="101" t="s">
        <v>17</v>
      </c>
      <c r="E18" s="138">
        <v>23035.981419</v>
      </c>
      <c r="F18" s="139">
        <v>15.533158369834306</v>
      </c>
      <c r="G18" s="150"/>
      <c r="H18" s="151" t="s">
        <v>22</v>
      </c>
      <c r="I18" s="16">
        <v>45870</v>
      </c>
      <c r="J18" s="152" t="s">
        <v>45</v>
      </c>
      <c r="K18" s="153">
        <v>96</v>
      </c>
      <c r="L18" s="138" t="s">
        <v>46</v>
      </c>
      <c r="M18" s="16">
        <v>11171</v>
      </c>
      <c r="N18" s="138" t="s">
        <v>47</v>
      </c>
      <c r="O18" s="9"/>
      <c r="P18" s="50">
        <v>9476.4736904002602</v>
      </c>
      <c r="Q18" s="50">
        <v>0</v>
      </c>
      <c r="R18" s="50">
        <v>11688.009567101912</v>
      </c>
      <c r="S18" s="50">
        <v>0</v>
      </c>
      <c r="T18" s="50">
        <v>11078.764903008177</v>
      </c>
      <c r="U18" s="50">
        <v>0</v>
      </c>
      <c r="V18" s="50">
        <v>8731.1887840204636</v>
      </c>
      <c r="W18" s="50">
        <v>0</v>
      </c>
      <c r="X18" s="50">
        <v>5558.81086676411</v>
      </c>
      <c r="Y18" s="50">
        <v>0</v>
      </c>
      <c r="Z18" s="61"/>
      <c r="AC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row>
    <row r="19" spans="1:92" ht="27.95" customHeight="1" x14ac:dyDescent="0.3">
      <c r="A19" s="45"/>
      <c r="B19" s="110" t="s">
        <v>48</v>
      </c>
      <c r="C19" s="110"/>
      <c r="D19" s="110"/>
      <c r="E19" s="110"/>
      <c r="F19" s="111">
        <v>178.24340517000002</v>
      </c>
      <c r="G19" s="112">
        <v>0.23002693722333062</v>
      </c>
      <c r="H19" s="113"/>
      <c r="I19" s="110"/>
      <c r="J19" s="114"/>
      <c r="K19" s="110"/>
      <c r="L19" s="110"/>
      <c r="M19" s="110"/>
      <c r="N19" s="110"/>
      <c r="O19" s="19"/>
      <c r="P19" s="123">
        <v>0</v>
      </c>
      <c r="Q19" s="123">
        <v>23.172182485469353</v>
      </c>
      <c r="R19" s="123">
        <v>0</v>
      </c>
      <c r="S19" s="123">
        <v>22.917479009692237</v>
      </c>
      <c r="T19" s="123">
        <v>0</v>
      </c>
      <c r="U19" s="123">
        <v>21.959606206994579</v>
      </c>
      <c r="V19" s="123">
        <v>0</v>
      </c>
      <c r="W19" s="123">
        <v>20.593667321271827</v>
      </c>
      <c r="X19" s="123">
        <v>0</v>
      </c>
      <c r="Y19" s="123">
        <v>8.0683030561997651</v>
      </c>
      <c r="Z19" s="66"/>
      <c r="AC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row>
    <row r="20" spans="1:92" ht="27.95" customHeight="1" x14ac:dyDescent="0.3">
      <c r="A20" s="45"/>
      <c r="B20" s="115" t="s">
        <v>49</v>
      </c>
      <c r="C20" s="115"/>
      <c r="D20" s="115"/>
      <c r="E20" s="115"/>
      <c r="F20" s="116">
        <v>148.60125773000001</v>
      </c>
      <c r="G20" s="115"/>
      <c r="H20" s="117"/>
      <c r="I20" s="115"/>
      <c r="J20" s="118"/>
      <c r="K20" s="115"/>
      <c r="L20" s="115"/>
      <c r="M20" s="115"/>
      <c r="N20" s="115"/>
      <c r="O20" s="20"/>
      <c r="P20" s="125">
        <v>0</v>
      </c>
      <c r="Q20" s="125">
        <v>19.628710293960879</v>
      </c>
      <c r="R20" s="125">
        <v>0</v>
      </c>
      <c r="S20" s="125">
        <v>19.384565341189038</v>
      </c>
      <c r="T20" s="125">
        <v>0</v>
      </c>
      <c r="U20" s="125">
        <v>18.525868357705264</v>
      </c>
      <c r="V20" s="125">
        <v>0</v>
      </c>
      <c r="W20" s="125">
        <v>17.265381386475187</v>
      </c>
      <c r="X20" s="125">
        <v>0</v>
      </c>
      <c r="Y20" s="125">
        <v>7.1506560234444532</v>
      </c>
      <c r="Z20" s="62"/>
      <c r="AC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row>
    <row r="21" spans="1:92" ht="27.95" customHeight="1" x14ac:dyDescent="0.3">
      <c r="A21" s="45"/>
      <c r="B21" s="5" t="s">
        <v>50</v>
      </c>
      <c r="C21" s="5" t="s">
        <v>51</v>
      </c>
      <c r="D21" s="5" t="s">
        <v>18</v>
      </c>
      <c r="E21" s="8">
        <v>42.740956949999998</v>
      </c>
      <c r="F21" s="8">
        <v>42.740956949999998</v>
      </c>
      <c r="G21" s="5"/>
      <c r="H21" s="24" t="s">
        <v>22</v>
      </c>
      <c r="I21" s="16">
        <v>44313</v>
      </c>
      <c r="J21" s="25" t="s">
        <v>52</v>
      </c>
      <c r="K21" s="17">
        <v>283</v>
      </c>
      <c r="L21" s="6" t="s">
        <v>53</v>
      </c>
      <c r="M21" s="16">
        <v>52916</v>
      </c>
      <c r="N21" s="6" t="s">
        <v>25</v>
      </c>
      <c r="O21" s="9"/>
      <c r="P21" s="50">
        <v>0</v>
      </c>
      <c r="Q21" s="50">
        <v>4.4707930605364101</v>
      </c>
      <c r="R21" s="50">
        <v>0</v>
      </c>
      <c r="S21" s="50">
        <v>4.362676607906975</v>
      </c>
      <c r="T21" s="50">
        <v>0</v>
      </c>
      <c r="U21" s="50">
        <v>4.1768754491645872</v>
      </c>
      <c r="V21" s="50">
        <v>0</v>
      </c>
      <c r="W21" s="50">
        <v>3.8354047942440612</v>
      </c>
      <c r="X21" s="50">
        <v>0</v>
      </c>
      <c r="Y21" s="50">
        <v>1.4950989276669435</v>
      </c>
      <c r="Z21" s="61"/>
      <c r="AC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M21" s="67"/>
      <c r="CN21" s="29"/>
    </row>
    <row r="22" spans="1:92" ht="27.95" customHeight="1" x14ac:dyDescent="0.3">
      <c r="A22" s="45"/>
      <c r="B22" s="5" t="s">
        <v>54</v>
      </c>
      <c r="C22" s="5" t="s">
        <v>55</v>
      </c>
      <c r="D22" s="5" t="s">
        <v>18</v>
      </c>
      <c r="E22" s="8">
        <v>35.576528690000004</v>
      </c>
      <c r="F22" s="8">
        <v>35.576528690000004</v>
      </c>
      <c r="G22" s="144"/>
      <c r="H22" s="24" t="s">
        <v>22</v>
      </c>
      <c r="I22" s="16">
        <v>42050</v>
      </c>
      <c r="J22" s="25" t="s">
        <v>52</v>
      </c>
      <c r="K22" s="17">
        <v>300</v>
      </c>
      <c r="L22" s="6" t="s">
        <v>53</v>
      </c>
      <c r="M22" s="16">
        <v>51181</v>
      </c>
      <c r="N22" s="6" t="s">
        <v>25</v>
      </c>
      <c r="O22" s="9"/>
      <c r="P22" s="50">
        <v>0</v>
      </c>
      <c r="Q22" s="50">
        <v>4.4188212138699443</v>
      </c>
      <c r="R22" s="50">
        <v>0</v>
      </c>
      <c r="S22" s="50">
        <v>4.238194964055185</v>
      </c>
      <c r="T22" s="50">
        <v>0</v>
      </c>
      <c r="U22" s="50">
        <v>4.0587486242327993</v>
      </c>
      <c r="V22" s="50">
        <v>0</v>
      </c>
      <c r="W22" s="50">
        <v>3.8147597777052318</v>
      </c>
      <c r="X22" s="50">
        <v>0</v>
      </c>
      <c r="Y22" s="50">
        <v>0</v>
      </c>
      <c r="Z22" s="61"/>
      <c r="AC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M22" s="67"/>
      <c r="CN22" s="29"/>
    </row>
    <row r="23" spans="1:92" ht="27.95" customHeight="1" x14ac:dyDescent="0.3">
      <c r="A23" s="45"/>
      <c r="B23" s="5" t="s">
        <v>56</v>
      </c>
      <c r="C23" s="5" t="s">
        <v>57</v>
      </c>
      <c r="D23" s="5" t="s">
        <v>18</v>
      </c>
      <c r="E23" s="8">
        <v>29.941086989999999</v>
      </c>
      <c r="F23" s="8">
        <v>29.941086989999999</v>
      </c>
      <c r="G23" s="5"/>
      <c r="H23" s="24" t="s">
        <v>22</v>
      </c>
      <c r="I23" s="16">
        <v>39557</v>
      </c>
      <c r="J23" s="25" t="s">
        <v>52</v>
      </c>
      <c r="K23" s="17">
        <v>344</v>
      </c>
      <c r="L23" s="6" t="s">
        <v>53</v>
      </c>
      <c r="M23" s="16">
        <v>50028</v>
      </c>
      <c r="N23" s="6" t="s">
        <v>25</v>
      </c>
      <c r="O23" s="9"/>
      <c r="P23" s="50">
        <v>0</v>
      </c>
      <c r="Q23" s="50">
        <v>4.2638466020746257</v>
      </c>
      <c r="R23" s="50">
        <v>0</v>
      </c>
      <c r="S23" s="50">
        <v>4.2395473721578734</v>
      </c>
      <c r="T23" s="50">
        <v>0</v>
      </c>
      <c r="U23" s="50">
        <v>4.0511814119396004</v>
      </c>
      <c r="V23" s="50">
        <v>0</v>
      </c>
      <c r="W23" s="50">
        <v>3.7574665750482863</v>
      </c>
      <c r="X23" s="50">
        <v>0</v>
      </c>
      <c r="Y23" s="50">
        <v>0</v>
      </c>
      <c r="Z23" s="61"/>
      <c r="AC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M23" s="67"/>
      <c r="CN23" s="29"/>
    </row>
    <row r="24" spans="1:92" ht="27.95" customHeight="1" x14ac:dyDescent="0.3">
      <c r="A24" s="45"/>
      <c r="B24" s="5" t="s">
        <v>58</v>
      </c>
      <c r="C24" s="5" t="s">
        <v>59</v>
      </c>
      <c r="D24" s="5" t="s">
        <v>18</v>
      </c>
      <c r="E24" s="8">
        <v>20.24319878</v>
      </c>
      <c r="F24" s="8">
        <v>20.24319878</v>
      </c>
      <c r="G24" s="5"/>
      <c r="H24" s="24" t="s">
        <v>22</v>
      </c>
      <c r="I24" s="16">
        <v>39555</v>
      </c>
      <c r="J24" s="25" t="s">
        <v>52</v>
      </c>
      <c r="K24" s="17">
        <v>300</v>
      </c>
      <c r="L24" s="6" t="s">
        <v>53</v>
      </c>
      <c r="M24" s="16">
        <v>48686</v>
      </c>
      <c r="N24" s="6" t="s">
        <v>25</v>
      </c>
      <c r="O24" s="9"/>
      <c r="P24" s="50">
        <v>0</v>
      </c>
      <c r="Q24" s="50">
        <v>3.8171827999999977</v>
      </c>
      <c r="R24" s="50">
        <v>0</v>
      </c>
      <c r="S24" s="50">
        <v>3.9634059899999947</v>
      </c>
      <c r="T24" s="50">
        <v>0</v>
      </c>
      <c r="U24" s="50">
        <v>3.7654532499999949</v>
      </c>
      <c r="V24" s="50">
        <v>0</v>
      </c>
      <c r="W24" s="50">
        <v>3.5320285699999947</v>
      </c>
      <c r="X24" s="50">
        <v>0</v>
      </c>
      <c r="Y24" s="50">
        <v>3.2820959455894325</v>
      </c>
      <c r="Z24" s="61"/>
      <c r="AC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M24" s="67"/>
      <c r="CN24" s="29"/>
    </row>
    <row r="25" spans="1:92" ht="27.95" customHeight="1" x14ac:dyDescent="0.3">
      <c r="A25" s="45"/>
      <c r="B25" s="5" t="s">
        <v>60</v>
      </c>
      <c r="C25" s="5" t="s">
        <v>61</v>
      </c>
      <c r="D25" s="5" t="s">
        <v>18</v>
      </c>
      <c r="E25" s="8">
        <v>12.227373010000001</v>
      </c>
      <c r="F25" s="8">
        <v>12.227373010000001</v>
      </c>
      <c r="G25" s="5"/>
      <c r="H25" s="24" t="s">
        <v>22</v>
      </c>
      <c r="I25" s="16">
        <v>43084</v>
      </c>
      <c r="J25" s="25" t="s">
        <v>52</v>
      </c>
      <c r="K25" s="17">
        <v>292</v>
      </c>
      <c r="L25" s="6" t="s">
        <v>53</v>
      </c>
      <c r="M25" s="16">
        <v>51971</v>
      </c>
      <c r="N25" s="6" t="s">
        <v>25</v>
      </c>
      <c r="O25" s="9"/>
      <c r="P25" s="50">
        <v>0</v>
      </c>
      <c r="Q25" s="50">
        <v>1.420880838633984</v>
      </c>
      <c r="R25" s="50">
        <v>0</v>
      </c>
      <c r="S25" s="50">
        <v>1.3491046887551952</v>
      </c>
      <c r="T25" s="50">
        <v>0</v>
      </c>
      <c r="U25" s="50">
        <v>1.2913860444472265</v>
      </c>
      <c r="V25" s="50">
        <v>0</v>
      </c>
      <c r="W25" s="50">
        <v>1.1989393576853817</v>
      </c>
      <c r="X25" s="50">
        <v>0</v>
      </c>
      <c r="Y25" s="50">
        <v>0.84436643207247075</v>
      </c>
      <c r="Z25" s="61"/>
      <c r="AC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M25" s="67"/>
      <c r="CN25" s="29"/>
    </row>
    <row r="26" spans="1:92" ht="27.95" customHeight="1" x14ac:dyDescent="0.3">
      <c r="A26" s="45"/>
      <c r="B26" s="5" t="s">
        <v>62</v>
      </c>
      <c r="C26" s="5" t="s">
        <v>63</v>
      </c>
      <c r="D26" s="5" t="s">
        <v>18</v>
      </c>
      <c r="E26" s="8">
        <v>4.8438638300000001</v>
      </c>
      <c r="F26" s="8">
        <v>4.8438638300000001</v>
      </c>
      <c r="G26" s="147"/>
      <c r="H26" s="24" t="s">
        <v>22</v>
      </c>
      <c r="I26" s="16">
        <v>44774</v>
      </c>
      <c r="J26" s="25" t="s">
        <v>64</v>
      </c>
      <c r="K26" s="17">
        <v>173</v>
      </c>
      <c r="L26" s="6" t="s">
        <v>53</v>
      </c>
      <c r="M26" s="16">
        <v>50055</v>
      </c>
      <c r="N26" s="6" t="s">
        <v>25</v>
      </c>
      <c r="O26" s="9"/>
      <c r="P26" s="50">
        <v>0</v>
      </c>
      <c r="Q26" s="50">
        <v>0.68022280805606428</v>
      </c>
      <c r="R26" s="50">
        <v>0</v>
      </c>
      <c r="S26" s="50">
        <v>0.67283593596243207</v>
      </c>
      <c r="T26" s="50">
        <v>0</v>
      </c>
      <c r="U26" s="50">
        <v>0.65004205083363886</v>
      </c>
      <c r="V26" s="50">
        <v>0</v>
      </c>
      <c r="W26" s="50">
        <v>0.6260299271184967</v>
      </c>
      <c r="X26" s="50">
        <v>0</v>
      </c>
      <c r="Y26" s="50">
        <v>0.98491653180535632</v>
      </c>
      <c r="Z26" s="61"/>
      <c r="AC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M26" s="67"/>
      <c r="CN26" s="29"/>
    </row>
    <row r="27" spans="1:92" ht="27.95" customHeight="1" x14ac:dyDescent="0.3">
      <c r="A27" s="45"/>
      <c r="B27" s="5" t="s">
        <v>65</v>
      </c>
      <c r="C27" s="5" t="s">
        <v>66</v>
      </c>
      <c r="D27" s="5" t="s">
        <v>18</v>
      </c>
      <c r="E27" s="8">
        <v>2.5598110599999999</v>
      </c>
      <c r="F27" s="8">
        <v>2.5598110599999999</v>
      </c>
      <c r="G27" s="147"/>
      <c r="H27" s="24" t="s">
        <v>22</v>
      </c>
      <c r="I27" s="16">
        <v>40852</v>
      </c>
      <c r="J27" s="25" t="s">
        <v>52</v>
      </c>
      <c r="K27" s="17">
        <v>252</v>
      </c>
      <c r="L27" s="6" t="s">
        <v>53</v>
      </c>
      <c r="M27" s="16">
        <v>48523</v>
      </c>
      <c r="N27" s="6" t="s">
        <v>25</v>
      </c>
      <c r="O27" s="9"/>
      <c r="P27" s="50">
        <v>0</v>
      </c>
      <c r="Q27" s="50">
        <v>0.52600011615611098</v>
      </c>
      <c r="R27" s="50">
        <v>0</v>
      </c>
      <c r="S27" s="50">
        <v>0.5278369248929895</v>
      </c>
      <c r="T27" s="50">
        <v>0</v>
      </c>
      <c r="U27" s="50">
        <v>0.50121866619228728</v>
      </c>
      <c r="V27" s="50">
        <v>0</v>
      </c>
      <c r="W27" s="50">
        <v>0.46978952717673023</v>
      </c>
      <c r="X27" s="50">
        <v>0</v>
      </c>
      <c r="Y27" s="50">
        <v>0</v>
      </c>
      <c r="Z27" s="61"/>
      <c r="AC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M27" s="67"/>
      <c r="CN27" s="29"/>
    </row>
    <row r="28" spans="1:92" ht="27.95" customHeight="1" x14ac:dyDescent="0.3">
      <c r="A28" s="45"/>
      <c r="B28" s="5" t="s">
        <v>67</v>
      </c>
      <c r="C28" s="5" t="s">
        <v>68</v>
      </c>
      <c r="D28" s="5" t="s">
        <v>18</v>
      </c>
      <c r="E28" s="8">
        <v>0.40322309000000001</v>
      </c>
      <c r="F28" s="8">
        <v>0.40322309000000001</v>
      </c>
      <c r="G28" s="147"/>
      <c r="H28" s="24" t="s">
        <v>22</v>
      </c>
      <c r="I28" s="16">
        <v>40360</v>
      </c>
      <c r="J28" s="25" t="s">
        <v>52</v>
      </c>
      <c r="K28" s="17">
        <v>290</v>
      </c>
      <c r="L28" s="6" t="s">
        <v>32</v>
      </c>
      <c r="M28" s="16">
        <v>49188</v>
      </c>
      <c r="N28" s="6" t="s">
        <v>25</v>
      </c>
      <c r="O28" s="9"/>
      <c r="P28" s="50">
        <v>0</v>
      </c>
      <c r="Q28" s="50">
        <v>3.0962854633739899E-2</v>
      </c>
      <c r="R28" s="50">
        <v>0</v>
      </c>
      <c r="S28" s="50">
        <v>3.0962857458399686E-2</v>
      </c>
      <c r="T28" s="50">
        <v>0</v>
      </c>
      <c r="U28" s="50">
        <v>3.0962860895128431E-2</v>
      </c>
      <c r="V28" s="50">
        <v>0</v>
      </c>
      <c r="W28" s="50">
        <v>3.0962857497001992E-2</v>
      </c>
      <c r="X28" s="50">
        <v>0</v>
      </c>
      <c r="Y28" s="50">
        <v>0.5441781863102495</v>
      </c>
      <c r="Z28" s="61"/>
      <c r="AC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M28" s="67"/>
      <c r="CN28" s="29"/>
    </row>
    <row r="29" spans="1:92" ht="27.95" customHeight="1" x14ac:dyDescent="0.3">
      <c r="A29" s="45"/>
      <c r="B29" s="5" t="s">
        <v>69</v>
      </c>
      <c r="C29" s="5" t="s">
        <v>70</v>
      </c>
      <c r="D29" s="5" t="s">
        <v>18</v>
      </c>
      <c r="E29" s="8">
        <v>6.5215330000000002E-2</v>
      </c>
      <c r="F29" s="8">
        <v>6.5215330000000002E-2</v>
      </c>
      <c r="G29" s="147"/>
      <c r="H29" s="24" t="s">
        <v>22</v>
      </c>
      <c r="I29" s="16">
        <v>40360</v>
      </c>
      <c r="J29" s="25" t="s">
        <v>52</v>
      </c>
      <c r="K29" s="17">
        <v>158</v>
      </c>
      <c r="L29" s="6" t="s">
        <v>32</v>
      </c>
      <c r="M29" s="16">
        <v>45170</v>
      </c>
      <c r="N29" s="6" t="s">
        <v>25</v>
      </c>
      <c r="O29" s="9"/>
      <c r="P29" s="50">
        <v>0</v>
      </c>
      <c r="Q29" s="50">
        <v>0</v>
      </c>
      <c r="R29" s="50">
        <v>0</v>
      </c>
      <c r="S29" s="50">
        <v>0</v>
      </c>
      <c r="T29" s="50">
        <v>0</v>
      </c>
      <c r="U29" s="50">
        <v>0</v>
      </c>
      <c r="V29" s="50">
        <v>0</v>
      </c>
      <c r="W29" s="50">
        <v>0</v>
      </c>
      <c r="X29" s="50">
        <v>0</v>
      </c>
      <c r="Y29" s="50">
        <v>0</v>
      </c>
      <c r="Z29" s="61"/>
      <c r="AC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M29" s="67"/>
      <c r="CN29" s="29"/>
    </row>
    <row r="30" spans="1:92" ht="27.95" customHeight="1" x14ac:dyDescent="0.3">
      <c r="A30" s="45"/>
      <c r="B30" s="115" t="s">
        <v>71</v>
      </c>
      <c r="C30" s="115"/>
      <c r="D30" s="115"/>
      <c r="E30" s="115"/>
      <c r="F30" s="116">
        <v>29.642147439999999</v>
      </c>
      <c r="G30" s="115"/>
      <c r="H30" s="117"/>
      <c r="I30" s="115"/>
      <c r="J30" s="118"/>
      <c r="K30" s="115"/>
      <c r="L30" s="115"/>
      <c r="M30" s="115"/>
      <c r="N30" s="115"/>
      <c r="O30" s="20"/>
      <c r="P30" s="125">
        <v>0</v>
      </c>
      <c r="Q30" s="125">
        <v>3.5434721915084753</v>
      </c>
      <c r="R30" s="125">
        <v>0</v>
      </c>
      <c r="S30" s="125">
        <v>3.5329136685031965</v>
      </c>
      <c r="T30" s="125">
        <v>0</v>
      </c>
      <c r="U30" s="125">
        <v>3.4337378492893151</v>
      </c>
      <c r="V30" s="125">
        <v>0</v>
      </c>
      <c r="W30" s="125">
        <v>3.3282859347966385</v>
      </c>
      <c r="X30" s="125">
        <v>0</v>
      </c>
      <c r="Y30" s="125">
        <v>0.91764703275531234</v>
      </c>
      <c r="Z30" s="62"/>
      <c r="AC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M30" s="67"/>
      <c r="CN30" s="29"/>
    </row>
    <row r="31" spans="1:92" ht="27.95" customHeight="1" x14ac:dyDescent="0.3">
      <c r="A31" s="45"/>
      <c r="B31" s="5" t="s">
        <v>72</v>
      </c>
      <c r="C31" s="5" t="s">
        <v>73</v>
      </c>
      <c r="D31" s="5" t="s">
        <v>18</v>
      </c>
      <c r="E31" s="8">
        <v>22.30697129</v>
      </c>
      <c r="F31" s="8">
        <v>22.30697129</v>
      </c>
      <c r="G31" s="145"/>
      <c r="H31" s="24" t="s">
        <v>22</v>
      </c>
      <c r="I31" s="16">
        <v>39706</v>
      </c>
      <c r="J31" s="25" t="s">
        <v>52</v>
      </c>
      <c r="K31" s="17">
        <v>360</v>
      </c>
      <c r="L31" s="6" t="s">
        <v>53</v>
      </c>
      <c r="M31" s="16">
        <v>50663</v>
      </c>
      <c r="N31" s="6" t="s">
        <v>25</v>
      </c>
      <c r="O31" s="9"/>
      <c r="P31" s="50">
        <v>0</v>
      </c>
      <c r="Q31" s="50">
        <v>2.6537722826772905</v>
      </c>
      <c r="R31" s="50">
        <v>0</v>
      </c>
      <c r="S31" s="50">
        <v>2.666381829011276</v>
      </c>
      <c r="T31" s="50">
        <v>0</v>
      </c>
      <c r="U31" s="50">
        <v>2.5935819827756035</v>
      </c>
      <c r="V31" s="50">
        <v>0</v>
      </c>
      <c r="W31" s="50">
        <v>2.5162578523105958</v>
      </c>
      <c r="X31" s="50">
        <v>0</v>
      </c>
      <c r="Y31" s="50">
        <v>0</v>
      </c>
      <c r="Z31" s="61"/>
      <c r="AC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M31" s="67"/>
      <c r="CN31" s="29"/>
    </row>
    <row r="32" spans="1:92" ht="27.95" customHeight="1" x14ac:dyDescent="0.3">
      <c r="A32" s="45"/>
      <c r="B32" s="5" t="s">
        <v>74</v>
      </c>
      <c r="C32" s="5" t="s">
        <v>75</v>
      </c>
      <c r="D32" s="5" t="s">
        <v>18</v>
      </c>
      <c r="E32" s="8">
        <v>4.0678873900000001</v>
      </c>
      <c r="F32" s="8">
        <v>4.0678873900000001</v>
      </c>
      <c r="G32" s="145"/>
      <c r="H32" s="24" t="s">
        <v>22</v>
      </c>
      <c r="I32" s="105">
        <v>43918</v>
      </c>
      <c r="J32" s="25" t="s">
        <v>64</v>
      </c>
      <c r="K32" s="17">
        <v>180</v>
      </c>
      <c r="L32" s="6" t="s">
        <v>53</v>
      </c>
      <c r="M32" s="105">
        <v>49396</v>
      </c>
      <c r="N32" s="6" t="s">
        <v>25</v>
      </c>
      <c r="O32" s="9"/>
      <c r="P32" s="50">
        <v>0</v>
      </c>
      <c r="Q32" s="50">
        <v>0.62248308267143448</v>
      </c>
      <c r="R32" s="50">
        <v>0</v>
      </c>
      <c r="S32" s="50">
        <v>0.59724912717242007</v>
      </c>
      <c r="T32" s="50">
        <v>0</v>
      </c>
      <c r="U32" s="50">
        <v>0.57625420419421081</v>
      </c>
      <c r="V32" s="50">
        <v>0</v>
      </c>
      <c r="W32" s="50">
        <v>0.55419774016654155</v>
      </c>
      <c r="X32" s="50">
        <v>0</v>
      </c>
      <c r="Y32" s="50">
        <v>0</v>
      </c>
      <c r="Z32" s="61"/>
      <c r="AC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M32" s="67"/>
      <c r="CN32" s="29"/>
    </row>
    <row r="33" spans="1:94" ht="27.95" customHeight="1" x14ac:dyDescent="0.3">
      <c r="A33" s="45"/>
      <c r="B33" s="5" t="s">
        <v>76</v>
      </c>
      <c r="C33" s="5" t="s">
        <v>77</v>
      </c>
      <c r="D33" s="5" t="s">
        <v>18</v>
      </c>
      <c r="E33" s="8">
        <v>3.26728876</v>
      </c>
      <c r="F33" s="8">
        <v>3.26728876</v>
      </c>
      <c r="G33" s="145"/>
      <c r="H33" s="24" t="s">
        <v>22</v>
      </c>
      <c r="I33" s="16">
        <v>44837</v>
      </c>
      <c r="J33" s="25" t="s">
        <v>64</v>
      </c>
      <c r="K33" s="17">
        <v>327</v>
      </c>
      <c r="L33" s="6" t="s">
        <v>53</v>
      </c>
      <c r="M33" s="16">
        <v>54803</v>
      </c>
      <c r="N33" s="6" t="s">
        <v>25</v>
      </c>
      <c r="O33" s="9"/>
      <c r="P33" s="50">
        <v>0</v>
      </c>
      <c r="Q33" s="50">
        <v>0.26721682615975051</v>
      </c>
      <c r="R33" s="50">
        <v>0</v>
      </c>
      <c r="S33" s="50">
        <v>0.26928271231950096</v>
      </c>
      <c r="T33" s="50">
        <v>0</v>
      </c>
      <c r="U33" s="50">
        <v>0.26390166231950096</v>
      </c>
      <c r="V33" s="50">
        <v>0</v>
      </c>
      <c r="W33" s="50">
        <v>0.25783034231950097</v>
      </c>
      <c r="X33" s="50">
        <v>0</v>
      </c>
      <c r="Y33" s="50">
        <v>0.91764703275531234</v>
      </c>
      <c r="Z33" s="61"/>
      <c r="AC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M33" s="67"/>
      <c r="CN33" s="29"/>
    </row>
    <row r="34" spans="1:94" ht="27.95" customHeight="1" x14ac:dyDescent="0.3">
      <c r="A34" s="45"/>
      <c r="B34" s="110" t="s">
        <v>78</v>
      </c>
      <c r="C34" s="110"/>
      <c r="D34" s="110"/>
      <c r="E34" s="110"/>
      <c r="F34" s="111">
        <v>559.70655790144849</v>
      </c>
      <c r="G34" s="112">
        <v>0.72231331720289838</v>
      </c>
      <c r="H34" s="113"/>
      <c r="I34" s="110"/>
      <c r="J34" s="114"/>
      <c r="K34" s="110"/>
      <c r="L34" s="110"/>
      <c r="M34" s="110"/>
      <c r="N34" s="110"/>
      <c r="O34" s="9"/>
      <c r="P34" s="123">
        <v>207693.04331394646</v>
      </c>
      <c r="Q34" s="123">
        <v>94.588642213076923</v>
      </c>
      <c r="R34" s="123">
        <v>38541.682122475031</v>
      </c>
      <c r="S34" s="123">
        <v>90.006148750000008</v>
      </c>
      <c r="T34" s="123">
        <v>381251.51211252867</v>
      </c>
      <c r="U34" s="123">
        <v>85.423655288461546</v>
      </c>
      <c r="V34" s="123">
        <v>73285.27488304695</v>
      </c>
      <c r="W34" s="123">
        <v>40.993392596153853</v>
      </c>
      <c r="X34" s="123">
        <v>0</v>
      </c>
      <c r="Y34" s="123">
        <v>0</v>
      </c>
      <c r="Z34" s="66"/>
      <c r="AC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row>
    <row r="35" spans="1:94" ht="27.95" customHeight="1" x14ac:dyDescent="0.3">
      <c r="A35" s="45"/>
      <c r="B35" s="5" t="s">
        <v>79</v>
      </c>
      <c r="C35" s="5" t="s">
        <v>80</v>
      </c>
      <c r="D35" s="5" t="s">
        <v>18</v>
      </c>
      <c r="E35" s="8">
        <v>239.08661538000001</v>
      </c>
      <c r="F35" s="8">
        <v>239.08661538000001</v>
      </c>
      <c r="G35" s="190"/>
      <c r="H35" s="24" t="s">
        <v>81</v>
      </c>
      <c r="I35" s="16">
        <v>43970</v>
      </c>
      <c r="J35" s="25">
        <v>5.7500000000000002E-2</v>
      </c>
      <c r="K35" s="17">
        <v>106</v>
      </c>
      <c r="L35" s="6" t="s">
        <v>53</v>
      </c>
      <c r="M35" s="16">
        <v>47196</v>
      </c>
      <c r="N35" s="6" t="s">
        <v>82</v>
      </c>
      <c r="O35" s="177"/>
      <c r="P35" s="50">
        <v>0</v>
      </c>
      <c r="Q35" s="50">
        <v>94.588642213076923</v>
      </c>
      <c r="R35" s="50">
        <v>0</v>
      </c>
      <c r="S35" s="50">
        <v>90.006148750000008</v>
      </c>
      <c r="T35" s="50">
        <v>0</v>
      </c>
      <c r="U35" s="50">
        <v>85.423655288461546</v>
      </c>
      <c r="V35" s="50">
        <v>0</v>
      </c>
      <c r="W35" s="50">
        <v>40.993392596153853</v>
      </c>
      <c r="X35" s="50">
        <v>0</v>
      </c>
      <c r="Y35" s="50">
        <v>0</v>
      </c>
      <c r="Z35" s="61"/>
      <c r="AC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M35" s="67"/>
      <c r="CN35" s="29"/>
    </row>
    <row r="36" spans="1:94" ht="27.95" customHeight="1" x14ac:dyDescent="0.3">
      <c r="A36" s="45"/>
      <c r="B36" s="189" t="s">
        <v>185</v>
      </c>
      <c r="C36" s="189" t="s">
        <v>186</v>
      </c>
      <c r="D36" s="5" t="s">
        <v>91</v>
      </c>
      <c r="E36" s="138">
        <v>296967.48231400002</v>
      </c>
      <c r="F36" s="8">
        <v>200.24512303477002</v>
      </c>
      <c r="G36" s="149"/>
      <c r="H36" s="24" t="s">
        <v>22</v>
      </c>
      <c r="I36" s="105">
        <v>46122</v>
      </c>
      <c r="J36" s="105" t="s">
        <v>187</v>
      </c>
      <c r="K36" s="203">
        <v>24</v>
      </c>
      <c r="L36" s="203" t="s">
        <v>32</v>
      </c>
      <c r="M36" s="16">
        <v>46853</v>
      </c>
      <c r="N36" s="16" t="s">
        <v>82</v>
      </c>
      <c r="O36" s="178"/>
      <c r="P36" s="50">
        <v>12941.978177064339</v>
      </c>
      <c r="Q36" s="50">
        <v>0</v>
      </c>
      <c r="R36" s="50">
        <v>25813.235161904282</v>
      </c>
      <c r="S36" s="50">
        <v>0</v>
      </c>
      <c r="T36" s="50">
        <v>336011.25429601653</v>
      </c>
      <c r="U36" s="50">
        <v>0</v>
      </c>
      <c r="V36" s="50">
        <v>0</v>
      </c>
      <c r="W36" s="50">
        <v>0</v>
      </c>
      <c r="X36" s="50">
        <v>0</v>
      </c>
      <c r="Y36" s="50">
        <v>0</v>
      </c>
      <c r="Z36" s="61"/>
      <c r="AC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M36" s="67"/>
      <c r="CN36" s="29"/>
    </row>
    <row r="37" spans="1:94" ht="27.95" customHeight="1" x14ac:dyDescent="0.3">
      <c r="A37" s="45"/>
      <c r="B37" s="189" t="s">
        <v>188</v>
      </c>
      <c r="C37" s="189" t="s">
        <v>189</v>
      </c>
      <c r="D37" s="5" t="s">
        <v>91</v>
      </c>
      <c r="E37" s="138">
        <v>96672.167436000003</v>
      </c>
      <c r="F37" s="8">
        <v>65.186026131276193</v>
      </c>
      <c r="G37" s="149"/>
      <c r="H37" s="24" t="s">
        <v>22</v>
      </c>
      <c r="I37" s="105">
        <v>46122</v>
      </c>
      <c r="J37" s="105" t="s">
        <v>190</v>
      </c>
      <c r="K37" s="203">
        <v>36</v>
      </c>
      <c r="L37" s="203" t="s">
        <v>32</v>
      </c>
      <c r="M37" s="16">
        <v>47218</v>
      </c>
      <c r="N37" s="16" t="s">
        <v>82</v>
      </c>
      <c r="O37" s="178"/>
      <c r="P37" s="50">
        <v>4481.9330856558818</v>
      </c>
      <c r="Q37" s="50">
        <v>0</v>
      </c>
      <c r="R37" s="50">
        <v>8939.3747336852284</v>
      </c>
      <c r="S37" s="50">
        <v>0</v>
      </c>
      <c r="T37" s="50">
        <v>44016.732038809248</v>
      </c>
      <c r="U37" s="50">
        <v>0</v>
      </c>
      <c r="V37" s="50">
        <v>72353.355338704394</v>
      </c>
      <c r="W37" s="50">
        <v>0</v>
      </c>
      <c r="X37" s="50">
        <v>0</v>
      </c>
      <c r="Y37" s="50">
        <v>0</v>
      </c>
      <c r="Z37" s="61"/>
      <c r="AC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M37" s="67"/>
      <c r="CN37" s="29"/>
    </row>
    <row r="38" spans="1:94" ht="27.95" customHeight="1" x14ac:dyDescent="0.3">
      <c r="A38" s="45"/>
      <c r="B38" s="5" t="s">
        <v>86</v>
      </c>
      <c r="C38" s="5" t="s">
        <v>87</v>
      </c>
      <c r="D38" s="5" t="s">
        <v>17</v>
      </c>
      <c r="E38" s="138">
        <v>70740.520999999993</v>
      </c>
      <c r="F38" s="8">
        <v>47.700321330841298</v>
      </c>
      <c r="G38" s="149"/>
      <c r="H38" s="24" t="s">
        <v>22</v>
      </c>
      <c r="I38" s="105">
        <v>45736</v>
      </c>
      <c r="J38" s="25" t="s">
        <v>88</v>
      </c>
      <c r="K38" s="17">
        <v>21</v>
      </c>
      <c r="L38" s="6" t="s">
        <v>32</v>
      </c>
      <c r="M38" s="105">
        <v>46376</v>
      </c>
      <c r="N38" s="6" t="s">
        <v>82</v>
      </c>
      <c r="O38" s="9"/>
      <c r="P38" s="50">
        <v>95853.710974319998</v>
      </c>
      <c r="Q38" s="50">
        <v>0</v>
      </c>
      <c r="R38" s="50">
        <v>0</v>
      </c>
      <c r="S38" s="50">
        <v>0</v>
      </c>
      <c r="T38" s="50">
        <v>0</v>
      </c>
      <c r="U38" s="50">
        <v>0</v>
      </c>
      <c r="V38" s="50">
        <v>0</v>
      </c>
      <c r="W38" s="50">
        <v>0</v>
      </c>
      <c r="X38" s="50">
        <v>0</v>
      </c>
      <c r="Y38" s="50">
        <v>0</v>
      </c>
      <c r="Z38" s="61"/>
      <c r="AC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M38" s="67"/>
      <c r="CN38" s="29"/>
    </row>
    <row r="39" spans="1:94" ht="27.95" customHeight="1" x14ac:dyDescent="0.3">
      <c r="A39" s="45"/>
      <c r="B39" s="5" t="s">
        <v>89</v>
      </c>
      <c r="C39" s="5" t="s">
        <v>90</v>
      </c>
      <c r="D39" s="5" t="s">
        <v>91</v>
      </c>
      <c r="E39" s="138">
        <v>7040.0074000000004</v>
      </c>
      <c r="F39" s="8">
        <v>4.7470757976393845</v>
      </c>
      <c r="G39" s="149"/>
      <c r="H39" s="24" t="s">
        <v>22</v>
      </c>
      <c r="I39" s="105">
        <v>45363</v>
      </c>
      <c r="J39" s="25" t="s">
        <v>92</v>
      </c>
      <c r="K39" s="17">
        <v>36</v>
      </c>
      <c r="L39" s="6" t="s">
        <v>93</v>
      </c>
      <c r="M39" s="105">
        <v>46458</v>
      </c>
      <c r="N39" s="6" t="s">
        <v>82</v>
      </c>
      <c r="O39" s="9"/>
      <c r="P39" s="50">
        <v>4692.8689328400005</v>
      </c>
      <c r="Q39" s="50">
        <v>0</v>
      </c>
      <c r="R39" s="50">
        <v>0</v>
      </c>
      <c r="S39" s="50">
        <v>0</v>
      </c>
      <c r="T39" s="50">
        <v>0</v>
      </c>
      <c r="U39" s="50">
        <v>0</v>
      </c>
      <c r="V39" s="50">
        <v>0</v>
      </c>
      <c r="W39" s="50">
        <v>0</v>
      </c>
      <c r="X39" s="50">
        <v>0</v>
      </c>
      <c r="Y39" s="50">
        <v>0</v>
      </c>
      <c r="Z39" s="61"/>
      <c r="AC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row>
    <row r="40" spans="1:94" ht="27.95" customHeight="1" x14ac:dyDescent="0.3">
      <c r="A40" s="45"/>
      <c r="B40" s="5" t="s">
        <v>94</v>
      </c>
      <c r="C40" s="5" t="s">
        <v>95</v>
      </c>
      <c r="D40" s="5" t="s">
        <v>17</v>
      </c>
      <c r="E40" s="138">
        <v>4065.5448841699999</v>
      </c>
      <c r="F40" s="8">
        <v>2.7413962269215824</v>
      </c>
      <c r="G40" s="149"/>
      <c r="H40" s="24" t="s">
        <v>22</v>
      </c>
      <c r="I40" s="16">
        <v>44635</v>
      </c>
      <c r="J40" s="25" t="s">
        <v>96</v>
      </c>
      <c r="K40" s="17">
        <v>108</v>
      </c>
      <c r="L40" s="6" t="s">
        <v>32</v>
      </c>
      <c r="M40" s="16">
        <v>47922</v>
      </c>
      <c r="N40" s="6" t="s">
        <v>82</v>
      </c>
      <c r="O40" s="9"/>
      <c r="P40" s="50">
        <v>1786.2262615362442</v>
      </c>
      <c r="Q40" s="50">
        <v>0</v>
      </c>
      <c r="R40" s="50">
        <v>2347.1384671599999</v>
      </c>
      <c r="S40" s="50">
        <v>0</v>
      </c>
      <c r="T40" s="50">
        <v>0</v>
      </c>
      <c r="U40" s="50">
        <v>0</v>
      </c>
      <c r="V40" s="50">
        <v>0</v>
      </c>
      <c r="W40" s="50">
        <v>0</v>
      </c>
      <c r="X40" s="50">
        <v>0</v>
      </c>
      <c r="Y40" s="50">
        <v>0</v>
      </c>
      <c r="Z40" s="61"/>
      <c r="AC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row>
    <row r="41" spans="1:94" ht="24" customHeight="1" x14ac:dyDescent="0.3">
      <c r="A41" s="45"/>
      <c r="B41" s="5" t="s">
        <v>83</v>
      </c>
      <c r="C41" s="5" t="s">
        <v>84</v>
      </c>
      <c r="D41" s="5" t="s">
        <v>17</v>
      </c>
      <c r="E41" s="138">
        <v>0</v>
      </c>
      <c r="F41" s="8">
        <v>0</v>
      </c>
      <c r="G41" s="149"/>
      <c r="H41" s="24" t="s">
        <v>22</v>
      </c>
      <c r="I41" s="105">
        <v>45736</v>
      </c>
      <c r="J41" s="25" t="s">
        <v>85</v>
      </c>
      <c r="K41" s="17">
        <v>15</v>
      </c>
      <c r="L41" s="6" t="s">
        <v>32</v>
      </c>
      <c r="M41" s="105">
        <v>46193</v>
      </c>
      <c r="N41" s="6" t="s">
        <v>82</v>
      </c>
      <c r="O41" s="21"/>
      <c r="P41" s="50">
        <v>87936.32588253</v>
      </c>
      <c r="Q41" s="50">
        <v>0</v>
      </c>
      <c r="R41" s="50">
        <v>1441.9337597255142</v>
      </c>
      <c r="S41" s="50">
        <v>0</v>
      </c>
      <c r="T41" s="50">
        <v>1223.5257777029021</v>
      </c>
      <c r="U41" s="50">
        <v>0</v>
      </c>
      <c r="V41" s="50">
        <v>931.91954434256309</v>
      </c>
      <c r="W41" s="50">
        <v>0</v>
      </c>
      <c r="X41" s="50">
        <v>0</v>
      </c>
      <c r="Y41" s="50">
        <v>0</v>
      </c>
      <c r="Z41" s="51"/>
      <c r="AC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row>
    <row r="42" spans="1:94" ht="29.25" customHeight="1" x14ac:dyDescent="0.3">
      <c r="B42" s="234" t="s">
        <v>97</v>
      </c>
      <c r="C42" s="232"/>
      <c r="D42" s="232"/>
      <c r="E42" s="59"/>
      <c r="F42" s="22">
        <v>774.880574082267</v>
      </c>
      <c r="G42" s="180"/>
      <c r="H42" s="23"/>
      <c r="I42" s="21"/>
      <c r="J42" s="21"/>
      <c r="K42" s="21"/>
      <c r="L42" s="21"/>
      <c r="M42" s="21"/>
      <c r="N42" s="21"/>
      <c r="O42" s="55"/>
      <c r="P42" s="124">
        <v>238072.64747619021</v>
      </c>
      <c r="Q42" s="124">
        <v>117.76082469854627</v>
      </c>
      <c r="R42" s="124">
        <v>64791.027180769146</v>
      </c>
      <c r="S42" s="124">
        <v>112.92362775969224</v>
      </c>
      <c r="T42" s="124">
        <v>402706.61974071147</v>
      </c>
      <c r="U42" s="124">
        <v>107.38326149545613</v>
      </c>
      <c r="V42" s="124">
        <v>90038.875074784562</v>
      </c>
      <c r="W42" s="124">
        <v>61.587059917425677</v>
      </c>
      <c r="X42" s="124">
        <v>8194.2842706146803</v>
      </c>
      <c r="Y42" s="124">
        <v>8.0683030561997651</v>
      </c>
      <c r="Z42" s="63"/>
      <c r="AC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row>
    <row r="43" spans="1:94" x14ac:dyDescent="0.3">
      <c r="B43" s="23"/>
      <c r="C43" s="23"/>
      <c r="D43" s="23"/>
      <c r="E43" s="12"/>
      <c r="F43" s="70"/>
      <c r="G43" s="143"/>
      <c r="H43" s="23"/>
      <c r="I43" s="23"/>
      <c r="J43" s="23"/>
      <c r="K43" s="23"/>
      <c r="L43" s="23"/>
      <c r="M43" s="23"/>
      <c r="N43" s="23"/>
      <c r="O43" s="23"/>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row>
    <row r="44" spans="1:94" x14ac:dyDescent="0.3">
      <c r="B44" s="11"/>
      <c r="C44" s="9"/>
      <c r="D44" s="9"/>
      <c r="E44" s="12"/>
      <c r="F44" s="70"/>
      <c r="G44" s="23"/>
      <c r="H44" s="23"/>
      <c r="I44" s="23"/>
      <c r="J44" s="23"/>
      <c r="K44" s="23"/>
      <c r="L44" s="23"/>
      <c r="M44" s="23"/>
      <c r="N44" s="23"/>
      <c r="O44" s="23"/>
      <c r="P44" s="69"/>
      <c r="Q44" s="69"/>
      <c r="R44" s="69"/>
      <c r="S44" s="69"/>
      <c r="T44" s="69"/>
      <c r="U44" s="69"/>
      <c r="V44" s="69"/>
      <c r="W44" s="69"/>
      <c r="X44" s="69"/>
      <c r="Y44" s="69"/>
      <c r="Z44" s="69"/>
      <c r="AA44" s="69"/>
      <c r="AB44" s="69"/>
      <c r="AC44" s="69"/>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row>
    <row r="45" spans="1:94" x14ac:dyDescent="0.3">
      <c r="B45" s="230" t="s">
        <v>98</v>
      </c>
      <c r="C45" s="219"/>
      <c r="D45" s="219"/>
      <c r="E45" s="219"/>
      <c r="F45" s="220"/>
      <c r="G45" s="219"/>
      <c r="H45" s="219"/>
      <c r="I45" s="219"/>
      <c r="J45" s="219"/>
      <c r="K45" s="219"/>
      <c r="L45" s="219"/>
      <c r="M45" s="219"/>
      <c r="N45" s="219"/>
      <c r="O45" s="23"/>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row>
    <row r="46" spans="1:94" x14ac:dyDescent="0.3">
      <c r="B46" s="230" t="s">
        <v>99</v>
      </c>
      <c r="C46" s="219"/>
      <c r="D46" s="219"/>
      <c r="E46" s="219"/>
      <c r="F46" s="220"/>
      <c r="G46" s="219"/>
      <c r="H46" s="219"/>
      <c r="I46" s="219"/>
      <c r="J46" s="219"/>
      <c r="K46" s="219"/>
      <c r="L46" s="219"/>
      <c r="M46" s="219"/>
      <c r="N46" s="219"/>
      <c r="O46" s="23"/>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row>
    <row r="47" spans="1:94" x14ac:dyDescent="0.3">
      <c r="B47" s="23"/>
      <c r="C47" s="23"/>
      <c r="D47" s="23"/>
      <c r="E47" s="23"/>
      <c r="F47" s="70"/>
      <c r="G47" s="23"/>
      <c r="H47" s="23"/>
      <c r="I47" s="23"/>
      <c r="J47" s="23"/>
      <c r="K47" s="23"/>
      <c r="L47" s="23"/>
      <c r="M47" s="23"/>
      <c r="N47" s="23"/>
      <c r="O47" s="23"/>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row>
    <row r="48" spans="1:94" x14ac:dyDescent="0.3">
      <c r="B48" s="119" t="s">
        <v>100</v>
      </c>
      <c r="C48" s="140">
        <v>1483.0198</v>
      </c>
      <c r="D48" s="23"/>
      <c r="E48" s="23"/>
      <c r="F48" s="70"/>
      <c r="G48" s="23"/>
      <c r="H48" s="23"/>
      <c r="I48" s="23"/>
      <c r="J48" s="23"/>
      <c r="K48" s="23"/>
      <c r="L48" s="23"/>
      <c r="M48" s="23"/>
      <c r="N48" s="23"/>
      <c r="O48" s="23"/>
      <c r="P48" s="23"/>
      <c r="Q48" s="23"/>
      <c r="R48" s="23"/>
      <c r="S48" s="23"/>
      <c r="T48" s="23"/>
      <c r="U48" s="23"/>
      <c r="V48" s="23"/>
      <c r="W48" s="23"/>
      <c r="X48" s="23"/>
    </row>
    <row r="49" spans="1:68" x14ac:dyDescent="0.3">
      <c r="B49" s="119" t="s">
        <v>101</v>
      </c>
      <c r="C49" s="141">
        <v>0.21</v>
      </c>
      <c r="D49" s="23"/>
      <c r="E49" s="41"/>
      <c r="F49" s="70"/>
      <c r="G49" s="23"/>
      <c r="H49" s="23"/>
      <c r="I49" s="23"/>
      <c r="J49" s="23"/>
      <c r="K49" s="23"/>
      <c r="L49" s="23"/>
      <c r="M49" s="23"/>
      <c r="N49" s="23"/>
      <c r="O49" s="23"/>
      <c r="P49" s="23"/>
      <c r="Q49" s="23"/>
      <c r="R49" s="23"/>
      <c r="S49" s="23"/>
      <c r="T49" s="23"/>
      <c r="U49" s="23"/>
      <c r="V49" s="23"/>
      <c r="W49" s="23"/>
      <c r="X49" s="23"/>
    </row>
    <row r="50" spans="1:68" x14ac:dyDescent="0.3">
      <c r="B50" s="119" t="s">
        <v>102</v>
      </c>
      <c r="C50" s="163">
        <v>799.20332676852172</v>
      </c>
      <c r="D50" s="23"/>
      <c r="E50" s="23"/>
      <c r="G50" s="23"/>
      <c r="H50" s="23"/>
      <c r="I50" s="23"/>
      <c r="J50" s="23"/>
      <c r="K50" s="23"/>
      <c r="L50" s="23"/>
      <c r="M50" s="23"/>
      <c r="N50" s="23"/>
      <c r="P50" s="23"/>
      <c r="Q50" s="23"/>
      <c r="R50" s="23"/>
      <c r="S50" s="23"/>
      <c r="T50" s="23"/>
      <c r="U50" s="23"/>
      <c r="V50" s="23"/>
      <c r="W50" s="23"/>
      <c r="X50" s="23"/>
    </row>
    <row r="51" spans="1:68" x14ac:dyDescent="0.3">
      <c r="D51" s="23"/>
      <c r="P51" s="15"/>
      <c r="Q51" s="15"/>
      <c r="R51" s="15"/>
      <c r="S51" s="15"/>
      <c r="T51" s="15"/>
      <c r="U51" s="15"/>
      <c r="V51" s="15"/>
      <c r="W51" s="15"/>
      <c r="X51" s="15"/>
      <c r="Y51" s="15"/>
      <c r="Z51" s="15"/>
      <c r="AA51" s="15"/>
      <c r="AB51" s="15"/>
      <c r="AC51" s="15"/>
      <c r="AD51" s="15"/>
      <c r="AE51" s="15"/>
      <c r="AF51" s="15"/>
      <c r="AG51" s="15"/>
      <c r="AH51" s="15"/>
      <c r="AI51" s="15"/>
    </row>
    <row r="52" spans="1:68" ht="20.25" customHeight="1" x14ac:dyDescent="0.3">
      <c r="O52" s="4"/>
    </row>
    <row r="53" spans="1:68" ht="20.25" customHeight="1" x14ac:dyDescent="0.3">
      <c r="B53" s="4" t="s">
        <v>103</v>
      </c>
      <c r="C53" s="4"/>
      <c r="D53" s="4"/>
      <c r="E53" s="4"/>
      <c r="F53" s="4"/>
      <c r="G53" s="4"/>
      <c r="H53" s="4"/>
      <c r="I53" s="4"/>
      <c r="J53" s="4"/>
      <c r="K53" s="4"/>
      <c r="L53" s="4"/>
      <c r="M53" s="4"/>
      <c r="N53" s="4"/>
      <c r="O53" s="1"/>
      <c r="P53" s="4"/>
      <c r="Q53" s="4"/>
      <c r="R53" s="4"/>
      <c r="S53" s="4"/>
    </row>
    <row r="54" spans="1:68" ht="17.25" customHeight="1" x14ac:dyDescent="0.3">
      <c r="B54" s="106" t="s">
        <v>2</v>
      </c>
      <c r="C54" s="1"/>
      <c r="D54" s="1"/>
      <c r="E54" s="1"/>
      <c r="F54" s="82"/>
      <c r="G54" s="1"/>
      <c r="H54" s="1"/>
      <c r="I54" s="1"/>
      <c r="J54" s="1"/>
      <c r="K54" s="1"/>
      <c r="L54" s="1"/>
      <c r="M54" s="1"/>
      <c r="N54" s="1"/>
      <c r="O54" s="1"/>
      <c r="P54" s="1"/>
      <c r="Q54" s="1"/>
      <c r="R54" s="1"/>
      <c r="S54" s="1"/>
    </row>
    <row r="55" spans="1:68" x14ac:dyDescent="0.3">
      <c r="G55" s="83"/>
      <c r="H55" s="83"/>
      <c r="I55" s="83"/>
      <c r="J55" s="83"/>
      <c r="K55" s="83"/>
      <c r="L55" s="83"/>
      <c r="M55" s="83"/>
      <c r="N55" s="83"/>
      <c r="O55" s="1"/>
      <c r="P55" s="83"/>
      <c r="Q55" s="83"/>
    </row>
    <row r="56" spans="1:68" ht="32.25" customHeight="1" x14ac:dyDescent="0.3">
      <c r="F56" s="120">
        <v>2026</v>
      </c>
      <c r="G56" s="120">
        <v>2026</v>
      </c>
      <c r="H56" s="120">
        <v>2027</v>
      </c>
      <c r="I56" s="120">
        <v>2027</v>
      </c>
      <c r="J56" s="120">
        <v>2028</v>
      </c>
      <c r="K56" s="120">
        <v>2028</v>
      </c>
      <c r="L56" s="120">
        <v>2029</v>
      </c>
      <c r="M56" s="120">
        <v>2029</v>
      </c>
      <c r="N56" s="121" t="s">
        <v>16</v>
      </c>
      <c r="O56" s="121" t="s">
        <v>16</v>
      </c>
      <c r="P56" s="64"/>
      <c r="W56" s="65"/>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c r="BB56" s="64"/>
      <c r="BC56" s="64"/>
      <c r="BD56" s="64"/>
      <c r="BE56" s="64"/>
      <c r="BF56" s="64"/>
      <c r="BG56" s="64"/>
      <c r="BH56" s="64"/>
      <c r="BI56" s="64"/>
      <c r="BJ56" s="64"/>
      <c r="BK56" s="64"/>
      <c r="BL56" s="64"/>
      <c r="BM56" s="64"/>
      <c r="BN56" s="64"/>
      <c r="BO56" s="64"/>
      <c r="BP56" s="64"/>
    </row>
    <row r="57" spans="1:68" ht="33.75" customHeight="1" x14ac:dyDescent="0.3">
      <c r="B57" s="107" t="s">
        <v>3</v>
      </c>
      <c r="C57" s="107" t="s">
        <v>4</v>
      </c>
      <c r="D57" s="108" t="s">
        <v>5</v>
      </c>
      <c r="E57" s="108" t="s">
        <v>104</v>
      </c>
      <c r="F57" s="107" t="s">
        <v>17</v>
      </c>
      <c r="G57" s="122" t="s">
        <v>18</v>
      </c>
      <c r="H57" s="107" t="s">
        <v>17</v>
      </c>
      <c r="I57" s="122" t="s">
        <v>18</v>
      </c>
      <c r="J57" s="107" t="s">
        <v>17</v>
      </c>
      <c r="K57" s="122" t="s">
        <v>18</v>
      </c>
      <c r="L57" s="107" t="s">
        <v>17</v>
      </c>
      <c r="M57" s="122" t="s">
        <v>18</v>
      </c>
      <c r="N57" s="107" t="s">
        <v>17</v>
      </c>
      <c r="O57" s="107" t="s">
        <v>18</v>
      </c>
      <c r="P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row>
    <row r="58" spans="1:68" ht="27.95" customHeight="1" x14ac:dyDescent="0.3">
      <c r="B58" s="110" t="s">
        <v>19</v>
      </c>
      <c r="C58" s="110"/>
      <c r="D58" s="110"/>
      <c r="E58" s="110"/>
      <c r="F58" s="123">
        <v>380.33916487071451</v>
      </c>
      <c r="G58" s="123">
        <v>0</v>
      </c>
      <c r="H58" s="123">
        <v>335.83867140868762</v>
      </c>
      <c r="I58" s="123">
        <v>0</v>
      </c>
      <c r="J58" s="123">
        <v>335.83867140868762</v>
      </c>
      <c r="K58" s="123">
        <v>0</v>
      </c>
      <c r="L58" s="123">
        <v>335.83867140868762</v>
      </c>
      <c r="M58" s="123">
        <v>0</v>
      </c>
      <c r="N58" s="123">
        <v>314.8487544456446</v>
      </c>
      <c r="O58" s="123">
        <v>0</v>
      </c>
      <c r="P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row>
    <row r="59" spans="1:68" ht="27.95" customHeight="1" x14ac:dyDescent="0.3">
      <c r="A59" s="45"/>
      <c r="B59" s="101" t="s">
        <v>20</v>
      </c>
      <c r="C59" s="101" t="s">
        <v>21</v>
      </c>
      <c r="D59" s="101" t="s">
        <v>17</v>
      </c>
      <c r="E59" s="101" t="s">
        <v>19</v>
      </c>
      <c r="F59" s="137">
        <v>329.18770625958877</v>
      </c>
      <c r="G59" s="137">
        <v>0</v>
      </c>
      <c r="H59" s="137">
        <v>335.83867140868762</v>
      </c>
      <c r="I59" s="137">
        <v>0</v>
      </c>
      <c r="J59" s="137">
        <v>335.83867140868762</v>
      </c>
      <c r="K59" s="137">
        <v>0</v>
      </c>
      <c r="L59" s="137">
        <v>335.83867140868762</v>
      </c>
      <c r="M59" s="137">
        <v>0</v>
      </c>
      <c r="N59" s="137">
        <v>314.8487544456446</v>
      </c>
      <c r="O59" s="137">
        <v>0</v>
      </c>
      <c r="Q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row>
    <row r="60" spans="1:68" ht="27.95" customHeight="1" x14ac:dyDescent="0.3">
      <c r="A60" s="45"/>
      <c r="B60" s="101" t="s">
        <v>26</v>
      </c>
      <c r="C60" s="101" t="s">
        <v>27</v>
      </c>
      <c r="D60" s="101" t="s">
        <v>17</v>
      </c>
      <c r="E60" s="101" t="s">
        <v>19</v>
      </c>
      <c r="F60" s="137">
        <v>30.161437520000003</v>
      </c>
      <c r="G60" s="137">
        <v>0</v>
      </c>
      <c r="H60" s="137">
        <v>0</v>
      </c>
      <c r="I60" s="137">
        <v>0</v>
      </c>
      <c r="J60" s="137">
        <v>0</v>
      </c>
      <c r="K60" s="137">
        <v>0</v>
      </c>
      <c r="L60" s="137">
        <v>0</v>
      </c>
      <c r="M60" s="137">
        <v>0</v>
      </c>
      <c r="N60" s="137">
        <v>0</v>
      </c>
      <c r="O60" s="137">
        <v>0</v>
      </c>
      <c r="Q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row>
    <row r="61" spans="1:68" ht="27.95" customHeight="1" x14ac:dyDescent="0.3">
      <c r="A61" s="45"/>
      <c r="B61" s="101" t="s">
        <v>28</v>
      </c>
      <c r="C61" s="101" t="s">
        <v>29</v>
      </c>
      <c r="D61" s="101" t="s">
        <v>17</v>
      </c>
      <c r="E61" s="101" t="s">
        <v>19</v>
      </c>
      <c r="F61" s="137">
        <v>19.371640439999997</v>
      </c>
      <c r="G61" s="137">
        <v>0</v>
      </c>
      <c r="H61" s="137">
        <v>0</v>
      </c>
      <c r="I61" s="137">
        <v>0</v>
      </c>
      <c r="J61" s="137">
        <v>0</v>
      </c>
      <c r="K61" s="137">
        <v>0</v>
      </c>
      <c r="L61" s="137">
        <v>0</v>
      </c>
      <c r="M61" s="137">
        <v>0</v>
      </c>
      <c r="N61" s="137">
        <v>0</v>
      </c>
      <c r="O61" s="137">
        <v>0</v>
      </c>
      <c r="Q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row>
    <row r="62" spans="1:68" ht="27.95" customHeight="1" x14ac:dyDescent="0.3">
      <c r="A62" s="45"/>
      <c r="B62" s="101" t="s">
        <v>33</v>
      </c>
      <c r="C62" s="101" t="s">
        <v>34</v>
      </c>
      <c r="D62" s="101" t="s">
        <v>17</v>
      </c>
      <c r="E62" s="101" t="s">
        <v>19</v>
      </c>
      <c r="F62" s="137">
        <v>1.618380651125749</v>
      </c>
      <c r="G62" s="137">
        <v>0</v>
      </c>
      <c r="H62" s="137">
        <v>0</v>
      </c>
      <c r="I62" s="137">
        <v>0</v>
      </c>
      <c r="J62" s="137">
        <v>0</v>
      </c>
      <c r="K62" s="137">
        <v>0</v>
      </c>
      <c r="L62" s="137">
        <v>0</v>
      </c>
      <c r="M62" s="137">
        <v>0</v>
      </c>
      <c r="N62" s="137">
        <v>0</v>
      </c>
      <c r="O62" s="137">
        <v>0</v>
      </c>
      <c r="Q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row>
    <row r="63" spans="1:68" ht="27.95" customHeight="1" x14ac:dyDescent="0.3">
      <c r="A63" s="45"/>
      <c r="B63" s="110" t="s">
        <v>35</v>
      </c>
      <c r="C63" s="110"/>
      <c r="D63" s="110"/>
      <c r="E63" s="110"/>
      <c r="F63" s="123">
        <v>10947.425960404446</v>
      </c>
      <c r="G63" s="123">
        <v>0</v>
      </c>
      <c r="H63" s="123">
        <v>8435.0202653044453</v>
      </c>
      <c r="I63" s="123">
        <v>0</v>
      </c>
      <c r="J63" s="123">
        <v>6640.4444444444462</v>
      </c>
      <c r="K63" s="123">
        <v>0</v>
      </c>
      <c r="L63" s="123">
        <v>6640.4444444444462</v>
      </c>
      <c r="M63" s="123">
        <v>0</v>
      </c>
      <c r="N63" s="123">
        <v>2211.2962962962961</v>
      </c>
      <c r="O63" s="123">
        <v>0</v>
      </c>
      <c r="P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row>
    <row r="64" spans="1:68" ht="27.95" customHeight="1" x14ac:dyDescent="0.3">
      <c r="A64" s="45"/>
      <c r="B64" s="5" t="s">
        <v>36</v>
      </c>
      <c r="C64" s="5" t="s">
        <v>37</v>
      </c>
      <c r="D64" s="5" t="s">
        <v>17</v>
      </c>
      <c r="E64" s="101" t="s">
        <v>35</v>
      </c>
      <c r="F64" s="137">
        <v>6640.4444444444462</v>
      </c>
      <c r="G64" s="137">
        <v>0</v>
      </c>
      <c r="H64" s="137">
        <v>6640.4444444444462</v>
      </c>
      <c r="I64" s="137">
        <v>0</v>
      </c>
      <c r="J64" s="137">
        <v>6640.4444444444462</v>
      </c>
      <c r="K64" s="137">
        <v>0</v>
      </c>
      <c r="L64" s="137">
        <v>6640.4444444444462</v>
      </c>
      <c r="M64" s="137">
        <v>0</v>
      </c>
      <c r="N64" s="137">
        <v>2211.2962962962961</v>
      </c>
      <c r="O64" s="137">
        <v>0</v>
      </c>
      <c r="Q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row>
    <row r="65" spans="1:68" ht="27.95" customHeight="1" x14ac:dyDescent="0.3">
      <c r="A65" s="45"/>
      <c r="B65" s="101" t="s">
        <v>39</v>
      </c>
      <c r="C65" s="101" t="s">
        <v>40</v>
      </c>
      <c r="D65" s="101" t="s">
        <v>17</v>
      </c>
      <c r="E65" s="101" t="s">
        <v>35</v>
      </c>
      <c r="F65" s="137">
        <v>4306.9815159600003</v>
      </c>
      <c r="G65" s="137">
        <v>0</v>
      </c>
      <c r="H65" s="137">
        <v>1794.5758208599998</v>
      </c>
      <c r="I65" s="137">
        <v>0</v>
      </c>
      <c r="J65" s="137">
        <v>0</v>
      </c>
      <c r="K65" s="137">
        <v>0</v>
      </c>
      <c r="L65" s="137">
        <v>0</v>
      </c>
      <c r="M65" s="137">
        <v>0</v>
      </c>
      <c r="N65" s="137">
        <v>0</v>
      </c>
      <c r="O65" s="137">
        <v>0</v>
      </c>
      <c r="Q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row>
    <row r="66" spans="1:68" ht="27.95" customHeight="1" x14ac:dyDescent="0.3">
      <c r="A66" s="45"/>
      <c r="B66" s="110" t="s">
        <v>42</v>
      </c>
      <c r="C66" s="110"/>
      <c r="D66" s="110"/>
      <c r="E66" s="110"/>
      <c r="F66" s="182">
        <v>2350.6103488775511</v>
      </c>
      <c r="G66" s="182">
        <v>0</v>
      </c>
      <c r="H66" s="182">
        <v>5641.4648373061218</v>
      </c>
      <c r="I66" s="182">
        <v>0</v>
      </c>
      <c r="J66" s="182">
        <v>5641.4648373061218</v>
      </c>
      <c r="K66" s="182">
        <v>0</v>
      </c>
      <c r="L66" s="182">
        <v>5641.4648373061218</v>
      </c>
      <c r="M66" s="182">
        <v>0</v>
      </c>
      <c r="N66" s="182">
        <v>3760.9765582040818</v>
      </c>
      <c r="O66" s="182">
        <v>0</v>
      </c>
      <c r="Q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row>
    <row r="67" spans="1:68" ht="27.95" customHeight="1" x14ac:dyDescent="0.3">
      <c r="A67" s="45"/>
      <c r="B67" s="101" t="s">
        <v>43</v>
      </c>
      <c r="C67" s="101" t="s">
        <v>44</v>
      </c>
      <c r="D67" s="101" t="s">
        <v>105</v>
      </c>
      <c r="E67" s="101" t="s">
        <v>106</v>
      </c>
      <c r="F67" s="137">
        <v>2350.6103488775511</v>
      </c>
      <c r="G67" s="137">
        <v>0</v>
      </c>
      <c r="H67" s="137">
        <v>5641.4648373061218</v>
      </c>
      <c r="I67" s="137">
        <v>0</v>
      </c>
      <c r="J67" s="137">
        <v>5641.4648373061218</v>
      </c>
      <c r="K67" s="137">
        <v>0</v>
      </c>
      <c r="L67" s="137">
        <v>5641.4648373061218</v>
      </c>
      <c r="M67" s="137">
        <v>0</v>
      </c>
      <c r="N67" s="137">
        <v>3760.9765582040818</v>
      </c>
      <c r="O67" s="137">
        <v>0</v>
      </c>
      <c r="Q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row>
    <row r="68" spans="1:68" ht="27.95" customHeight="1" x14ac:dyDescent="0.3">
      <c r="A68" s="45"/>
      <c r="B68" s="110" t="s">
        <v>48</v>
      </c>
      <c r="C68" s="110"/>
      <c r="D68" s="110"/>
      <c r="E68" s="110"/>
      <c r="F68" s="123">
        <v>0</v>
      </c>
      <c r="G68" s="123">
        <v>14.519784973593953</v>
      </c>
      <c r="H68" s="123">
        <v>0</v>
      </c>
      <c r="I68" s="123">
        <v>14.510379786459193</v>
      </c>
      <c r="J68" s="123">
        <v>0</v>
      </c>
      <c r="K68" s="123">
        <v>14.510715836459191</v>
      </c>
      <c r="L68" s="123">
        <v>0</v>
      </c>
      <c r="M68" s="123">
        <v>14.511055896459194</v>
      </c>
      <c r="N68" s="123">
        <v>0</v>
      </c>
      <c r="O68" s="123">
        <v>6.6007069742256421</v>
      </c>
      <c r="P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row>
    <row r="69" spans="1:68" ht="27.95" customHeight="1" x14ac:dyDescent="0.3">
      <c r="A69" s="45"/>
      <c r="B69" s="115" t="s">
        <v>49</v>
      </c>
      <c r="C69" s="115"/>
      <c r="D69" s="115"/>
      <c r="E69" s="115"/>
      <c r="F69" s="126">
        <v>0</v>
      </c>
      <c r="G69" s="126">
        <v>12.219005249609809</v>
      </c>
      <c r="H69" s="126">
        <v>0</v>
      </c>
      <c r="I69" s="126">
        <v>12.202267204886727</v>
      </c>
      <c r="J69" s="126">
        <v>0</v>
      </c>
      <c r="K69" s="126">
        <v>12.202603254886727</v>
      </c>
      <c r="L69" s="126">
        <v>0</v>
      </c>
      <c r="M69" s="126">
        <v>12.202943314886728</v>
      </c>
      <c r="N69" s="126">
        <v>0</v>
      </c>
      <c r="O69" s="126">
        <v>5.8358965301440104</v>
      </c>
      <c r="P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row>
    <row r="70" spans="1:68" ht="27.95" customHeight="1" x14ac:dyDescent="0.3">
      <c r="A70" s="45"/>
      <c r="B70" s="101" t="s">
        <v>50</v>
      </c>
      <c r="C70" s="101" t="s">
        <v>51</v>
      </c>
      <c r="D70" s="101" t="s">
        <v>18</v>
      </c>
      <c r="E70" s="101" t="s">
        <v>107</v>
      </c>
      <c r="F70" s="137">
        <v>0</v>
      </c>
      <c r="G70" s="137">
        <v>2.3103220000000002</v>
      </c>
      <c r="H70" s="137">
        <v>0</v>
      </c>
      <c r="I70" s="137">
        <v>2.3103220000000002</v>
      </c>
      <c r="J70" s="137">
        <v>0</v>
      </c>
      <c r="K70" s="137">
        <v>2.3103220000000002</v>
      </c>
      <c r="L70" s="137">
        <v>0</v>
      </c>
      <c r="M70" s="137">
        <v>2.3103220000000002</v>
      </c>
      <c r="N70" s="137">
        <v>0</v>
      </c>
      <c r="O70" s="137">
        <v>1.3307149773553466</v>
      </c>
      <c r="Q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row>
    <row r="71" spans="1:68" ht="27.95" customHeight="1" x14ac:dyDescent="0.3">
      <c r="A71" s="45"/>
      <c r="B71" s="101" t="s">
        <v>54</v>
      </c>
      <c r="C71" s="101" t="s">
        <v>55</v>
      </c>
      <c r="D71" s="101" t="s">
        <v>18</v>
      </c>
      <c r="E71" s="101" t="s">
        <v>107</v>
      </c>
      <c r="F71" s="137">
        <v>0</v>
      </c>
      <c r="G71" s="137">
        <v>2.5411806205221881</v>
      </c>
      <c r="H71" s="137">
        <v>0</v>
      </c>
      <c r="I71" s="137">
        <v>2.5411806210443753</v>
      </c>
      <c r="J71" s="137">
        <v>0</v>
      </c>
      <c r="K71" s="137">
        <v>2.5411806210443748</v>
      </c>
      <c r="L71" s="137">
        <v>0</v>
      </c>
      <c r="M71" s="137">
        <v>2.5411806210443748</v>
      </c>
      <c r="N71" s="137">
        <v>0</v>
      </c>
      <c r="O71" s="137">
        <v>0</v>
      </c>
      <c r="Q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row>
    <row r="72" spans="1:68" ht="27.95" customHeight="1" x14ac:dyDescent="0.3">
      <c r="A72" s="45"/>
      <c r="B72" s="101" t="s">
        <v>56</v>
      </c>
      <c r="C72" s="101" t="s">
        <v>57</v>
      </c>
      <c r="D72" s="101" t="s">
        <v>18</v>
      </c>
      <c r="E72" s="101" t="s">
        <v>107</v>
      </c>
      <c r="F72" s="137">
        <v>0</v>
      </c>
      <c r="G72" s="137">
        <v>2.8515320943328861</v>
      </c>
      <c r="H72" s="137">
        <v>0</v>
      </c>
      <c r="I72" s="137">
        <v>2.8515320943328861</v>
      </c>
      <c r="J72" s="137">
        <v>0</v>
      </c>
      <c r="K72" s="137">
        <v>2.8515320943328861</v>
      </c>
      <c r="L72" s="137">
        <v>0</v>
      </c>
      <c r="M72" s="137">
        <v>2.8515320943328861</v>
      </c>
      <c r="N72" s="137">
        <v>0</v>
      </c>
      <c r="O72" s="137">
        <v>0</v>
      </c>
      <c r="P72" s="51"/>
      <c r="Q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row>
    <row r="73" spans="1:68" ht="27.95" customHeight="1" x14ac:dyDescent="0.3">
      <c r="A73" s="45"/>
      <c r="B73" s="101" t="s">
        <v>58</v>
      </c>
      <c r="C73" s="101" t="s">
        <v>59</v>
      </c>
      <c r="D73" s="101" t="s">
        <v>18</v>
      </c>
      <c r="E73" s="101" t="s">
        <v>107</v>
      </c>
      <c r="F73" s="137">
        <v>0</v>
      </c>
      <c r="G73" s="137">
        <v>2.8918855399999974</v>
      </c>
      <c r="H73" s="137">
        <v>0</v>
      </c>
      <c r="I73" s="137">
        <v>2.8918855399999948</v>
      </c>
      <c r="J73" s="137">
        <v>0</v>
      </c>
      <c r="K73" s="137">
        <v>2.8918855399999948</v>
      </c>
      <c r="L73" s="137">
        <v>0</v>
      </c>
      <c r="M73" s="137">
        <v>2.8918855399999948</v>
      </c>
      <c r="N73" s="137">
        <v>0</v>
      </c>
      <c r="O73" s="137">
        <v>2.5411806210443748</v>
      </c>
      <c r="P73" s="51"/>
      <c r="Q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row>
    <row r="74" spans="1:68" ht="27.95" customHeight="1" x14ac:dyDescent="0.3">
      <c r="A74" s="45"/>
      <c r="B74" s="101" t="s">
        <v>60</v>
      </c>
      <c r="C74" s="101" t="s">
        <v>61</v>
      </c>
      <c r="D74" s="101" t="s">
        <v>18</v>
      </c>
      <c r="E74" s="101" t="s">
        <v>107</v>
      </c>
      <c r="F74" s="137">
        <v>0</v>
      </c>
      <c r="G74" s="137">
        <v>0.78128094661086167</v>
      </c>
      <c r="H74" s="137">
        <v>0</v>
      </c>
      <c r="I74" s="137">
        <v>0.76421081322172335</v>
      </c>
      <c r="J74" s="137">
        <v>0</v>
      </c>
      <c r="K74" s="137">
        <v>0.76421081322172335</v>
      </c>
      <c r="L74" s="137">
        <v>0</v>
      </c>
      <c r="M74" s="137">
        <v>0.76421081322172335</v>
      </c>
      <c r="N74" s="137">
        <v>0</v>
      </c>
      <c r="O74" s="137">
        <v>0.77858456846153712</v>
      </c>
      <c r="P74" s="51"/>
      <c r="Q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row>
    <row r="75" spans="1:68" ht="27.95" customHeight="1" x14ac:dyDescent="0.3">
      <c r="A75" s="45"/>
      <c r="B75" s="101" t="s">
        <v>62</v>
      </c>
      <c r="C75" s="101" t="s">
        <v>63</v>
      </c>
      <c r="D75" s="101" t="s">
        <v>18</v>
      </c>
      <c r="E75" s="101" t="s">
        <v>107</v>
      </c>
      <c r="F75" s="137">
        <v>0</v>
      </c>
      <c r="G75" s="137">
        <v>0.42120555503051449</v>
      </c>
      <c r="H75" s="137">
        <v>0</v>
      </c>
      <c r="I75" s="137">
        <v>0.42120555006102905</v>
      </c>
      <c r="J75" s="137">
        <v>0</v>
      </c>
      <c r="K75" s="137">
        <v>0.42120555006102905</v>
      </c>
      <c r="L75" s="137">
        <v>0</v>
      </c>
      <c r="M75" s="137">
        <v>0.42120555006102905</v>
      </c>
      <c r="N75" s="137">
        <v>0</v>
      </c>
      <c r="O75" s="137">
        <v>0.76421081322172313</v>
      </c>
      <c r="P75" s="51"/>
      <c r="Q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row>
    <row r="76" spans="1:68" ht="27.95" customHeight="1" x14ac:dyDescent="0.3">
      <c r="A76" s="45"/>
      <c r="B76" s="101" t="s">
        <v>65</v>
      </c>
      <c r="C76" s="101" t="s">
        <v>66</v>
      </c>
      <c r="D76" s="101" t="s">
        <v>18</v>
      </c>
      <c r="E76" s="101" t="s">
        <v>107</v>
      </c>
      <c r="F76" s="137">
        <v>0</v>
      </c>
      <c r="G76" s="137">
        <v>0.39381707311336017</v>
      </c>
      <c r="H76" s="137">
        <v>0</v>
      </c>
      <c r="I76" s="137">
        <v>0.39381708622672035</v>
      </c>
      <c r="J76" s="137">
        <v>0</v>
      </c>
      <c r="K76" s="137">
        <v>0.39381708622672035</v>
      </c>
      <c r="L76" s="137">
        <v>0</v>
      </c>
      <c r="M76" s="137">
        <v>0.39381708622672035</v>
      </c>
      <c r="N76" s="137">
        <v>0</v>
      </c>
      <c r="O76" s="137">
        <v>0</v>
      </c>
      <c r="P76" s="51"/>
      <c r="Q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row>
    <row r="77" spans="1:68" ht="27.95" customHeight="1" x14ac:dyDescent="0.3">
      <c r="A77" s="45"/>
      <c r="B77" s="101" t="s">
        <v>67</v>
      </c>
      <c r="C77" s="101" t="s">
        <v>68</v>
      </c>
      <c r="D77" s="101" t="s">
        <v>18</v>
      </c>
      <c r="E77" s="101" t="s">
        <v>107</v>
      </c>
      <c r="F77" s="137">
        <v>0</v>
      </c>
      <c r="G77" s="137">
        <v>2.7781419999999998E-2</v>
      </c>
      <c r="H77" s="137">
        <v>0</v>
      </c>
      <c r="I77" s="137">
        <v>2.81135E-2</v>
      </c>
      <c r="J77" s="137">
        <v>0</v>
      </c>
      <c r="K77" s="137">
        <v>2.8449550000000004E-2</v>
      </c>
      <c r="L77" s="137">
        <v>0</v>
      </c>
      <c r="M77" s="137">
        <v>2.878961E-2</v>
      </c>
      <c r="N77" s="137">
        <v>0</v>
      </c>
      <c r="O77" s="137">
        <v>0.421205550061029</v>
      </c>
      <c r="P77" s="51"/>
      <c r="Q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row>
    <row r="78" spans="1:68" ht="27.95" customHeight="1" x14ac:dyDescent="0.3">
      <c r="A78" s="45"/>
      <c r="B78" s="101" t="s">
        <v>69</v>
      </c>
      <c r="C78" s="101" t="s">
        <v>70</v>
      </c>
      <c r="D78" s="101" t="s">
        <v>18</v>
      </c>
      <c r="E78" s="101" t="s">
        <v>107</v>
      </c>
      <c r="F78" s="137">
        <v>0</v>
      </c>
      <c r="G78" s="137">
        <v>0</v>
      </c>
      <c r="H78" s="137">
        <v>0</v>
      </c>
      <c r="I78" s="137">
        <v>0</v>
      </c>
      <c r="J78" s="137">
        <v>0</v>
      </c>
      <c r="K78" s="137">
        <v>0</v>
      </c>
      <c r="L78" s="137">
        <v>0</v>
      </c>
      <c r="M78" s="137">
        <v>0</v>
      </c>
      <c r="N78" s="137">
        <v>0</v>
      </c>
      <c r="O78" s="137">
        <v>0</v>
      </c>
      <c r="P78" s="51"/>
      <c r="Q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row>
    <row r="79" spans="1:68" ht="27.95" customHeight="1" x14ac:dyDescent="0.3">
      <c r="A79" s="45"/>
      <c r="B79" s="115" t="s">
        <v>71</v>
      </c>
      <c r="C79" s="115"/>
      <c r="D79" s="115"/>
      <c r="E79" s="115"/>
      <c r="F79" s="126">
        <v>0</v>
      </c>
      <c r="G79" s="126">
        <v>2.3007797239841441</v>
      </c>
      <c r="H79" s="126">
        <v>0</v>
      </c>
      <c r="I79" s="126">
        <v>2.3081125815724652</v>
      </c>
      <c r="J79" s="126">
        <v>0</v>
      </c>
      <c r="K79" s="126">
        <v>2.3081125815724652</v>
      </c>
      <c r="L79" s="126">
        <v>0</v>
      </c>
      <c r="M79" s="126">
        <v>2.3081125815724652</v>
      </c>
      <c r="N79" s="126">
        <v>0</v>
      </c>
      <c r="O79" s="126">
        <v>0.76481044408163168</v>
      </c>
      <c r="P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row>
    <row r="80" spans="1:68" ht="27.95" customHeight="1" x14ac:dyDescent="0.3">
      <c r="A80" s="45"/>
      <c r="B80" s="101" t="s">
        <v>72</v>
      </c>
      <c r="C80" s="101" t="s">
        <v>73</v>
      </c>
      <c r="D80" s="101" t="s">
        <v>18</v>
      </c>
      <c r="E80" s="101" t="s">
        <v>107</v>
      </c>
      <c r="F80" s="137">
        <v>0</v>
      </c>
      <c r="G80" s="137">
        <v>1.7845577014285705</v>
      </c>
      <c r="H80" s="137">
        <v>0</v>
      </c>
      <c r="I80" s="137">
        <v>1.7845577028571411</v>
      </c>
      <c r="J80" s="137">
        <v>0</v>
      </c>
      <c r="K80" s="137">
        <v>1.7845577028571411</v>
      </c>
      <c r="L80" s="137">
        <v>0</v>
      </c>
      <c r="M80" s="137">
        <v>1.7845577028571411</v>
      </c>
      <c r="N80" s="137">
        <v>0</v>
      </c>
      <c r="O80" s="137">
        <v>0</v>
      </c>
      <c r="Q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row>
    <row r="81" spans="1:84" ht="27.95" customHeight="1" x14ac:dyDescent="0.3">
      <c r="A81" s="45"/>
      <c r="B81" s="101" t="s">
        <v>108</v>
      </c>
      <c r="C81" s="101" t="s">
        <v>75</v>
      </c>
      <c r="D81" s="101" t="s">
        <v>18</v>
      </c>
      <c r="E81" s="101" t="s">
        <v>107</v>
      </c>
      <c r="F81" s="137">
        <v>0</v>
      </c>
      <c r="G81" s="137">
        <v>0.38741784639582327</v>
      </c>
      <c r="H81" s="137">
        <v>0</v>
      </c>
      <c r="I81" s="137">
        <v>0.38741784639582327</v>
      </c>
      <c r="J81" s="137">
        <v>0</v>
      </c>
      <c r="K81" s="137">
        <v>0.38741784639582327</v>
      </c>
      <c r="L81" s="137">
        <v>0</v>
      </c>
      <c r="M81" s="137">
        <v>0.38741784639582327</v>
      </c>
      <c r="N81" s="137">
        <v>0</v>
      </c>
      <c r="O81" s="137">
        <v>0</v>
      </c>
      <c r="Q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row>
    <row r="82" spans="1:84" ht="27.95" customHeight="1" x14ac:dyDescent="0.3">
      <c r="A82" s="45"/>
      <c r="B82" s="101" t="s">
        <v>76</v>
      </c>
      <c r="C82" s="101" t="s">
        <v>77</v>
      </c>
      <c r="D82" s="101" t="s">
        <v>18</v>
      </c>
      <c r="E82" s="101" t="s">
        <v>107</v>
      </c>
      <c r="F82" s="137">
        <v>0</v>
      </c>
      <c r="G82" s="137">
        <v>0.12880417615975048</v>
      </c>
      <c r="H82" s="137">
        <v>0</v>
      </c>
      <c r="I82" s="137">
        <v>0.13613703231950097</v>
      </c>
      <c r="J82" s="137">
        <v>0</v>
      </c>
      <c r="K82" s="137">
        <v>0.13613703231950097</v>
      </c>
      <c r="L82" s="137">
        <v>0</v>
      </c>
      <c r="M82" s="137">
        <v>0.13613703231950097</v>
      </c>
      <c r="N82" s="137">
        <v>0</v>
      </c>
      <c r="O82" s="137">
        <v>0.76481044408163168</v>
      </c>
      <c r="Q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row>
    <row r="83" spans="1:84" ht="27.95" customHeight="1" x14ac:dyDescent="0.3">
      <c r="A83" s="45"/>
      <c r="B83" s="110" t="s">
        <v>78</v>
      </c>
      <c r="C83" s="110"/>
      <c r="D83" s="110"/>
      <c r="E83" s="110"/>
      <c r="F83" s="123">
        <v>148363.47590967335</v>
      </c>
      <c r="G83" s="123">
        <v>79.695538450769234</v>
      </c>
      <c r="H83" s="123">
        <v>3160.247443993333</v>
      </c>
      <c r="I83" s="123">
        <v>79.695538461538462</v>
      </c>
      <c r="J83" s="123">
        <v>358935.25096328306</v>
      </c>
      <c r="K83" s="123">
        <v>79.695538461538462</v>
      </c>
      <c r="L83" s="123">
        <v>70929.35762327972</v>
      </c>
      <c r="M83" s="123">
        <v>39.847769230769231</v>
      </c>
      <c r="N83" s="123">
        <v>0</v>
      </c>
      <c r="O83" s="123">
        <v>0</v>
      </c>
      <c r="P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row>
    <row r="84" spans="1:84" ht="27.95" customHeight="1" x14ac:dyDescent="0.3">
      <c r="A84" s="45"/>
      <c r="B84" s="101" t="s">
        <v>109</v>
      </c>
      <c r="C84" s="101" t="s">
        <v>80</v>
      </c>
      <c r="D84" s="101" t="s">
        <v>18</v>
      </c>
      <c r="E84" s="101" t="s">
        <v>78</v>
      </c>
      <c r="F84" s="137">
        <v>0</v>
      </c>
      <c r="G84" s="137">
        <v>79.695538450769234</v>
      </c>
      <c r="H84" s="137">
        <v>0</v>
      </c>
      <c r="I84" s="137">
        <v>79.695538461538462</v>
      </c>
      <c r="J84" s="137">
        <v>0</v>
      </c>
      <c r="K84" s="137">
        <v>79.695538461538462</v>
      </c>
      <c r="L84" s="137">
        <v>0</v>
      </c>
      <c r="M84" s="137">
        <v>39.847769230769231</v>
      </c>
      <c r="N84" s="137">
        <v>0</v>
      </c>
      <c r="O84" s="137">
        <v>0</v>
      </c>
      <c r="Q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row>
    <row r="85" spans="1:84" ht="27.95" customHeight="1" x14ac:dyDescent="0.3">
      <c r="A85" s="45"/>
      <c r="B85" s="189" t="s">
        <v>185</v>
      </c>
      <c r="C85" s="189" t="s">
        <v>186</v>
      </c>
      <c r="D85" s="101" t="s">
        <v>91</v>
      </c>
      <c r="E85" s="101" t="s">
        <v>78</v>
      </c>
      <c r="F85" s="137">
        <v>0</v>
      </c>
      <c r="G85" s="137">
        <v>0</v>
      </c>
      <c r="H85" s="137">
        <v>0</v>
      </c>
      <c r="I85" s="137">
        <v>0</v>
      </c>
      <c r="J85" s="137">
        <v>323069.2761189522</v>
      </c>
      <c r="K85" s="137">
        <v>0</v>
      </c>
      <c r="L85" s="137">
        <v>0</v>
      </c>
      <c r="M85" s="137">
        <v>0</v>
      </c>
      <c r="N85" s="137">
        <v>0</v>
      </c>
      <c r="O85" s="137">
        <v>0</v>
      </c>
      <c r="Q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row>
    <row r="86" spans="1:84" ht="27.95" customHeight="1" x14ac:dyDescent="0.3">
      <c r="A86" s="45"/>
      <c r="B86" s="189" t="s">
        <v>188</v>
      </c>
      <c r="C86" s="189" t="s">
        <v>189</v>
      </c>
      <c r="D86" s="101" t="s">
        <v>91</v>
      </c>
      <c r="E86" s="101" t="s">
        <v>78</v>
      </c>
      <c r="F86" s="137">
        <v>0</v>
      </c>
      <c r="G86" s="137">
        <v>0</v>
      </c>
      <c r="H86" s="137">
        <v>0</v>
      </c>
      <c r="I86" s="137">
        <v>0</v>
      </c>
      <c r="J86" s="137">
        <v>35052.865867497487</v>
      </c>
      <c r="K86" s="137">
        <v>0</v>
      </c>
      <c r="L86" s="137">
        <v>70116.248646446387</v>
      </c>
      <c r="M86" s="137">
        <v>0</v>
      </c>
      <c r="N86" s="137">
        <v>0</v>
      </c>
      <c r="O86" s="137">
        <v>0</v>
      </c>
      <c r="Q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row>
    <row r="87" spans="1:84" ht="27.95" customHeight="1" x14ac:dyDescent="0.3">
      <c r="A87" s="45"/>
      <c r="B87" s="101" t="s">
        <v>83</v>
      </c>
      <c r="C87" s="101" t="s">
        <v>84</v>
      </c>
      <c r="D87" s="101" t="s">
        <v>17</v>
      </c>
      <c r="E87" s="101" t="s">
        <v>78</v>
      </c>
      <c r="F87" s="137">
        <v>72116.976999999999</v>
      </c>
      <c r="G87" s="137">
        <v>0</v>
      </c>
      <c r="H87" s="137">
        <v>0</v>
      </c>
      <c r="I87" s="137">
        <v>0</v>
      </c>
      <c r="J87" s="137">
        <v>0</v>
      </c>
      <c r="K87" s="137">
        <v>0</v>
      </c>
      <c r="L87" s="137">
        <v>0</v>
      </c>
      <c r="M87" s="137">
        <v>0</v>
      </c>
      <c r="N87" s="137">
        <v>0</v>
      </c>
      <c r="O87" s="137">
        <v>0</v>
      </c>
      <c r="Q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row>
    <row r="88" spans="1:84" ht="27.95" customHeight="1" x14ac:dyDescent="0.3">
      <c r="A88" s="45"/>
      <c r="B88" s="101" t="s">
        <v>86</v>
      </c>
      <c r="C88" s="101" t="s">
        <v>87</v>
      </c>
      <c r="D88" s="101" t="s">
        <v>17</v>
      </c>
      <c r="E88" s="101" t="s">
        <v>78</v>
      </c>
      <c r="F88" s="137">
        <v>70740.520999999993</v>
      </c>
      <c r="G88" s="137">
        <v>0</v>
      </c>
      <c r="H88" s="137">
        <v>0</v>
      </c>
      <c r="I88" s="137">
        <v>0</v>
      </c>
      <c r="J88" s="137">
        <v>0</v>
      </c>
      <c r="K88" s="137">
        <v>0</v>
      </c>
      <c r="L88" s="137">
        <v>0</v>
      </c>
      <c r="M88" s="137">
        <v>0</v>
      </c>
      <c r="N88" s="137">
        <v>0</v>
      </c>
      <c r="O88" s="137">
        <v>0</v>
      </c>
      <c r="Q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row>
    <row r="89" spans="1:84" ht="27.95" customHeight="1" x14ac:dyDescent="0.3">
      <c r="A89" s="45"/>
      <c r="B89" s="101" t="s">
        <v>89</v>
      </c>
      <c r="C89" s="101" t="s">
        <v>90</v>
      </c>
      <c r="D89" s="101" t="s">
        <v>91</v>
      </c>
      <c r="E89" s="101" t="s">
        <v>78</v>
      </c>
      <c r="F89" s="137">
        <v>4692.8689328400005</v>
      </c>
      <c r="G89" s="137">
        <v>0</v>
      </c>
      <c r="H89" s="137">
        <v>2347.1384671599999</v>
      </c>
      <c r="I89" s="137">
        <v>0</v>
      </c>
      <c r="J89" s="137">
        <v>0</v>
      </c>
      <c r="K89" s="137">
        <v>0</v>
      </c>
      <c r="L89" s="137">
        <v>0</v>
      </c>
      <c r="M89" s="137">
        <v>0</v>
      </c>
      <c r="N89" s="137">
        <v>0</v>
      </c>
      <c r="O89" s="137">
        <v>0</v>
      </c>
      <c r="P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row>
    <row r="90" spans="1:84" ht="27.95" customHeight="1" x14ac:dyDescent="0.3">
      <c r="A90" s="45"/>
      <c r="B90" s="101" t="s">
        <v>94</v>
      </c>
      <c r="C90" s="101" t="s">
        <v>95</v>
      </c>
      <c r="D90" s="101" t="s">
        <v>17</v>
      </c>
      <c r="E90" s="101" t="s">
        <v>78</v>
      </c>
      <c r="F90" s="137">
        <v>813.10897683333326</v>
      </c>
      <c r="G90" s="137">
        <v>0</v>
      </c>
      <c r="H90" s="137">
        <v>813.10897683333326</v>
      </c>
      <c r="I90" s="137">
        <v>0</v>
      </c>
      <c r="J90" s="137">
        <v>813.10897683333326</v>
      </c>
      <c r="K90" s="137">
        <v>0</v>
      </c>
      <c r="L90" s="137">
        <v>813.10897683333326</v>
      </c>
      <c r="M90" s="137">
        <v>0</v>
      </c>
      <c r="N90" s="137">
        <v>0</v>
      </c>
      <c r="O90" s="137">
        <v>0</v>
      </c>
      <c r="P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row>
    <row r="91" spans="1:84" ht="30" customHeight="1" x14ac:dyDescent="0.3">
      <c r="B91" s="231" t="s">
        <v>110</v>
      </c>
      <c r="C91" s="232"/>
      <c r="D91" s="232"/>
      <c r="E91" s="233"/>
      <c r="F91" s="123">
        <v>162041.85138382606</v>
      </c>
      <c r="G91" s="123">
        <v>94.215323424363191</v>
      </c>
      <c r="H91" s="123">
        <v>17572.571218012588</v>
      </c>
      <c r="I91" s="123">
        <v>94.205918247997658</v>
      </c>
      <c r="J91" s="123">
        <v>371552.99891644233</v>
      </c>
      <c r="K91" s="123">
        <v>94.206254297997646</v>
      </c>
      <c r="L91" s="123">
        <v>83547.105576438975</v>
      </c>
      <c r="M91" s="123">
        <v>54.358825127228428</v>
      </c>
      <c r="N91" s="123">
        <v>6287.1216089460231</v>
      </c>
      <c r="O91" s="123">
        <v>6.6007069742256421</v>
      </c>
      <c r="P91" s="52"/>
      <c r="W91" s="52"/>
      <c r="X91" s="52"/>
      <c r="Y91" s="52"/>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row>
    <row r="92" spans="1:84" ht="29.25" customHeight="1" x14ac:dyDescent="0.3">
      <c r="B92" s="31"/>
      <c r="C92" s="31"/>
      <c r="D92" s="31"/>
      <c r="E92" s="55"/>
      <c r="F92" s="164"/>
      <c r="G92" s="164"/>
      <c r="H92" s="164"/>
      <c r="I92" s="164"/>
      <c r="J92" s="164"/>
      <c r="K92" s="164"/>
      <c r="L92" s="164"/>
      <c r="M92" s="164"/>
      <c r="N92" s="164"/>
      <c r="O92" s="164"/>
      <c r="P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row>
    <row r="93" spans="1:84" x14ac:dyDescent="0.3">
      <c r="B93" s="32"/>
      <c r="C93" s="32"/>
      <c r="D93" s="32"/>
      <c r="E93" s="32"/>
      <c r="F93" s="166"/>
      <c r="G93" s="166"/>
      <c r="H93" s="166"/>
      <c r="I93" s="166"/>
      <c r="J93" s="166"/>
      <c r="K93" s="166"/>
      <c r="L93" s="166"/>
      <c r="M93" s="166"/>
      <c r="N93" s="166"/>
      <c r="O93" s="166"/>
      <c r="P93" s="164"/>
      <c r="Q93" s="164"/>
      <c r="R93" s="165"/>
      <c r="S93" s="165"/>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c r="CA93" s="60"/>
      <c r="CB93" s="60"/>
      <c r="CC93" s="60"/>
      <c r="CD93" s="60"/>
      <c r="CE93" s="60"/>
      <c r="CF93" s="60"/>
    </row>
    <row r="94" spans="1:84" x14ac:dyDescent="0.3">
      <c r="B94" s="32"/>
      <c r="C94" s="32"/>
      <c r="D94" s="32"/>
      <c r="E94" s="32"/>
      <c r="F94" s="85"/>
      <c r="G94" s="32"/>
      <c r="H94" s="32"/>
      <c r="I94" s="32"/>
      <c r="J94" s="32"/>
      <c r="K94" s="32"/>
      <c r="L94" s="32"/>
      <c r="M94" s="32"/>
      <c r="N94" s="32"/>
      <c r="O94" s="32"/>
      <c r="P94" s="166"/>
      <c r="Q94" s="166"/>
      <c r="R94" s="167"/>
      <c r="S94" s="167"/>
      <c r="T94" s="32"/>
      <c r="U94" s="32"/>
      <c r="V94" s="32"/>
      <c r="W94" s="32"/>
      <c r="X94" s="32"/>
    </row>
    <row r="95" spans="1:84" ht="20.25" customHeight="1" x14ac:dyDescent="0.3">
      <c r="B95" s="4" t="s">
        <v>111</v>
      </c>
      <c r="C95" s="4"/>
      <c r="D95" s="4"/>
      <c r="E95" s="4"/>
      <c r="F95" s="4"/>
      <c r="G95" s="4"/>
      <c r="H95" s="4"/>
      <c r="I95" s="4"/>
      <c r="J95" s="4"/>
      <c r="K95" s="4"/>
      <c r="L95" s="4"/>
      <c r="M95" s="4"/>
      <c r="N95" s="4"/>
      <c r="O95" s="4"/>
      <c r="P95" s="32"/>
      <c r="Q95" s="32"/>
      <c r="R95" s="32"/>
      <c r="S95" s="32"/>
      <c r="T95" s="32"/>
      <c r="U95" s="32"/>
      <c r="V95" s="32"/>
      <c r="W95" s="32"/>
      <c r="X95" s="32"/>
    </row>
    <row r="96" spans="1:84" ht="17.25" customHeight="1" x14ac:dyDescent="0.3">
      <c r="B96" s="106" t="s">
        <v>2</v>
      </c>
      <c r="C96" s="1"/>
      <c r="D96" s="1"/>
      <c r="E96" s="1"/>
      <c r="F96" s="82"/>
      <c r="G96" s="1"/>
      <c r="H96" s="1"/>
      <c r="I96" s="1"/>
      <c r="J96" s="1"/>
      <c r="K96" s="1"/>
      <c r="L96" s="1"/>
      <c r="M96" s="1"/>
      <c r="N96" s="1"/>
      <c r="O96" s="1"/>
      <c r="P96" s="4"/>
      <c r="Q96" s="4"/>
      <c r="R96" s="4"/>
      <c r="S96" s="4"/>
    </row>
    <row r="97" spans="1:68" x14ac:dyDescent="0.3">
      <c r="G97" s="83"/>
      <c r="H97" s="83"/>
      <c r="I97" s="83"/>
      <c r="J97" s="83"/>
      <c r="K97" s="83"/>
      <c r="L97" s="83"/>
      <c r="M97" s="83"/>
      <c r="N97" s="83"/>
      <c r="O97" s="83"/>
      <c r="P97" s="10"/>
    </row>
    <row r="98" spans="1:68" ht="30" customHeight="1" x14ac:dyDescent="0.3">
      <c r="F98" s="120">
        <v>2026</v>
      </c>
      <c r="G98" s="120">
        <v>2026</v>
      </c>
      <c r="H98" s="120">
        <v>2027</v>
      </c>
      <c r="I98" s="120">
        <v>2027</v>
      </c>
      <c r="J98" s="120">
        <v>2028</v>
      </c>
      <c r="K98" s="120">
        <v>2028</v>
      </c>
      <c r="L98" s="120">
        <v>2029</v>
      </c>
      <c r="M98" s="120">
        <v>2029</v>
      </c>
      <c r="N98" s="121" t="s">
        <v>16</v>
      </c>
      <c r="O98" s="121" t="s">
        <v>16</v>
      </c>
      <c r="P98" s="83"/>
      <c r="Q98" s="83"/>
    </row>
    <row r="99" spans="1:68" ht="32.25" customHeight="1" x14ac:dyDescent="0.3">
      <c r="B99" s="107" t="s">
        <v>3</v>
      </c>
      <c r="C99" s="107" t="s">
        <v>4</v>
      </c>
      <c r="D99" s="108" t="s">
        <v>5</v>
      </c>
      <c r="E99" s="108" t="s">
        <v>104</v>
      </c>
      <c r="F99" s="107" t="s">
        <v>17</v>
      </c>
      <c r="G99" s="122" t="s">
        <v>18</v>
      </c>
      <c r="H99" s="107" t="s">
        <v>17</v>
      </c>
      <c r="I99" s="122" t="s">
        <v>18</v>
      </c>
      <c r="J99" s="107" t="s">
        <v>17</v>
      </c>
      <c r="K99" s="122" t="s">
        <v>18</v>
      </c>
      <c r="L99" s="107" t="s">
        <v>17</v>
      </c>
      <c r="M99" s="122" t="s">
        <v>18</v>
      </c>
      <c r="N99" s="107" t="s">
        <v>17</v>
      </c>
      <c r="O99" s="122" t="s">
        <v>18</v>
      </c>
      <c r="Q99" s="64"/>
      <c r="W99" s="65"/>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row>
    <row r="100" spans="1:68" ht="33.75" customHeight="1" x14ac:dyDescent="0.3">
      <c r="B100" s="110" t="s">
        <v>19</v>
      </c>
      <c r="C100" s="110"/>
      <c r="D100" s="110"/>
      <c r="E100" s="110"/>
      <c r="F100" s="123">
        <v>191.29332916941229</v>
      </c>
      <c r="G100" s="123">
        <v>0</v>
      </c>
      <c r="H100" s="123">
        <v>170.22282690368689</v>
      </c>
      <c r="I100" s="123">
        <v>0</v>
      </c>
      <c r="J100" s="123">
        <v>138.69310848650758</v>
      </c>
      <c r="K100" s="123">
        <v>0</v>
      </c>
      <c r="L100" s="123">
        <v>107.30242452506987</v>
      </c>
      <c r="M100" s="123">
        <v>0</v>
      </c>
      <c r="N100" s="123">
        <v>40.075909611891831</v>
      </c>
      <c r="O100" s="123">
        <v>0</v>
      </c>
      <c r="Q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row>
    <row r="101" spans="1:68" ht="27.95" customHeight="1" x14ac:dyDescent="0.3">
      <c r="B101" s="101" t="s">
        <v>20</v>
      </c>
      <c r="C101" s="101" t="s">
        <v>21</v>
      </c>
      <c r="D101" s="101" t="s">
        <v>17</v>
      </c>
      <c r="E101" s="101" t="s">
        <v>19</v>
      </c>
      <c r="F101" s="137">
        <v>187.36608373487422</v>
      </c>
      <c r="G101" s="137">
        <v>0</v>
      </c>
      <c r="H101" s="137">
        <v>170.22282690368689</v>
      </c>
      <c r="I101" s="137">
        <v>0</v>
      </c>
      <c r="J101" s="137">
        <v>138.69310848650758</v>
      </c>
      <c r="K101" s="137">
        <v>0</v>
      </c>
      <c r="L101" s="137">
        <v>107.30242452506987</v>
      </c>
      <c r="M101" s="137">
        <v>0</v>
      </c>
      <c r="N101" s="137">
        <v>40.075909611891831</v>
      </c>
      <c r="O101" s="137">
        <v>0</v>
      </c>
      <c r="Q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row>
    <row r="102" spans="1:68" ht="27.95" customHeight="1" x14ac:dyDescent="0.3">
      <c r="A102" s="45"/>
      <c r="B102" s="101" t="s">
        <v>26</v>
      </c>
      <c r="C102" s="101" t="s">
        <v>27</v>
      </c>
      <c r="D102" s="101" t="s">
        <v>17</v>
      </c>
      <c r="E102" s="101" t="s">
        <v>19</v>
      </c>
      <c r="F102" s="137">
        <v>0.30515752000000002</v>
      </c>
      <c r="G102" s="137">
        <v>0</v>
      </c>
      <c r="H102" s="137">
        <v>0</v>
      </c>
      <c r="I102" s="137">
        <v>0</v>
      </c>
      <c r="J102" s="137">
        <v>0</v>
      </c>
      <c r="K102" s="137">
        <v>0</v>
      </c>
      <c r="L102" s="137">
        <v>0</v>
      </c>
      <c r="M102" s="137">
        <v>0</v>
      </c>
      <c r="N102" s="137">
        <v>0</v>
      </c>
      <c r="O102" s="137">
        <v>0</v>
      </c>
      <c r="Q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row>
    <row r="103" spans="1:68" ht="27.95" customHeight="1" x14ac:dyDescent="0.3">
      <c r="A103" s="45"/>
      <c r="B103" s="101" t="s">
        <v>28</v>
      </c>
      <c r="C103" s="101" t="s">
        <v>29</v>
      </c>
      <c r="D103" s="101" t="s">
        <v>17</v>
      </c>
      <c r="E103" s="101" t="s">
        <v>19</v>
      </c>
      <c r="F103" s="137">
        <v>3.6113821300000004</v>
      </c>
      <c r="G103" s="137">
        <v>0</v>
      </c>
      <c r="H103" s="137">
        <v>0</v>
      </c>
      <c r="I103" s="137">
        <v>0</v>
      </c>
      <c r="J103" s="137">
        <v>0</v>
      </c>
      <c r="K103" s="137">
        <v>0</v>
      </c>
      <c r="L103" s="137">
        <v>0</v>
      </c>
      <c r="M103" s="137">
        <v>0</v>
      </c>
      <c r="N103" s="137">
        <v>0</v>
      </c>
      <c r="O103" s="137">
        <v>0</v>
      </c>
      <c r="Q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row>
    <row r="104" spans="1:68" ht="27.95" customHeight="1" x14ac:dyDescent="0.3">
      <c r="A104" s="45"/>
      <c r="B104" s="101" t="s">
        <v>33</v>
      </c>
      <c r="C104" s="101" t="s">
        <v>34</v>
      </c>
      <c r="D104" s="101" t="s">
        <v>17</v>
      </c>
      <c r="E104" s="101" t="s">
        <v>19</v>
      </c>
      <c r="F104" s="137">
        <v>1.0705784538065486E-2</v>
      </c>
      <c r="G104" s="137">
        <v>0</v>
      </c>
      <c r="H104" s="137">
        <v>0</v>
      </c>
      <c r="I104" s="137">
        <v>0</v>
      </c>
      <c r="J104" s="137">
        <v>0</v>
      </c>
      <c r="K104" s="137">
        <v>0</v>
      </c>
      <c r="L104" s="137">
        <v>0</v>
      </c>
      <c r="M104" s="137">
        <v>0</v>
      </c>
      <c r="N104" s="137">
        <v>0</v>
      </c>
      <c r="O104" s="137">
        <v>0</v>
      </c>
      <c r="Q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row>
    <row r="105" spans="1:68" ht="27.95" customHeight="1" x14ac:dyDescent="0.3">
      <c r="A105" s="45"/>
      <c r="B105" s="110" t="s">
        <v>35</v>
      </c>
      <c r="C105" s="110"/>
      <c r="D105" s="110"/>
      <c r="E105" s="110"/>
      <c r="F105" s="123">
        <v>9384.0720173989357</v>
      </c>
      <c r="G105" s="123">
        <v>0</v>
      </c>
      <c r="H105" s="123">
        <v>5620.2537275753821</v>
      </c>
      <c r="I105" s="123">
        <v>0</v>
      </c>
      <c r="J105" s="123">
        <v>3261.3665008349767</v>
      </c>
      <c r="K105" s="123">
        <v>0</v>
      </c>
      <c r="L105" s="123">
        <v>938.82586733895448</v>
      </c>
      <c r="M105" s="123">
        <v>0</v>
      </c>
      <c r="N105" s="123">
        <v>69.252443496738508</v>
      </c>
      <c r="O105" s="123">
        <v>0</v>
      </c>
      <c r="Q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row>
    <row r="106" spans="1:68" ht="27.95" customHeight="1" x14ac:dyDescent="0.3">
      <c r="A106" s="45"/>
      <c r="B106" s="5" t="s">
        <v>36</v>
      </c>
      <c r="C106" s="5" t="s">
        <v>37</v>
      </c>
      <c r="D106" s="5" t="s">
        <v>17</v>
      </c>
      <c r="E106" s="101" t="s">
        <v>35</v>
      </c>
      <c r="F106" s="137">
        <v>8183.0125862965597</v>
      </c>
      <c r="G106" s="137">
        <v>0</v>
      </c>
      <c r="H106" s="137">
        <v>5515.3060333512713</v>
      </c>
      <c r="I106" s="137">
        <v>0</v>
      </c>
      <c r="J106" s="137">
        <v>3261.3665008349767</v>
      </c>
      <c r="K106" s="137">
        <v>0</v>
      </c>
      <c r="L106" s="137">
        <v>938.82586733895448</v>
      </c>
      <c r="M106" s="137">
        <v>0</v>
      </c>
      <c r="N106" s="137">
        <v>69.252443496738508</v>
      </c>
      <c r="O106" s="137">
        <v>0</v>
      </c>
      <c r="Q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row>
    <row r="107" spans="1:68" ht="27.95" customHeight="1" x14ac:dyDescent="0.3">
      <c r="A107" s="45"/>
      <c r="B107" s="101" t="s">
        <v>39</v>
      </c>
      <c r="C107" s="101" t="s">
        <v>40</v>
      </c>
      <c r="D107" s="101" t="s">
        <v>17</v>
      </c>
      <c r="E107" s="101" t="s">
        <v>35</v>
      </c>
      <c r="F107" s="137">
        <v>1201.0594311023763</v>
      </c>
      <c r="G107" s="137">
        <v>0</v>
      </c>
      <c r="H107" s="137">
        <v>104.94769422411116</v>
      </c>
      <c r="I107" s="137">
        <v>0</v>
      </c>
      <c r="J107" s="137">
        <v>0</v>
      </c>
      <c r="K107" s="137">
        <v>0</v>
      </c>
      <c r="L107" s="137">
        <v>0</v>
      </c>
      <c r="M107" s="137">
        <v>0</v>
      </c>
      <c r="N107" s="137">
        <v>0</v>
      </c>
      <c r="O107" s="137">
        <v>0</v>
      </c>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row>
    <row r="108" spans="1:68" ht="27.95" customHeight="1" x14ac:dyDescent="0.3">
      <c r="A108" s="45"/>
      <c r="B108" s="110" t="s">
        <v>42</v>
      </c>
      <c r="C108" s="110"/>
      <c r="D108" s="110"/>
      <c r="E108" s="110"/>
      <c r="F108" s="188">
        <v>7125.8633415227087</v>
      </c>
      <c r="G108" s="188">
        <v>0</v>
      </c>
      <c r="H108" s="188">
        <v>6046.5447297957908</v>
      </c>
      <c r="I108" s="188">
        <v>0</v>
      </c>
      <c r="J108" s="188">
        <v>5437.3000657020557</v>
      </c>
      <c r="K108" s="188">
        <v>0</v>
      </c>
      <c r="L108" s="188">
        <v>3089.7239467143418</v>
      </c>
      <c r="M108" s="188">
        <v>0</v>
      </c>
      <c r="N108" s="188">
        <v>1797.8343085600279</v>
      </c>
      <c r="O108" s="188">
        <v>0</v>
      </c>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row>
    <row r="109" spans="1:68" ht="27.95" customHeight="1" x14ac:dyDescent="0.3">
      <c r="A109" s="45"/>
      <c r="B109" s="101" t="s">
        <v>43</v>
      </c>
      <c r="C109" s="101" t="s">
        <v>44</v>
      </c>
      <c r="D109" s="101" t="s">
        <v>17</v>
      </c>
      <c r="E109" s="101" t="s">
        <v>43</v>
      </c>
      <c r="F109" s="137">
        <v>7125.8633415227087</v>
      </c>
      <c r="G109" s="137">
        <v>0</v>
      </c>
      <c r="H109" s="137">
        <v>6046.5447297957908</v>
      </c>
      <c r="I109" s="137">
        <v>0</v>
      </c>
      <c r="J109" s="137">
        <v>5437.3000657020557</v>
      </c>
      <c r="K109" s="137">
        <v>0</v>
      </c>
      <c r="L109" s="137">
        <v>3089.7239467143418</v>
      </c>
      <c r="M109" s="137">
        <v>0</v>
      </c>
      <c r="N109" s="137">
        <v>1797.8343085600279</v>
      </c>
      <c r="O109" s="137">
        <v>0</v>
      </c>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row>
    <row r="110" spans="1:68" ht="27.95" customHeight="1" x14ac:dyDescent="0.3">
      <c r="A110" s="45"/>
      <c r="B110" s="110" t="s">
        <v>48</v>
      </c>
      <c r="C110" s="110"/>
      <c r="D110" s="110"/>
      <c r="E110" s="110"/>
      <c r="F110" s="123">
        <v>0</v>
      </c>
      <c r="G110" s="123">
        <v>8.6523975118753995</v>
      </c>
      <c r="H110" s="123">
        <v>0</v>
      </c>
      <c r="I110" s="123">
        <v>8.4070992232330486</v>
      </c>
      <c r="J110" s="123">
        <v>0</v>
      </c>
      <c r="K110" s="123">
        <v>7.4488903705353833</v>
      </c>
      <c r="L110" s="123">
        <v>0</v>
      </c>
      <c r="M110" s="123">
        <v>6.0826114248126295</v>
      </c>
      <c r="N110" s="123">
        <v>0</v>
      </c>
      <c r="O110" s="123">
        <v>1.4675960819741227</v>
      </c>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row>
    <row r="111" spans="1:68" ht="27.95" customHeight="1" x14ac:dyDescent="0.3">
      <c r="A111" s="45"/>
      <c r="B111" s="115" t="s">
        <v>49</v>
      </c>
      <c r="C111" s="115"/>
      <c r="D111" s="115"/>
      <c r="E111" s="115"/>
      <c r="F111" s="126">
        <v>0</v>
      </c>
      <c r="G111" s="126">
        <v>7.4097050443510692</v>
      </c>
      <c r="H111" s="126">
        <v>0</v>
      </c>
      <c r="I111" s="126">
        <v>7.1822981363023164</v>
      </c>
      <c r="J111" s="126">
        <v>0</v>
      </c>
      <c r="K111" s="126">
        <v>6.3232651028185334</v>
      </c>
      <c r="L111" s="126">
        <v>0</v>
      </c>
      <c r="M111" s="126">
        <v>5.0624380715884563</v>
      </c>
      <c r="N111" s="126">
        <v>0</v>
      </c>
      <c r="O111" s="126">
        <v>1.3147594933004421</v>
      </c>
      <c r="Q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row>
    <row r="112" spans="1:68" ht="27.95" customHeight="1" x14ac:dyDescent="0.3">
      <c r="A112" s="45"/>
      <c r="B112" s="101" t="s">
        <v>50</v>
      </c>
      <c r="C112" s="101" t="s">
        <v>51</v>
      </c>
      <c r="D112" s="101" t="s">
        <v>18</v>
      </c>
      <c r="E112" s="101" t="s">
        <v>107</v>
      </c>
      <c r="F112" s="137">
        <v>0</v>
      </c>
      <c r="G112" s="137">
        <v>2.1604710605364099</v>
      </c>
      <c r="H112" s="137">
        <v>0</v>
      </c>
      <c r="I112" s="137">
        <v>2.0523546079069752</v>
      </c>
      <c r="J112" s="137">
        <v>0</v>
      </c>
      <c r="K112" s="137">
        <v>1.866553449164587</v>
      </c>
      <c r="L112" s="137">
        <v>0</v>
      </c>
      <c r="M112" s="137">
        <v>1.5250827942440612</v>
      </c>
      <c r="N112" s="137">
        <v>0</v>
      </c>
      <c r="O112" s="137">
        <v>0.16438395031159697</v>
      </c>
      <c r="Q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row>
    <row r="113" spans="1:68" ht="27.95" customHeight="1" x14ac:dyDescent="0.3">
      <c r="A113" s="45"/>
      <c r="B113" s="101" t="s">
        <v>54</v>
      </c>
      <c r="C113" s="101" t="s">
        <v>55</v>
      </c>
      <c r="D113" s="101" t="s">
        <v>18</v>
      </c>
      <c r="E113" s="101" t="s">
        <v>107</v>
      </c>
      <c r="F113" s="137">
        <v>0</v>
      </c>
      <c r="G113" s="137">
        <v>1.8776405933477562</v>
      </c>
      <c r="H113" s="137">
        <v>0</v>
      </c>
      <c r="I113" s="137">
        <v>1.6970143430108096</v>
      </c>
      <c r="J113" s="137">
        <v>0</v>
      </c>
      <c r="K113" s="137">
        <v>1.5175680031884247</v>
      </c>
      <c r="L113" s="137">
        <v>0</v>
      </c>
      <c r="M113" s="137">
        <v>1.273579156660857</v>
      </c>
      <c r="N113" s="137">
        <v>0</v>
      </c>
      <c r="O113" s="137">
        <v>0</v>
      </c>
      <c r="Q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row>
    <row r="114" spans="1:68" ht="27.95" customHeight="1" x14ac:dyDescent="0.3">
      <c r="A114" s="45"/>
      <c r="B114" s="101" t="s">
        <v>56</v>
      </c>
      <c r="C114" s="101" t="s">
        <v>57</v>
      </c>
      <c r="D114" s="101" t="s">
        <v>18</v>
      </c>
      <c r="E114" s="101" t="s">
        <v>107</v>
      </c>
      <c r="F114" s="137">
        <v>0</v>
      </c>
      <c r="G114" s="137">
        <v>1.4123145077417396</v>
      </c>
      <c r="H114" s="137">
        <v>0</v>
      </c>
      <c r="I114" s="137">
        <v>1.3880152778249875</v>
      </c>
      <c r="J114" s="137">
        <v>0</v>
      </c>
      <c r="K114" s="137">
        <v>1.199649317606714</v>
      </c>
      <c r="L114" s="137">
        <v>0</v>
      </c>
      <c r="M114" s="137">
        <v>0.90593448071540006</v>
      </c>
      <c r="N114" s="137">
        <v>0</v>
      </c>
      <c r="O114" s="137">
        <v>0</v>
      </c>
      <c r="Q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row>
    <row r="115" spans="1:68" ht="27.95" customHeight="1" x14ac:dyDescent="0.3">
      <c r="A115" s="45"/>
      <c r="B115" s="101" t="s">
        <v>58</v>
      </c>
      <c r="C115" s="101" t="s">
        <v>59</v>
      </c>
      <c r="D115" s="101" t="s">
        <v>18</v>
      </c>
      <c r="E115" s="101" t="s">
        <v>107</v>
      </c>
      <c r="F115" s="137">
        <v>0</v>
      </c>
      <c r="G115" s="137">
        <v>0.92529726000000001</v>
      </c>
      <c r="H115" s="137">
        <v>0</v>
      </c>
      <c r="I115" s="137">
        <v>1.07152045</v>
      </c>
      <c r="J115" s="137">
        <v>0</v>
      </c>
      <c r="K115" s="137">
        <v>0.87356771</v>
      </c>
      <c r="L115" s="137">
        <v>0</v>
      </c>
      <c r="M115" s="137">
        <v>0.64014303000000006</v>
      </c>
      <c r="N115" s="137">
        <v>0</v>
      </c>
      <c r="O115" s="137">
        <v>0.74091532454505771</v>
      </c>
      <c r="Q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row>
    <row r="116" spans="1:68" ht="27.95" customHeight="1" x14ac:dyDescent="0.3">
      <c r="A116" s="45"/>
      <c r="B116" s="101" t="s">
        <v>60</v>
      </c>
      <c r="C116" s="101" t="s">
        <v>61</v>
      </c>
      <c r="D116" s="101" t="s">
        <v>18</v>
      </c>
      <c r="E116" s="101" t="s">
        <v>107</v>
      </c>
      <c r="F116" s="137">
        <v>0</v>
      </c>
      <c r="G116" s="137">
        <v>0.63959989202312217</v>
      </c>
      <c r="H116" s="137">
        <v>0</v>
      </c>
      <c r="I116" s="137">
        <v>0.58489387553347172</v>
      </c>
      <c r="J116" s="137">
        <v>0</v>
      </c>
      <c r="K116" s="137">
        <v>0.52717523122550314</v>
      </c>
      <c r="L116" s="137">
        <v>0</v>
      </c>
      <c r="M116" s="137">
        <v>0.43472854446365833</v>
      </c>
      <c r="N116" s="137">
        <v>0</v>
      </c>
      <c r="O116" s="137">
        <v>6.5781863610933605E-2</v>
      </c>
      <c r="Q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row>
    <row r="117" spans="1:68" ht="27.95" customHeight="1" x14ac:dyDescent="0.3">
      <c r="A117" s="45"/>
      <c r="B117" s="101" t="s">
        <v>62</v>
      </c>
      <c r="C117" s="101" t="s">
        <v>63</v>
      </c>
      <c r="D117" s="101" t="s">
        <v>18</v>
      </c>
      <c r="E117" s="101" t="s">
        <v>107</v>
      </c>
      <c r="F117" s="137">
        <v>0</v>
      </c>
      <c r="G117" s="137">
        <v>0.25901725302554979</v>
      </c>
      <c r="H117" s="137">
        <v>0</v>
      </c>
      <c r="I117" s="137">
        <v>0.25163038590140296</v>
      </c>
      <c r="J117" s="137">
        <v>0</v>
      </c>
      <c r="K117" s="137">
        <v>0.22883650077260978</v>
      </c>
      <c r="L117" s="137">
        <v>0</v>
      </c>
      <c r="M117" s="137">
        <v>0.20482437705746764</v>
      </c>
      <c r="N117" s="137">
        <v>0</v>
      </c>
      <c r="O117" s="137">
        <v>0.22070571858363322</v>
      </c>
      <c r="Q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row>
    <row r="118" spans="1:68" ht="27.95" customHeight="1" x14ac:dyDescent="0.3">
      <c r="A118" s="45"/>
      <c r="B118" s="101" t="s">
        <v>65</v>
      </c>
      <c r="C118" s="101" t="s">
        <v>66</v>
      </c>
      <c r="D118" s="101" t="s">
        <v>18</v>
      </c>
      <c r="E118" s="101" t="s">
        <v>107</v>
      </c>
      <c r="F118" s="137">
        <v>0</v>
      </c>
      <c r="G118" s="137">
        <v>0.13218304304275075</v>
      </c>
      <c r="H118" s="137">
        <v>0</v>
      </c>
      <c r="I118" s="137">
        <v>0.13401983866626915</v>
      </c>
      <c r="J118" s="137">
        <v>0</v>
      </c>
      <c r="K118" s="137">
        <v>0.10740157996556696</v>
      </c>
      <c r="L118" s="137">
        <v>0</v>
      </c>
      <c r="M118" s="137">
        <v>7.5972440950009892E-2</v>
      </c>
      <c r="N118" s="137">
        <v>0</v>
      </c>
      <c r="O118" s="137">
        <v>0</v>
      </c>
      <c r="Q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row>
    <row r="119" spans="1:68" ht="27.95" customHeight="1" x14ac:dyDescent="0.3">
      <c r="A119" s="45"/>
      <c r="B119" s="101" t="s">
        <v>67</v>
      </c>
      <c r="C119" s="101" t="s">
        <v>68</v>
      </c>
      <c r="D119" s="101" t="s">
        <v>18</v>
      </c>
      <c r="E119" s="101" t="s">
        <v>107</v>
      </c>
      <c r="F119" s="137">
        <v>0</v>
      </c>
      <c r="G119" s="137">
        <v>3.181434633739902E-3</v>
      </c>
      <c r="H119" s="137">
        <v>0</v>
      </c>
      <c r="I119" s="137">
        <v>2.8493574583996852E-3</v>
      </c>
      <c r="J119" s="137">
        <v>0</v>
      </c>
      <c r="K119" s="137">
        <v>2.5133108951284266E-3</v>
      </c>
      <c r="L119" s="137">
        <v>0</v>
      </c>
      <c r="M119" s="137">
        <v>2.1732474970019913E-3</v>
      </c>
      <c r="N119" s="137">
        <v>0</v>
      </c>
      <c r="O119" s="137">
        <v>0.12297263624922056</v>
      </c>
      <c r="Q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row>
    <row r="120" spans="1:68" ht="27.95" customHeight="1" x14ac:dyDescent="0.3">
      <c r="A120" s="45"/>
      <c r="B120" s="101" t="s">
        <v>69</v>
      </c>
      <c r="C120" s="101" t="s">
        <v>70</v>
      </c>
      <c r="D120" s="101" t="s">
        <v>18</v>
      </c>
      <c r="E120" s="101" t="s">
        <v>107</v>
      </c>
      <c r="F120" s="137">
        <v>0</v>
      </c>
      <c r="G120" s="137">
        <v>0</v>
      </c>
      <c r="H120" s="137">
        <v>0</v>
      </c>
      <c r="I120" s="137">
        <v>0</v>
      </c>
      <c r="J120" s="137">
        <v>0</v>
      </c>
      <c r="K120" s="137">
        <v>0</v>
      </c>
      <c r="L120" s="137">
        <v>0</v>
      </c>
      <c r="M120" s="137">
        <v>0</v>
      </c>
      <c r="N120" s="137">
        <v>0</v>
      </c>
      <c r="O120" s="137">
        <v>0</v>
      </c>
      <c r="Q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row>
    <row r="121" spans="1:68" ht="27.95" customHeight="1" x14ac:dyDescent="0.3">
      <c r="A121" s="45"/>
      <c r="B121" s="115" t="s">
        <v>71</v>
      </c>
      <c r="C121" s="115"/>
      <c r="D121" s="115"/>
      <c r="E121" s="115"/>
      <c r="F121" s="126">
        <v>0</v>
      </c>
      <c r="G121" s="126">
        <v>1.2426924675243312</v>
      </c>
      <c r="H121" s="126">
        <v>0</v>
      </c>
      <c r="I121" s="126">
        <v>1.2248010869307318</v>
      </c>
      <c r="J121" s="126">
        <v>0</v>
      </c>
      <c r="K121" s="126">
        <v>1.1256252677168499</v>
      </c>
      <c r="L121" s="126">
        <v>0</v>
      </c>
      <c r="M121" s="126">
        <v>1.0201733532241728</v>
      </c>
      <c r="N121" s="126">
        <v>0</v>
      </c>
      <c r="O121" s="126">
        <v>0.15283658867368061</v>
      </c>
      <c r="Q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row>
    <row r="122" spans="1:68" ht="27.95" customHeight="1" x14ac:dyDescent="0.3">
      <c r="A122" s="45"/>
      <c r="B122" s="101" t="s">
        <v>72</v>
      </c>
      <c r="C122" s="101" t="s">
        <v>73</v>
      </c>
      <c r="D122" s="101" t="s">
        <v>18</v>
      </c>
      <c r="E122" s="101" t="s">
        <v>107</v>
      </c>
      <c r="F122" s="137">
        <v>0</v>
      </c>
      <c r="G122" s="137">
        <v>0.86921458124871986</v>
      </c>
      <c r="H122" s="137">
        <v>0</v>
      </c>
      <c r="I122" s="137">
        <v>0.88182412615413508</v>
      </c>
      <c r="J122" s="137">
        <v>0</v>
      </c>
      <c r="K122" s="137">
        <v>0.80902427991846249</v>
      </c>
      <c r="L122" s="137">
        <v>0</v>
      </c>
      <c r="M122" s="137">
        <v>0.73170014945345452</v>
      </c>
      <c r="N122" s="137">
        <v>0</v>
      </c>
      <c r="O122" s="137">
        <v>0</v>
      </c>
      <c r="P122" s="68"/>
      <c r="Q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row>
    <row r="123" spans="1:68" ht="27.95" customHeight="1" x14ac:dyDescent="0.3">
      <c r="A123" s="45"/>
      <c r="B123" s="101" t="s">
        <v>108</v>
      </c>
      <c r="C123" s="101" t="s">
        <v>75</v>
      </c>
      <c r="D123" s="101" t="s">
        <v>18</v>
      </c>
      <c r="E123" s="101" t="s">
        <v>107</v>
      </c>
      <c r="F123" s="137">
        <v>0</v>
      </c>
      <c r="G123" s="137">
        <v>0.23506523627561127</v>
      </c>
      <c r="H123" s="137">
        <v>0</v>
      </c>
      <c r="I123" s="137">
        <v>0.20983128077659674</v>
      </c>
      <c r="J123" s="137">
        <v>0</v>
      </c>
      <c r="K123" s="137">
        <v>0.18883635779838753</v>
      </c>
      <c r="L123" s="137">
        <v>0</v>
      </c>
      <c r="M123" s="137">
        <v>0.16677989377071831</v>
      </c>
      <c r="N123" s="137">
        <v>0</v>
      </c>
      <c r="O123" s="137">
        <v>0</v>
      </c>
      <c r="Q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row>
    <row r="124" spans="1:68" ht="27.95" customHeight="1" x14ac:dyDescent="0.3">
      <c r="A124" s="45"/>
      <c r="B124" s="101" t="s">
        <v>76</v>
      </c>
      <c r="C124" s="101" t="s">
        <v>77</v>
      </c>
      <c r="D124" s="101" t="s">
        <v>18</v>
      </c>
      <c r="E124" s="101" t="s">
        <v>107</v>
      </c>
      <c r="F124" s="137">
        <v>0</v>
      </c>
      <c r="G124" s="137">
        <v>0.13841265</v>
      </c>
      <c r="H124" s="137">
        <v>0</v>
      </c>
      <c r="I124" s="137">
        <v>0.13314567999999999</v>
      </c>
      <c r="J124" s="137">
        <v>0</v>
      </c>
      <c r="K124" s="137">
        <v>0.12776463000000002</v>
      </c>
      <c r="L124" s="137">
        <v>0</v>
      </c>
      <c r="M124" s="137">
        <v>0.12169331</v>
      </c>
      <c r="N124" s="137">
        <v>0</v>
      </c>
      <c r="O124" s="137">
        <v>0.15283658867368061</v>
      </c>
      <c r="Q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row>
    <row r="125" spans="1:68" ht="27.95" customHeight="1" x14ac:dyDescent="0.3">
      <c r="A125" s="45"/>
      <c r="B125" s="110" t="s">
        <v>78</v>
      </c>
      <c r="C125" s="110"/>
      <c r="D125" s="110"/>
      <c r="E125" s="110"/>
      <c r="F125" s="123">
        <v>59329.567404273126</v>
      </c>
      <c r="G125" s="123">
        <v>14.893103762307696</v>
      </c>
      <c r="H125" s="123">
        <v>35381.434678481695</v>
      </c>
      <c r="I125" s="123">
        <v>10.310610288461547</v>
      </c>
      <c r="J125" s="123">
        <v>22316.261149245671</v>
      </c>
      <c r="K125" s="123">
        <v>5.7281168269230855</v>
      </c>
      <c r="L125" s="123">
        <v>2355.9172597672291</v>
      </c>
      <c r="M125" s="123">
        <v>1.1456233653846195</v>
      </c>
      <c r="N125" s="123">
        <v>0</v>
      </c>
      <c r="O125" s="123">
        <v>0</v>
      </c>
      <c r="Q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row>
    <row r="126" spans="1:68" ht="27.95" customHeight="1" x14ac:dyDescent="0.3">
      <c r="A126" s="45"/>
      <c r="B126" s="101" t="s">
        <v>109</v>
      </c>
      <c r="C126" s="101" t="s">
        <v>80</v>
      </c>
      <c r="D126" s="101" t="s">
        <v>18</v>
      </c>
      <c r="E126" s="101" t="s">
        <v>78</v>
      </c>
      <c r="F126" s="137">
        <v>0</v>
      </c>
      <c r="G126" s="137">
        <v>14.893103762307696</v>
      </c>
      <c r="H126" s="137">
        <v>0</v>
      </c>
      <c r="I126" s="137">
        <v>10.310610288461547</v>
      </c>
      <c r="J126" s="137">
        <v>0</v>
      </c>
      <c r="K126" s="137">
        <v>5.7281168269230855</v>
      </c>
      <c r="L126" s="137">
        <v>0</v>
      </c>
      <c r="M126" s="137">
        <v>1.1456233653846195</v>
      </c>
      <c r="N126" s="137">
        <v>0</v>
      </c>
      <c r="O126" s="137">
        <v>0</v>
      </c>
      <c r="Q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row>
    <row r="127" spans="1:68" ht="27.95" customHeight="1" x14ac:dyDescent="0.3">
      <c r="A127" s="45"/>
      <c r="B127" s="189" t="s">
        <v>185</v>
      </c>
      <c r="C127" s="189" t="s">
        <v>186</v>
      </c>
      <c r="D127" s="101" t="s">
        <v>91</v>
      </c>
      <c r="E127" s="101" t="s">
        <v>78</v>
      </c>
      <c r="F127" s="137">
        <v>12941.978177064339</v>
      </c>
      <c r="G127" s="137">
        <v>0</v>
      </c>
      <c r="H127" s="137">
        <v>25813.235161904282</v>
      </c>
      <c r="I127" s="137">
        <v>0</v>
      </c>
      <c r="J127" s="137">
        <v>12941.978177064339</v>
      </c>
      <c r="K127" s="137">
        <v>0</v>
      </c>
      <c r="L127" s="137">
        <v>0</v>
      </c>
      <c r="M127" s="137">
        <v>0</v>
      </c>
      <c r="N127" s="137">
        <v>0</v>
      </c>
      <c r="O127" s="137">
        <v>0</v>
      </c>
      <c r="Q127" s="52"/>
      <c r="W127" s="52"/>
      <c r="X127" s="52"/>
      <c r="Y127" s="52"/>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row>
    <row r="128" spans="1:68" ht="27.95" customHeight="1" x14ac:dyDescent="0.3">
      <c r="A128" s="45"/>
      <c r="B128" s="189" t="s">
        <v>188</v>
      </c>
      <c r="C128" s="189" t="s">
        <v>189</v>
      </c>
      <c r="D128" s="101" t="s">
        <v>91</v>
      </c>
      <c r="E128" s="101" t="s">
        <v>78</v>
      </c>
      <c r="F128" s="137">
        <v>4481.9330856558818</v>
      </c>
      <c r="G128" s="137">
        <v>0</v>
      </c>
      <c r="H128" s="137">
        <v>8939.3747336852284</v>
      </c>
      <c r="I128" s="137">
        <v>0</v>
      </c>
      <c r="J128" s="137">
        <v>8963.8661713117635</v>
      </c>
      <c r="K128" s="137">
        <v>0</v>
      </c>
      <c r="L128" s="137">
        <v>2237.1066922579994</v>
      </c>
      <c r="M128" s="137">
        <v>0</v>
      </c>
      <c r="N128" s="137">
        <v>0</v>
      </c>
      <c r="O128" s="137">
        <v>0</v>
      </c>
      <c r="Q128" s="52"/>
      <c r="W128" s="52"/>
      <c r="X128" s="52"/>
      <c r="Y128" s="52"/>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row>
    <row r="129" spans="1:84" ht="27.95" customHeight="1" x14ac:dyDescent="0.3">
      <c r="A129" s="45"/>
      <c r="B129" s="101" t="s">
        <v>83</v>
      </c>
      <c r="C129" s="101" t="s">
        <v>84</v>
      </c>
      <c r="D129" s="101" t="s">
        <v>17</v>
      </c>
      <c r="E129" s="101" t="s">
        <v>78</v>
      </c>
      <c r="F129" s="137">
        <v>15819.348882530001</v>
      </c>
      <c r="G129" s="137">
        <v>0</v>
      </c>
      <c r="H129" s="137">
        <v>0</v>
      </c>
      <c r="I129" s="137">
        <v>0</v>
      </c>
      <c r="J129" s="137">
        <v>0</v>
      </c>
      <c r="K129" s="137">
        <v>0</v>
      </c>
      <c r="L129" s="137">
        <v>0</v>
      </c>
      <c r="M129" s="137">
        <v>0</v>
      </c>
      <c r="N129" s="137">
        <v>0</v>
      </c>
      <c r="O129" s="137">
        <v>0</v>
      </c>
      <c r="Q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row>
    <row r="130" spans="1:84" ht="27.95" customHeight="1" x14ac:dyDescent="0.3">
      <c r="A130" s="45"/>
      <c r="B130" s="101" t="s">
        <v>86</v>
      </c>
      <c r="C130" s="101" t="s">
        <v>87</v>
      </c>
      <c r="D130" s="101" t="s">
        <v>17</v>
      </c>
      <c r="E130" s="101" t="s">
        <v>78</v>
      </c>
      <c r="F130" s="137">
        <v>25113.189974320001</v>
      </c>
      <c r="G130" s="137">
        <v>0</v>
      </c>
      <c r="H130" s="137">
        <v>0</v>
      </c>
      <c r="I130" s="137">
        <v>0</v>
      </c>
      <c r="J130" s="137">
        <v>0</v>
      </c>
      <c r="K130" s="137">
        <v>0</v>
      </c>
      <c r="L130" s="137">
        <v>0</v>
      </c>
      <c r="M130" s="137">
        <v>0</v>
      </c>
      <c r="N130" s="137">
        <v>0</v>
      </c>
      <c r="O130" s="137">
        <v>0</v>
      </c>
      <c r="Q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row>
    <row r="131" spans="1:84" ht="27.95" customHeight="1" x14ac:dyDescent="0.3">
      <c r="A131" s="45"/>
      <c r="B131" s="101" t="s">
        <v>89</v>
      </c>
      <c r="C131" s="101" t="s">
        <v>90</v>
      </c>
      <c r="D131" s="101" t="s">
        <v>91</v>
      </c>
      <c r="E131" s="101" t="s">
        <v>78</v>
      </c>
      <c r="F131" s="137">
        <v>0</v>
      </c>
      <c r="G131" s="137">
        <v>0</v>
      </c>
      <c r="H131" s="137">
        <v>0</v>
      </c>
      <c r="I131" s="137">
        <v>0</v>
      </c>
      <c r="J131" s="137">
        <v>0</v>
      </c>
      <c r="K131" s="137">
        <v>0</v>
      </c>
      <c r="L131" s="137">
        <v>0</v>
      </c>
      <c r="M131" s="137">
        <v>0</v>
      </c>
      <c r="N131" s="137">
        <v>0</v>
      </c>
      <c r="O131" s="137">
        <v>0</v>
      </c>
      <c r="Q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row>
    <row r="132" spans="1:84" ht="27.95" customHeight="1" x14ac:dyDescent="0.3">
      <c r="A132" s="45"/>
      <c r="B132" s="101" t="s">
        <v>94</v>
      </c>
      <c r="C132" s="101" t="s">
        <v>95</v>
      </c>
      <c r="D132" s="101" t="s">
        <v>17</v>
      </c>
      <c r="E132" s="101" t="s">
        <v>78</v>
      </c>
      <c r="F132" s="137">
        <v>973.11728470291109</v>
      </c>
      <c r="G132" s="137">
        <v>0</v>
      </c>
      <c r="H132" s="137">
        <v>628.82478289218091</v>
      </c>
      <c r="I132" s="137">
        <v>0</v>
      </c>
      <c r="J132" s="137">
        <v>410.41680086956882</v>
      </c>
      <c r="K132" s="137">
        <v>0</v>
      </c>
      <c r="L132" s="137">
        <v>118.81056750922977</v>
      </c>
      <c r="M132" s="137">
        <v>0</v>
      </c>
      <c r="N132" s="137">
        <v>0</v>
      </c>
      <c r="O132" s="137">
        <v>0</v>
      </c>
      <c r="Q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row>
    <row r="133" spans="1:84" ht="27.95" customHeight="1" x14ac:dyDescent="0.3">
      <c r="A133" s="45"/>
      <c r="B133" s="228" t="s">
        <v>110</v>
      </c>
      <c r="C133" s="219"/>
      <c r="D133" s="219"/>
      <c r="E133" s="229"/>
      <c r="F133" s="123">
        <v>76030.79609236418</v>
      </c>
      <c r="G133" s="123">
        <v>23.545501274183096</v>
      </c>
      <c r="H133" s="123">
        <v>47218.455962756547</v>
      </c>
      <c r="I133" s="123">
        <v>18.717709511694594</v>
      </c>
      <c r="J133" s="123">
        <v>31153.620824269212</v>
      </c>
      <c r="K133" s="123">
        <v>13.177007197458469</v>
      </c>
      <c r="L133" s="123">
        <v>6491.7694983455949</v>
      </c>
      <c r="M133" s="123">
        <v>7.2282347901972486</v>
      </c>
      <c r="N133" s="123">
        <v>1907.1626616686583</v>
      </c>
      <c r="O133" s="123">
        <v>1.4675960819741227</v>
      </c>
      <c r="Q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row>
    <row r="134" spans="1:84" ht="32.25" customHeight="1" x14ac:dyDescent="0.3">
      <c r="B134" s="32"/>
      <c r="C134" s="32"/>
      <c r="D134" s="32"/>
      <c r="E134" s="55"/>
      <c r="F134" s="84"/>
      <c r="G134" s="57"/>
      <c r="H134" s="57"/>
      <c r="I134" s="57"/>
      <c r="J134" s="57"/>
      <c r="K134" s="57"/>
      <c r="L134" s="57"/>
      <c r="M134" s="57"/>
      <c r="N134" s="57"/>
      <c r="O134" s="57"/>
      <c r="Q134" s="52"/>
      <c r="W134" s="51"/>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row>
    <row r="135" spans="1:84" ht="29.25" customHeight="1" x14ac:dyDescent="0.3">
      <c r="Q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row>
    <row r="136" spans="1:84" x14ac:dyDescent="0.3">
      <c r="P136" s="57"/>
      <c r="Q136" s="57"/>
      <c r="R136" s="57"/>
      <c r="S136" s="57"/>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c r="CA136" s="60"/>
      <c r="CB136" s="60"/>
      <c r="CC136" s="60"/>
      <c r="CD136" s="60"/>
      <c r="CE136" s="60"/>
      <c r="CF136" s="60"/>
    </row>
  </sheetData>
  <mergeCells count="19">
    <mergeCell ref="B133:E133"/>
    <mergeCell ref="N6:N8"/>
    <mergeCell ref="B46:N46"/>
    <mergeCell ref="I6:I8"/>
    <mergeCell ref="K6:K8"/>
    <mergeCell ref="L6:L8"/>
    <mergeCell ref="B45:N45"/>
    <mergeCell ref="B91:E91"/>
    <mergeCell ref="B42:D42"/>
    <mergeCell ref="B2:S2"/>
    <mergeCell ref="E6:E7"/>
    <mergeCell ref="C6:C8"/>
    <mergeCell ref="D6:D8"/>
    <mergeCell ref="J6:J8"/>
    <mergeCell ref="M6:M8"/>
    <mergeCell ref="H6:H8"/>
    <mergeCell ref="G6:G8"/>
    <mergeCell ref="F6:F7"/>
    <mergeCell ref="B6:B8"/>
  </mergeCells>
  <hyperlinks>
    <hyperlink ref="C12" location="FFFIRF26!A1" display="FFFIRF26" xr:uid="{00000000-0004-0000-0000-000000000000}"/>
    <hyperlink ref="C13" location="FFFIRE26!A1" display="FFFIRE26" xr:uid="{00000000-0004-0000-0000-000002000000}"/>
    <hyperlink ref="C16" location="BNAM27!A1" display="BNAM27" xr:uid="{00000000-0004-0000-0000-000003000000}"/>
    <hyperlink ref="C22" location="BIDF40!A1" display="BIDF40" xr:uid="{00000000-0004-0000-0000-000004000000}"/>
    <hyperlink ref="C25" location="BIDY42!A1" display="BIDY42" xr:uid="{00000000-0004-0000-0000-000005000000}"/>
    <hyperlink ref="C27" location="BIDN32!A1" display="BIDN32" xr:uid="{00000000-0004-0000-0000-000006000000}"/>
    <hyperlink ref="C28" location="BIDS34!A1" display="BIDS34" xr:uid="{00000000-0004-0000-0000-000007000000}"/>
    <hyperlink ref="C29" location="BIDS23!A1" display="BIDS23" xr:uid="{00000000-0004-0000-0000-000008000000}"/>
    <hyperlink ref="C31" location="BIRS38!A1" display="BIRS38" xr:uid="{00000000-0004-0000-0000-000009000000}"/>
    <hyperlink ref="C38" location="'TAMAR 2'!A1" display="'TAMAR 2'!A1" xr:uid="{00000000-0004-0000-0000-00000B000000}"/>
    <hyperlink ref="C60" location="FFFIRF26!A1" display="FFFIRF26" xr:uid="{00000000-0004-0000-0000-00000E000000}"/>
    <hyperlink ref="C61" location="IPVO26!A1" display="IPVO26" xr:uid="{00000000-0004-0000-0000-00000F000000}"/>
    <hyperlink ref="C62" location="FFFIRE26!A1" display="FFFIRE26" xr:uid="{00000000-0004-0000-0000-000010000000}"/>
    <hyperlink ref="C65" location="BNAM27!A1" display="BNAM27" xr:uid="{00000000-0004-0000-0000-000011000000}"/>
    <hyperlink ref="C70" location="BIDN44!A1" display="BIDN44" xr:uid="{00000000-0004-0000-0000-000012000000}"/>
    <hyperlink ref="C71" location="BIDF40!A1" display="BIDF40" xr:uid="{00000000-0004-0000-0000-000013000000}"/>
    <hyperlink ref="C74" location="BIDY42!A1" display="BIDY42" xr:uid="{00000000-0004-0000-0000-000014000000}"/>
    <hyperlink ref="C76" location="BIDN32!A1" display="BIDN32" xr:uid="{00000000-0004-0000-0000-000015000000}"/>
    <hyperlink ref="C77" location="BIDS34!A1" display="BIDS34" xr:uid="{00000000-0004-0000-0000-000016000000}"/>
    <hyperlink ref="C78" location="BIDS23!A1" display="BIDS23" xr:uid="{00000000-0004-0000-0000-000017000000}"/>
    <hyperlink ref="C80" location="BIRS38!A1" display="BIRS38" xr:uid="{00000000-0004-0000-0000-000018000000}"/>
    <hyperlink ref="C81" location="BIRFE50!A1" display="BIRFE50" xr:uid="{00000000-0004-0000-0000-000019000000}"/>
    <hyperlink ref="C88" location="'TAMAR 2'!A1" display="'TAMAR 2'!A1" xr:uid="{00000000-0004-0000-0000-00001A000000}"/>
    <hyperlink ref="C102" location="FFFIRF26!A1" display="FFFIRF26" xr:uid="{00000000-0004-0000-0000-00001C000000}"/>
    <hyperlink ref="C103" location="IPVO26!A1" display="IPVO26" xr:uid="{00000000-0004-0000-0000-00001D000000}"/>
    <hyperlink ref="C104" location="FFFIRE26!A1" display="FFFIRE26" xr:uid="{00000000-0004-0000-0000-00001E000000}"/>
    <hyperlink ref="C107" location="BNAM27!A1" display="BNAM27" xr:uid="{00000000-0004-0000-0000-00001F000000}"/>
    <hyperlink ref="C112" location="BIDN44!A1" display="BIDN44" xr:uid="{00000000-0004-0000-0000-000020000000}"/>
    <hyperlink ref="C113" location="BIDF40!A1" display="BIDF40" xr:uid="{00000000-0004-0000-0000-000021000000}"/>
    <hyperlink ref="C116" location="BIDY42!A1" display="BIDY42" xr:uid="{00000000-0004-0000-0000-000022000000}"/>
    <hyperlink ref="C118" location="BIDN32!A1" display="BIDN32" xr:uid="{00000000-0004-0000-0000-000023000000}"/>
    <hyperlink ref="C119" location="BIDS34!A1" display="BIDS34" xr:uid="{00000000-0004-0000-0000-000025000000}"/>
    <hyperlink ref="C120" location="BIDS23!A1" display="BIDS23" xr:uid="{00000000-0004-0000-0000-000026000000}"/>
    <hyperlink ref="C122" location="BIRS38!A1" display="BIRS38" xr:uid="{00000000-0004-0000-0000-000027000000}"/>
    <hyperlink ref="C129" location="'TAMAR 1'!A1" display="TAMAR 1" xr:uid="{00000000-0004-0000-0000-000028000000}"/>
    <hyperlink ref="C130" location="'TAMAR 2'!A1" display="'TAMAR 2'!A1" xr:uid="{00000000-0004-0000-0000-000029000000}"/>
    <hyperlink ref="C11" location="IPVO26!A1" display="IPVO26" xr:uid="{10AE1DE0-F7E4-48FB-8A7D-19CFC9C01CBE}"/>
    <hyperlink ref="C41" location="'TAMAR 1'!A1" display="TAMAR 1" xr:uid="{A9D74EAF-F77A-44D3-99CD-305D5F8478F5}"/>
  </hyperlinks>
  <pageMargins left="0.7" right="0.7" top="0.75" bottom="0.75" header="0.3" footer="0.3"/>
  <pageSetup paperSize="9"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48"/>
  <sheetViews>
    <sheetView showGridLines="0" zoomScale="85" zoomScaleNormal="85" workbookViewId="0">
      <pane xSplit="2" ySplit="1" topLeftCell="C2" activePane="bottomRight" state="frozen"/>
      <selection activeCell="F22" sqref="F22:Q22"/>
      <selection pane="topRight" activeCell="F22" sqref="F22:Q22"/>
      <selection pane="bottomLeft" activeCell="F22" sqref="F22:Q22"/>
      <selection pane="bottomRight"/>
    </sheetView>
  </sheetViews>
  <sheetFormatPr baseColWidth="10" defaultRowHeight="16.5" x14ac:dyDescent="0.3"/>
  <cols>
    <col min="1" max="1" width="5.28515625" style="13" customWidth="1"/>
    <col min="2" max="2" width="38.85546875" style="1" bestFit="1" customWidth="1"/>
    <col min="3" max="3" width="12.5703125" style="1" customWidth="1"/>
    <col min="4" max="4" width="30.85546875" style="1" customWidth="1"/>
    <col min="5" max="5" width="13.7109375" style="10" customWidth="1"/>
    <col min="6" max="6" width="12" style="10" customWidth="1"/>
    <col min="7" max="7" width="11.42578125" style="10" customWidth="1"/>
    <col min="8" max="16384" width="11.42578125" style="10"/>
  </cols>
  <sheetData>
    <row r="1" spans="1:70" ht="28.5" customHeight="1" x14ac:dyDescent="0.3">
      <c r="B1" s="218" t="s">
        <v>112</v>
      </c>
      <c r="C1" s="235"/>
      <c r="D1" s="235"/>
      <c r="E1" s="236"/>
    </row>
    <row r="2" spans="1:70" ht="17.25" customHeight="1" x14ac:dyDescent="0.3">
      <c r="B2" s="106" t="s">
        <v>2</v>
      </c>
    </row>
    <row r="4" spans="1:70" ht="30.75" customHeight="1" x14ac:dyDescent="0.3">
      <c r="B4" s="239" t="s">
        <v>113</v>
      </c>
      <c r="C4" s="232"/>
      <c r="D4" s="232"/>
      <c r="F4" s="73"/>
      <c r="G4" s="73"/>
      <c r="H4" s="73"/>
      <c r="I4" s="73"/>
      <c r="J4" s="73"/>
      <c r="K4" s="73"/>
      <c r="L4" s="73"/>
      <c r="M4" s="73"/>
      <c r="N4" s="73"/>
      <c r="O4" s="73"/>
      <c r="P4" s="73"/>
      <c r="Q4" s="73"/>
    </row>
    <row r="5" spans="1:70" ht="15.75" customHeight="1" x14ac:dyDescent="0.3">
      <c r="B5" s="244" t="s">
        <v>3</v>
      </c>
      <c r="C5" s="240" t="s">
        <v>4</v>
      </c>
      <c r="D5" s="246" t="s">
        <v>104</v>
      </c>
      <c r="F5" s="131">
        <v>2026</v>
      </c>
      <c r="G5" s="131">
        <v>2026</v>
      </c>
      <c r="H5" s="131">
        <v>2026</v>
      </c>
      <c r="I5" s="131">
        <v>2026</v>
      </c>
      <c r="J5" s="131">
        <v>2026</v>
      </c>
      <c r="K5" s="131">
        <v>2026</v>
      </c>
      <c r="L5" s="131">
        <v>2026</v>
      </c>
      <c r="M5" s="131">
        <v>2026</v>
      </c>
      <c r="N5" s="131">
        <v>2026</v>
      </c>
      <c r="O5" s="131">
        <v>2026</v>
      </c>
      <c r="P5" s="131">
        <v>2026</v>
      </c>
      <c r="Q5" s="131">
        <v>2026</v>
      </c>
      <c r="R5" s="131">
        <v>2027</v>
      </c>
      <c r="S5" s="131">
        <v>2027</v>
      </c>
      <c r="T5" s="131">
        <v>2027</v>
      </c>
      <c r="U5" s="131">
        <v>2027</v>
      </c>
      <c r="V5" s="131">
        <v>2027</v>
      </c>
      <c r="W5" s="131">
        <v>2027</v>
      </c>
      <c r="X5" s="131">
        <v>2027</v>
      </c>
      <c r="Y5" s="131">
        <v>2027</v>
      </c>
      <c r="Z5" s="131">
        <v>2027</v>
      </c>
      <c r="AA5" s="131">
        <v>2027</v>
      </c>
      <c r="AB5" s="131">
        <v>2027</v>
      </c>
      <c r="AC5" s="131">
        <v>2027</v>
      </c>
    </row>
    <row r="6" spans="1:70" x14ac:dyDescent="0.3">
      <c r="B6" s="222"/>
      <c r="C6" s="222"/>
      <c r="D6" s="222"/>
      <c r="F6" s="131">
        <v>1</v>
      </c>
      <c r="G6" s="131">
        <v>2</v>
      </c>
      <c r="H6" s="131">
        <v>3</v>
      </c>
      <c r="I6" s="131">
        <v>4</v>
      </c>
      <c r="J6" s="131">
        <v>5</v>
      </c>
      <c r="K6" s="131">
        <v>6</v>
      </c>
      <c r="L6" s="131">
        <v>7</v>
      </c>
      <c r="M6" s="131">
        <v>8</v>
      </c>
      <c r="N6" s="131">
        <v>9</v>
      </c>
      <c r="O6" s="131">
        <v>10</v>
      </c>
      <c r="P6" s="131">
        <v>11</v>
      </c>
      <c r="Q6" s="131">
        <v>12</v>
      </c>
      <c r="R6" s="131">
        <v>1</v>
      </c>
      <c r="S6" s="131">
        <v>2</v>
      </c>
      <c r="T6" s="131">
        <v>3</v>
      </c>
      <c r="U6" s="131">
        <v>4</v>
      </c>
      <c r="V6" s="131">
        <v>5</v>
      </c>
      <c r="W6" s="131">
        <v>6</v>
      </c>
      <c r="X6" s="131">
        <v>7</v>
      </c>
      <c r="Y6" s="131">
        <v>8</v>
      </c>
      <c r="Z6" s="131">
        <v>9</v>
      </c>
      <c r="AA6" s="131">
        <v>10</v>
      </c>
      <c r="AB6" s="131">
        <v>11</v>
      </c>
      <c r="AC6" s="131">
        <v>12</v>
      </c>
    </row>
    <row r="7" spans="1:70" x14ac:dyDescent="0.3">
      <c r="A7" s="56"/>
      <c r="B7" s="142" t="s">
        <v>28</v>
      </c>
      <c r="C7" s="142" t="s">
        <v>29</v>
      </c>
      <c r="D7" s="142" t="s">
        <v>19</v>
      </c>
      <c r="E7" s="44"/>
      <c r="F7" s="154">
        <v>2.1147366600000002</v>
      </c>
      <c r="G7" s="154">
        <v>0</v>
      </c>
      <c r="H7" s="154">
        <v>0</v>
      </c>
      <c r="I7" s="154">
        <v>0.76023163999999999</v>
      </c>
      <c r="J7" s="154">
        <v>0</v>
      </c>
      <c r="K7" s="154">
        <v>0</v>
      </c>
      <c r="L7" s="154">
        <v>0.48487677000000001</v>
      </c>
      <c r="M7" s="154">
        <v>0</v>
      </c>
      <c r="N7" s="154">
        <v>0</v>
      </c>
      <c r="O7" s="154">
        <v>0.25153705999999998</v>
      </c>
      <c r="P7" s="154">
        <v>0</v>
      </c>
      <c r="Q7" s="154">
        <v>0</v>
      </c>
      <c r="R7" s="154">
        <v>0</v>
      </c>
      <c r="S7" s="154">
        <v>0</v>
      </c>
      <c r="T7" s="154">
        <v>0</v>
      </c>
      <c r="U7" s="154">
        <v>0</v>
      </c>
      <c r="V7" s="154">
        <v>0</v>
      </c>
      <c r="W7" s="154">
        <v>0</v>
      </c>
      <c r="X7" s="154">
        <v>0</v>
      </c>
      <c r="Y7" s="154">
        <v>0</v>
      </c>
      <c r="Z7" s="154">
        <v>0</v>
      </c>
      <c r="AA7" s="154">
        <v>0</v>
      </c>
      <c r="AB7" s="154">
        <v>0</v>
      </c>
      <c r="AC7" s="154">
        <v>0</v>
      </c>
    </row>
    <row r="8" spans="1:70" x14ac:dyDescent="0.3">
      <c r="A8" s="56"/>
      <c r="B8" s="142" t="s">
        <v>94</v>
      </c>
      <c r="C8" s="142" t="s">
        <v>95</v>
      </c>
      <c r="D8" s="142" t="s">
        <v>78</v>
      </c>
      <c r="E8" s="44"/>
      <c r="F8" s="154">
        <v>0</v>
      </c>
      <c r="G8" s="154">
        <v>0</v>
      </c>
      <c r="H8" s="154">
        <v>329.23261756963126</v>
      </c>
      <c r="I8" s="154">
        <v>0</v>
      </c>
      <c r="J8" s="154">
        <v>0</v>
      </c>
      <c r="K8" s="154">
        <v>242.42574964373412</v>
      </c>
      <c r="L8" s="154">
        <v>0</v>
      </c>
      <c r="M8" s="154">
        <v>0</v>
      </c>
      <c r="N8" s="154">
        <v>210.85588196945253</v>
      </c>
      <c r="O8" s="154">
        <v>0</v>
      </c>
      <c r="P8" s="154">
        <v>0</v>
      </c>
      <c r="Q8" s="154">
        <v>190.60303552009313</v>
      </c>
      <c r="R8" s="154">
        <v>0</v>
      </c>
      <c r="S8" s="154">
        <v>0</v>
      </c>
      <c r="T8" s="154">
        <v>183.65412023572043</v>
      </c>
      <c r="U8" s="154">
        <v>0</v>
      </c>
      <c r="V8" s="154">
        <v>0</v>
      </c>
      <c r="W8" s="154">
        <v>162.04173645034976</v>
      </c>
      <c r="X8" s="154">
        <v>0</v>
      </c>
      <c r="Y8" s="154">
        <v>0</v>
      </c>
      <c r="Z8" s="154">
        <v>155.80421650791669</v>
      </c>
      <c r="AA8" s="154">
        <v>0</v>
      </c>
      <c r="AB8" s="154">
        <v>0</v>
      </c>
      <c r="AC8" s="154">
        <v>127.32470969819407</v>
      </c>
    </row>
    <row r="9" spans="1:70" x14ac:dyDescent="0.3">
      <c r="A9" s="56"/>
      <c r="B9" s="142" t="s">
        <v>26</v>
      </c>
      <c r="C9" s="142" t="s">
        <v>27</v>
      </c>
      <c r="D9" s="142" t="s">
        <v>19</v>
      </c>
      <c r="E9" s="44"/>
      <c r="F9" s="154">
        <v>0.20254916999999997</v>
      </c>
      <c r="G9" s="154">
        <v>0.10260835</v>
      </c>
      <c r="H9" s="154">
        <v>0</v>
      </c>
      <c r="I9" s="154">
        <v>0</v>
      </c>
      <c r="J9" s="154">
        <v>0</v>
      </c>
      <c r="K9" s="154">
        <v>0</v>
      </c>
      <c r="L9" s="154">
        <v>0</v>
      </c>
      <c r="M9" s="154">
        <v>0</v>
      </c>
      <c r="N9" s="154">
        <v>0</v>
      </c>
      <c r="O9" s="154">
        <v>0</v>
      </c>
      <c r="P9" s="154">
        <v>0</v>
      </c>
      <c r="Q9" s="154">
        <v>0</v>
      </c>
      <c r="R9" s="154">
        <v>0</v>
      </c>
      <c r="S9" s="154">
        <v>0</v>
      </c>
      <c r="T9" s="154">
        <v>0</v>
      </c>
      <c r="U9" s="154">
        <v>0</v>
      </c>
      <c r="V9" s="154">
        <v>0</v>
      </c>
      <c r="W9" s="154">
        <v>0</v>
      </c>
      <c r="X9" s="154">
        <v>0</v>
      </c>
      <c r="Y9" s="154">
        <v>0</v>
      </c>
      <c r="Z9" s="154">
        <v>0</v>
      </c>
      <c r="AA9" s="154">
        <v>0</v>
      </c>
      <c r="AB9" s="154">
        <v>0</v>
      </c>
      <c r="AC9" s="154">
        <v>0</v>
      </c>
    </row>
    <row r="10" spans="1:70" x14ac:dyDescent="0.3">
      <c r="A10" s="56"/>
      <c r="B10" s="142" t="s">
        <v>33</v>
      </c>
      <c r="C10" s="142" t="s">
        <v>34</v>
      </c>
      <c r="D10" s="142" t="s">
        <v>19</v>
      </c>
      <c r="E10" s="44"/>
      <c r="F10" s="154">
        <v>1.0705784538065486E-2</v>
      </c>
      <c r="G10" s="154">
        <v>0</v>
      </c>
      <c r="H10" s="154">
        <v>0</v>
      </c>
      <c r="I10" s="154">
        <v>0</v>
      </c>
      <c r="J10" s="154">
        <v>0</v>
      </c>
      <c r="K10" s="154">
        <v>0</v>
      </c>
      <c r="L10" s="154">
        <v>0</v>
      </c>
      <c r="M10" s="154">
        <v>0</v>
      </c>
      <c r="N10" s="154">
        <v>0</v>
      </c>
      <c r="O10" s="154">
        <v>0</v>
      </c>
      <c r="P10" s="154">
        <v>0</v>
      </c>
      <c r="Q10" s="154">
        <v>0</v>
      </c>
      <c r="R10" s="154">
        <v>0</v>
      </c>
      <c r="S10" s="154">
        <v>0</v>
      </c>
      <c r="T10" s="154">
        <v>0</v>
      </c>
      <c r="U10" s="154">
        <v>0</v>
      </c>
      <c r="V10" s="154">
        <v>0</v>
      </c>
      <c r="W10" s="154">
        <v>0</v>
      </c>
      <c r="X10" s="154">
        <v>0</v>
      </c>
      <c r="Y10" s="154">
        <v>0</v>
      </c>
      <c r="Z10" s="154">
        <v>0</v>
      </c>
      <c r="AA10" s="154">
        <v>0</v>
      </c>
      <c r="AB10" s="154">
        <v>0</v>
      </c>
      <c r="AC10" s="154">
        <v>0</v>
      </c>
    </row>
    <row r="11" spans="1:70" x14ac:dyDescent="0.3">
      <c r="A11" s="56"/>
      <c r="B11" s="142" t="s">
        <v>20</v>
      </c>
      <c r="C11" s="142" t="s">
        <v>21</v>
      </c>
      <c r="D11" s="142" t="s">
        <v>19</v>
      </c>
      <c r="E11" s="44"/>
      <c r="F11" s="154">
        <v>15.568906985027962</v>
      </c>
      <c r="G11" s="154">
        <v>15.61131927534813</v>
      </c>
      <c r="H11" s="154">
        <v>15.163914027310096</v>
      </c>
      <c r="I11" s="154">
        <v>14.913835554810078</v>
      </c>
      <c r="J11" s="154">
        <v>17.050165275481636</v>
      </c>
      <c r="K11" s="154">
        <v>14.556785746389878</v>
      </c>
      <c r="L11" s="154">
        <v>15.740039519981998</v>
      </c>
      <c r="M11" s="154">
        <v>16.068778290201443</v>
      </c>
      <c r="N11" s="154">
        <v>15.872849076421486</v>
      </c>
      <c r="O11" s="154">
        <v>15.630343806990949</v>
      </c>
      <c r="P11" s="154">
        <v>15.949496587922498</v>
      </c>
      <c r="Q11" s="154">
        <v>15.239649588988083</v>
      </c>
      <c r="R11" s="154">
        <v>15.705393666100834</v>
      </c>
      <c r="S11" s="154">
        <v>15.501462426850388</v>
      </c>
      <c r="T11" s="154">
        <v>13.817124943638657</v>
      </c>
      <c r="U11" s="154">
        <v>15.00441578734112</v>
      </c>
      <c r="V11" s="154">
        <v>14.324215669166311</v>
      </c>
      <c r="W11" s="154">
        <v>14.598963262269256</v>
      </c>
      <c r="X11" s="154">
        <v>13.849033324711444</v>
      </c>
      <c r="Y11" s="154">
        <v>14.109146483047075</v>
      </c>
      <c r="Z11" s="154">
        <v>13.907625197225657</v>
      </c>
      <c r="AA11" s="154">
        <v>13.184660913564144</v>
      </c>
      <c r="AB11" s="154">
        <v>13.423833301576042</v>
      </c>
      <c r="AC11" s="154">
        <v>12.79695192819594</v>
      </c>
    </row>
    <row r="12" spans="1:70" s="184" customFormat="1" x14ac:dyDescent="0.3">
      <c r="A12" s="176"/>
      <c r="B12" s="142" t="s">
        <v>39</v>
      </c>
      <c r="C12" s="142" t="s">
        <v>40</v>
      </c>
      <c r="D12" s="142" t="s">
        <v>35</v>
      </c>
      <c r="E12" s="183"/>
      <c r="F12" s="154">
        <v>181.00937938494266</v>
      </c>
      <c r="G12" s="154">
        <v>144.29371408001759</v>
      </c>
      <c r="H12" s="154">
        <v>148.67936191611722</v>
      </c>
      <c r="I12" s="154">
        <v>174.64662546485161</v>
      </c>
      <c r="J12" s="154">
        <v>102.68168434047607</v>
      </c>
      <c r="K12" s="154">
        <v>86.065880656667616</v>
      </c>
      <c r="L12" s="154">
        <v>76.865611303785627</v>
      </c>
      <c r="M12" s="154">
        <v>70.873449572509131</v>
      </c>
      <c r="N12" s="154">
        <v>65.903392151256071</v>
      </c>
      <c r="O12" s="154">
        <v>56.250102701172139</v>
      </c>
      <c r="P12" s="154">
        <v>51.321521889838685</v>
      </c>
      <c r="Q12" s="154">
        <v>42.468707640741862</v>
      </c>
      <c r="R12" s="154">
        <v>36.04338817309943</v>
      </c>
      <c r="S12" s="154">
        <v>28.720789459086749</v>
      </c>
      <c r="T12" s="154">
        <v>19.291298731137623</v>
      </c>
      <c r="U12" s="154">
        <v>14.118416905492694</v>
      </c>
      <c r="V12" s="154">
        <v>6.7738009552946652</v>
      </c>
      <c r="W12" s="154">
        <v>0</v>
      </c>
      <c r="X12" s="154">
        <v>0</v>
      </c>
      <c r="Y12" s="154">
        <v>0</v>
      </c>
      <c r="Z12" s="154">
        <v>0</v>
      </c>
      <c r="AA12" s="154">
        <v>0</v>
      </c>
      <c r="AB12" s="154">
        <v>0</v>
      </c>
      <c r="AC12" s="154">
        <v>0</v>
      </c>
    </row>
    <row r="13" spans="1:70" s="185" customFormat="1" x14ac:dyDescent="0.3">
      <c r="A13" s="56"/>
      <c r="B13" s="155" t="s">
        <v>36</v>
      </c>
      <c r="C13" s="155" t="s">
        <v>37</v>
      </c>
      <c r="D13" s="155" t="s">
        <v>35</v>
      </c>
      <c r="E13" s="44"/>
      <c r="F13" s="179">
        <v>821.55994847687509</v>
      </c>
      <c r="G13" s="179">
        <v>840.35764888235883</v>
      </c>
      <c r="H13" s="179">
        <v>799.86022568704846</v>
      </c>
      <c r="I13" s="179">
        <v>770.11957083834318</v>
      </c>
      <c r="J13" s="179">
        <v>679.45259105376431</v>
      </c>
      <c r="K13" s="179">
        <v>629.8493269345995</v>
      </c>
      <c r="L13" s="179">
        <v>605.78028824197145</v>
      </c>
      <c r="M13" s="179">
        <v>648.96405416028608</v>
      </c>
      <c r="N13" s="179">
        <v>630.66433028916458</v>
      </c>
      <c r="O13" s="179">
        <v>592.53702283103166</v>
      </c>
      <c r="P13" s="179">
        <v>602.62215424358101</v>
      </c>
      <c r="Q13" s="179">
        <v>561.24542465753427</v>
      </c>
      <c r="R13" s="154">
        <v>565.80703307966451</v>
      </c>
      <c r="S13" s="154">
        <v>549.82770167429589</v>
      </c>
      <c r="T13" s="154">
        <v>477.03140577035782</v>
      </c>
      <c r="U13" s="154">
        <v>510.60238042514987</v>
      </c>
      <c r="V13" s="154">
        <v>480.77500945660017</v>
      </c>
      <c r="W13" s="154">
        <v>479.5898482174801</v>
      </c>
      <c r="X13" s="154">
        <v>447.68306593407596</v>
      </c>
      <c r="Y13" s="154">
        <v>445.84566463731227</v>
      </c>
      <c r="Z13" s="154">
        <v>420.62117117642055</v>
      </c>
      <c r="AA13" s="154">
        <v>394.33077806096924</v>
      </c>
      <c r="AB13" s="154">
        <v>388.99449912720274</v>
      </c>
      <c r="AC13" s="154">
        <v>354.19747579174276</v>
      </c>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row>
    <row r="14" spans="1:70" s="185" customFormat="1" x14ac:dyDescent="0.3">
      <c r="A14" s="56"/>
      <c r="B14" s="5" t="s">
        <v>83</v>
      </c>
      <c r="C14" s="5" t="s">
        <v>84</v>
      </c>
      <c r="D14" s="155" t="s">
        <v>78</v>
      </c>
      <c r="E14" s="44"/>
      <c r="F14" s="179">
        <v>0</v>
      </c>
      <c r="G14" s="179">
        <v>0</v>
      </c>
      <c r="H14" s="179">
        <v>10579.473702020001</v>
      </c>
      <c r="I14" s="179">
        <v>0</v>
      </c>
      <c r="J14" s="179">
        <v>0</v>
      </c>
      <c r="K14" s="179">
        <v>5239.8751805100001</v>
      </c>
      <c r="L14" s="179">
        <v>0</v>
      </c>
      <c r="M14" s="179">
        <v>0</v>
      </c>
      <c r="N14" s="179">
        <v>0</v>
      </c>
      <c r="O14" s="179">
        <v>0</v>
      </c>
      <c r="P14" s="179">
        <v>0</v>
      </c>
      <c r="Q14" s="179">
        <v>0</v>
      </c>
      <c r="R14" s="154">
        <v>0</v>
      </c>
      <c r="S14" s="154">
        <v>0</v>
      </c>
      <c r="T14" s="154">
        <v>0</v>
      </c>
      <c r="U14" s="154">
        <v>0</v>
      </c>
      <c r="V14" s="154">
        <v>0</v>
      </c>
      <c r="W14" s="154">
        <v>0</v>
      </c>
      <c r="X14" s="154">
        <v>0</v>
      </c>
      <c r="Y14" s="154">
        <v>0</v>
      </c>
      <c r="Z14" s="154">
        <v>0</v>
      </c>
      <c r="AA14" s="154">
        <v>0</v>
      </c>
      <c r="AB14" s="154">
        <v>0</v>
      </c>
      <c r="AC14" s="154">
        <v>0</v>
      </c>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row>
    <row r="15" spans="1:70" s="185" customFormat="1" x14ac:dyDescent="0.3">
      <c r="A15" s="56"/>
      <c r="B15" s="5" t="s">
        <v>86</v>
      </c>
      <c r="C15" s="5" t="s">
        <v>87</v>
      </c>
      <c r="D15" s="155" t="s">
        <v>78</v>
      </c>
      <c r="E15" s="44"/>
      <c r="F15" s="179">
        <v>0</v>
      </c>
      <c r="G15" s="179">
        <v>0</v>
      </c>
      <c r="H15" s="179">
        <v>9975.9615346999999</v>
      </c>
      <c r="I15" s="179">
        <v>0</v>
      </c>
      <c r="J15" s="179">
        <v>0</v>
      </c>
      <c r="K15" s="179">
        <v>5273.5932991600002</v>
      </c>
      <c r="L15" s="179">
        <v>0</v>
      </c>
      <c r="M15" s="179">
        <v>0</v>
      </c>
      <c r="N15" s="179">
        <v>4952.8067818700001</v>
      </c>
      <c r="O15" s="179">
        <v>0</v>
      </c>
      <c r="P15" s="179">
        <v>0</v>
      </c>
      <c r="Q15" s="179">
        <v>4910.8283585899999</v>
      </c>
      <c r="R15" s="154">
        <v>0</v>
      </c>
      <c r="S15" s="154">
        <v>0</v>
      </c>
      <c r="T15" s="154">
        <v>0</v>
      </c>
      <c r="U15" s="154">
        <v>0</v>
      </c>
      <c r="V15" s="154">
        <v>0</v>
      </c>
      <c r="W15" s="154">
        <v>0</v>
      </c>
      <c r="X15" s="154">
        <v>0</v>
      </c>
      <c r="Y15" s="154">
        <v>0</v>
      </c>
      <c r="Z15" s="154">
        <v>0</v>
      </c>
      <c r="AA15" s="154">
        <v>0</v>
      </c>
      <c r="AB15" s="154">
        <v>0</v>
      </c>
      <c r="AC15" s="154">
        <v>0</v>
      </c>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row>
    <row r="16" spans="1:70" s="185" customFormat="1" x14ac:dyDescent="0.3">
      <c r="A16" s="56"/>
      <c r="B16" s="5" t="s">
        <v>185</v>
      </c>
      <c r="C16" s="5" t="s">
        <v>186</v>
      </c>
      <c r="D16" s="155" t="s">
        <v>78</v>
      </c>
      <c r="E16" s="44"/>
      <c r="F16" s="179">
        <v>0</v>
      </c>
      <c r="G16" s="179">
        <v>0</v>
      </c>
      <c r="H16" s="179">
        <v>0</v>
      </c>
      <c r="I16" s="179">
        <v>0</v>
      </c>
      <c r="J16" s="179">
        <v>0</v>
      </c>
      <c r="K16" s="179">
        <v>0</v>
      </c>
      <c r="L16" s="179">
        <v>6435.6284924199717</v>
      </c>
      <c r="M16" s="179">
        <v>0</v>
      </c>
      <c r="N16" s="179">
        <v>0</v>
      </c>
      <c r="O16" s="179">
        <v>6506.3496846443659</v>
      </c>
      <c r="P16" s="179">
        <v>0</v>
      </c>
      <c r="Q16" s="179">
        <v>0</v>
      </c>
      <c r="R16" s="154">
        <v>6506.3496846443659</v>
      </c>
      <c r="S16" s="154">
        <v>0</v>
      </c>
      <c r="T16" s="154">
        <v>0</v>
      </c>
      <c r="U16" s="154">
        <v>6364.9073001955758</v>
      </c>
      <c r="V16" s="154">
        <v>0</v>
      </c>
      <c r="W16" s="154">
        <v>0</v>
      </c>
      <c r="X16" s="154">
        <v>6435.6284924199717</v>
      </c>
      <c r="Y16" s="154">
        <v>0</v>
      </c>
      <c r="Z16" s="154">
        <v>0</v>
      </c>
      <c r="AA16" s="154">
        <v>6506.3496846443659</v>
      </c>
      <c r="AB16" s="154">
        <v>0</v>
      </c>
      <c r="AC16" s="154">
        <v>0</v>
      </c>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row>
    <row r="17" spans="1:70" s="185" customFormat="1" x14ac:dyDescent="0.3">
      <c r="A17" s="56"/>
      <c r="B17" s="5" t="s">
        <v>188</v>
      </c>
      <c r="C17" s="5" t="s">
        <v>189</v>
      </c>
      <c r="D17" s="155" t="s">
        <v>78</v>
      </c>
      <c r="E17" s="44"/>
      <c r="F17" s="179">
        <v>0</v>
      </c>
      <c r="G17" s="179">
        <v>0</v>
      </c>
      <c r="H17" s="179">
        <v>0</v>
      </c>
      <c r="I17" s="179">
        <v>0</v>
      </c>
      <c r="J17" s="179">
        <v>0</v>
      </c>
      <c r="K17" s="179">
        <v>0</v>
      </c>
      <c r="L17" s="179">
        <v>2228.7208240146738</v>
      </c>
      <c r="M17" s="179">
        <v>0</v>
      </c>
      <c r="N17" s="179">
        <v>0</v>
      </c>
      <c r="O17" s="179">
        <v>2253.212261641208</v>
      </c>
      <c r="P17" s="179">
        <v>0</v>
      </c>
      <c r="Q17" s="179">
        <v>0</v>
      </c>
      <c r="R17" s="154">
        <v>2253.212261641208</v>
      </c>
      <c r="S17" s="154">
        <v>0</v>
      </c>
      <c r="T17" s="154">
        <v>0</v>
      </c>
      <c r="U17" s="154">
        <v>2204.2293863881382</v>
      </c>
      <c r="V17" s="154">
        <v>0</v>
      </c>
      <c r="W17" s="154">
        <v>0</v>
      </c>
      <c r="X17" s="154">
        <v>2228.7208240146738</v>
      </c>
      <c r="Y17" s="154">
        <v>0</v>
      </c>
      <c r="Z17" s="154">
        <v>0</v>
      </c>
      <c r="AA17" s="154">
        <v>2253.212261641208</v>
      </c>
      <c r="AB17" s="154">
        <v>0</v>
      </c>
      <c r="AC17" s="154">
        <v>0</v>
      </c>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row>
    <row r="18" spans="1:70" x14ac:dyDescent="0.3">
      <c r="A18" s="56"/>
      <c r="B18" s="5" t="s">
        <v>196</v>
      </c>
      <c r="C18" s="142" t="s">
        <v>90</v>
      </c>
      <c r="D18" s="142" t="s">
        <v>78</v>
      </c>
      <c r="E18" s="44"/>
      <c r="F18" s="154">
        <v>0</v>
      </c>
      <c r="G18" s="154">
        <v>0</v>
      </c>
      <c r="H18" s="154">
        <v>0</v>
      </c>
      <c r="I18" s="154">
        <v>0</v>
      </c>
      <c r="J18" s="154">
        <v>0</v>
      </c>
      <c r="K18" s="154">
        <v>0</v>
      </c>
      <c r="L18" s="154">
        <v>0</v>
      </c>
      <c r="M18" s="154">
        <v>0</v>
      </c>
      <c r="N18" s="154">
        <v>0</v>
      </c>
      <c r="O18" s="154">
        <v>0</v>
      </c>
      <c r="P18" s="154">
        <v>0</v>
      </c>
      <c r="Q18" s="154">
        <v>0</v>
      </c>
      <c r="R18" s="154">
        <v>0</v>
      </c>
      <c r="S18" s="154">
        <v>0</v>
      </c>
      <c r="T18" s="154">
        <v>0</v>
      </c>
      <c r="U18" s="154">
        <v>0</v>
      </c>
      <c r="V18" s="154">
        <v>0</v>
      </c>
      <c r="W18" s="154">
        <v>0</v>
      </c>
      <c r="X18" s="154">
        <v>0</v>
      </c>
      <c r="Y18" s="154">
        <v>0</v>
      </c>
      <c r="Z18" s="154">
        <v>0</v>
      </c>
      <c r="AA18" s="154">
        <v>0</v>
      </c>
      <c r="AB18" s="154">
        <v>0</v>
      </c>
      <c r="AC18" s="154">
        <v>0</v>
      </c>
    </row>
    <row r="19" spans="1:70" s="185" customFormat="1" x14ac:dyDescent="0.3">
      <c r="A19" s="56"/>
      <c r="B19" s="5" t="s">
        <v>106</v>
      </c>
      <c r="C19" s="9" t="s">
        <v>44</v>
      </c>
      <c r="D19" s="155" t="s">
        <v>43</v>
      </c>
      <c r="E19" s="44"/>
      <c r="F19" s="179">
        <v>636.10075951896886</v>
      </c>
      <c r="G19" s="179">
        <v>759.60359825679245</v>
      </c>
      <c r="H19" s="179">
        <v>655.16855646750412</v>
      </c>
      <c r="I19" s="179">
        <v>738.66610007664656</v>
      </c>
      <c r="J19" s="179">
        <v>533.29085888458258</v>
      </c>
      <c r="K19" s="179">
        <v>552.9503334380579</v>
      </c>
      <c r="L19" s="179">
        <v>532.16272691783013</v>
      </c>
      <c r="M19" s="179">
        <v>523.27967380899645</v>
      </c>
      <c r="N19" s="179">
        <v>583.15744742893162</v>
      </c>
      <c r="O19" s="179">
        <v>498.89587400898625</v>
      </c>
      <c r="P19" s="179">
        <v>551.14058887041449</v>
      </c>
      <c r="Q19" s="179">
        <v>561.44682384499731</v>
      </c>
      <c r="R19" s="154">
        <v>506.98092805158092</v>
      </c>
      <c r="S19" s="154">
        <v>537.76914089755326</v>
      </c>
      <c r="T19" s="154">
        <v>481.99169944399188</v>
      </c>
      <c r="U19" s="154">
        <v>529.53831593760378</v>
      </c>
      <c r="V19" s="154">
        <v>508.53164295362694</v>
      </c>
      <c r="W19" s="154">
        <v>555.10942239116571</v>
      </c>
      <c r="X19" s="154">
        <v>467.40952983318914</v>
      </c>
      <c r="Y19" s="154">
        <v>509.79703145658596</v>
      </c>
      <c r="Z19" s="154">
        <v>518.45232113551651</v>
      </c>
      <c r="AA19" s="154">
        <v>462.92169088592686</v>
      </c>
      <c r="AB19" s="154">
        <v>487.58423819483818</v>
      </c>
      <c r="AC19" s="154">
        <v>480.45876861421101</v>
      </c>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row>
    <row r="20" spans="1:70" s="185" customFormat="1" ht="5.25" customHeight="1" x14ac:dyDescent="0.3">
      <c r="A20" s="56"/>
      <c r="B20" s="9"/>
      <c r="C20" s="9"/>
      <c r="D20" s="2"/>
      <c r="E20" s="44"/>
      <c r="F20" s="204"/>
      <c r="G20" s="204"/>
      <c r="H20" s="204"/>
      <c r="I20" s="204"/>
      <c r="J20" s="204"/>
      <c r="K20" s="204"/>
      <c r="L20" s="204"/>
      <c r="M20" s="204"/>
      <c r="N20" s="204"/>
      <c r="O20" s="204"/>
      <c r="P20" s="204"/>
      <c r="Q20" s="204"/>
      <c r="R20" s="205"/>
      <c r="S20" s="205"/>
      <c r="T20" s="205"/>
      <c r="U20" s="205"/>
      <c r="V20" s="205"/>
      <c r="W20" s="205"/>
      <c r="X20" s="205"/>
      <c r="Y20" s="205"/>
      <c r="Z20" s="205"/>
      <c r="AA20" s="205"/>
      <c r="AB20" s="205"/>
      <c r="AC20" s="205"/>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row>
    <row r="21" spans="1:70" ht="28.5" customHeight="1" x14ac:dyDescent="0.3">
      <c r="B21" s="237" t="s">
        <v>114</v>
      </c>
      <c r="C21" s="235"/>
      <c r="D21" s="235"/>
      <c r="E21" s="7"/>
      <c r="F21" s="130">
        <v>1656.5669859803525</v>
      </c>
      <c r="G21" s="130">
        <v>1759.9688888445171</v>
      </c>
      <c r="H21" s="130">
        <v>22503.539912387609</v>
      </c>
      <c r="I21" s="130">
        <v>1699.1063635746514</v>
      </c>
      <c r="J21" s="130">
        <v>1332.4752995543045</v>
      </c>
      <c r="K21" s="130">
        <v>12039.316556089449</v>
      </c>
      <c r="L21" s="130">
        <v>9895.3828591882138</v>
      </c>
      <c r="M21" s="130">
        <v>1259.1859558319932</v>
      </c>
      <c r="N21" s="130">
        <v>6459.2606827852269</v>
      </c>
      <c r="O21" s="130">
        <v>9923.1268266937532</v>
      </c>
      <c r="P21" s="130">
        <v>1221.0337615917567</v>
      </c>
      <c r="Q21" s="130">
        <v>6281.831999842354</v>
      </c>
      <c r="R21" s="130">
        <v>9884.0986892560177</v>
      </c>
      <c r="S21" s="130">
        <v>1131.8190944577864</v>
      </c>
      <c r="T21" s="130">
        <v>1175.7856491248465</v>
      </c>
      <c r="U21" s="130">
        <v>9638.4002156393017</v>
      </c>
      <c r="V21" s="130">
        <v>1010.4046690346881</v>
      </c>
      <c r="W21" s="130">
        <v>1211.3399703212649</v>
      </c>
      <c r="X21" s="130">
        <v>9593.2909455266217</v>
      </c>
      <c r="Y21" s="130">
        <v>969.75184257694536</v>
      </c>
      <c r="Z21" s="130">
        <v>1108.7853340170795</v>
      </c>
      <c r="AA21" s="130">
        <v>9629.999076146034</v>
      </c>
      <c r="AB21" s="130">
        <v>890.00257062361698</v>
      </c>
      <c r="AC21" s="130">
        <v>974.77790603234371</v>
      </c>
    </row>
    <row r="22" spans="1:70" ht="16.5" customHeight="1" x14ac:dyDescent="0.3">
      <c r="B22" s="238" t="s">
        <v>115</v>
      </c>
      <c r="C22" s="235"/>
      <c r="D22" s="235"/>
      <c r="F22" s="186"/>
      <c r="G22" s="186"/>
      <c r="H22" s="186"/>
      <c r="I22" s="186"/>
      <c r="J22" s="186"/>
      <c r="K22" s="186"/>
      <c r="L22" s="186"/>
      <c r="M22" s="186"/>
      <c r="N22" s="186"/>
      <c r="O22" s="186"/>
      <c r="P22" s="186"/>
      <c r="Q22" s="186"/>
    </row>
    <row r="23" spans="1:70" x14ac:dyDescent="0.3">
      <c r="B23" s="235"/>
      <c r="C23" s="235"/>
      <c r="D23" s="235"/>
    </row>
    <row r="24" spans="1:70" x14ac:dyDescent="0.3">
      <c r="B24" s="53"/>
      <c r="C24" s="53"/>
      <c r="D24" s="53"/>
    </row>
    <row r="25" spans="1:70" x14ac:dyDescent="0.3">
      <c r="B25" s="53"/>
      <c r="C25" s="53"/>
      <c r="D25" s="53"/>
    </row>
    <row r="26" spans="1:70" x14ac:dyDescent="0.3">
      <c r="B26" s="53"/>
      <c r="C26" s="53"/>
      <c r="D26" s="53"/>
    </row>
    <row r="27" spans="1:70" x14ac:dyDescent="0.3">
      <c r="B27" s="53"/>
      <c r="C27" s="53"/>
      <c r="D27" s="53"/>
    </row>
    <row r="28" spans="1:70" ht="30.75" customHeight="1" x14ac:dyDescent="0.3">
      <c r="B28" s="241" t="s">
        <v>116</v>
      </c>
      <c r="C28" s="242"/>
      <c r="D28" s="243"/>
      <c r="F28" s="187"/>
      <c r="G28" s="187"/>
      <c r="H28" s="187"/>
      <c r="I28" s="187"/>
      <c r="J28" s="187"/>
      <c r="K28" s="187"/>
      <c r="L28" s="187"/>
      <c r="M28" s="187"/>
      <c r="N28" s="187"/>
      <c r="O28" s="187"/>
      <c r="P28" s="187"/>
      <c r="Q28" s="187"/>
    </row>
    <row r="29" spans="1:70" x14ac:dyDescent="0.3">
      <c r="B29" s="245" t="s">
        <v>3</v>
      </c>
      <c r="C29" s="246" t="s">
        <v>4</v>
      </c>
      <c r="D29" s="246" t="s">
        <v>104</v>
      </c>
      <c r="F29" s="131">
        <v>2026</v>
      </c>
      <c r="G29" s="131">
        <v>2026</v>
      </c>
      <c r="H29" s="131">
        <v>2026</v>
      </c>
      <c r="I29" s="131">
        <v>2026</v>
      </c>
      <c r="J29" s="131">
        <v>2026</v>
      </c>
      <c r="K29" s="131">
        <v>2026</v>
      </c>
      <c r="L29" s="131">
        <v>2026</v>
      </c>
      <c r="M29" s="131">
        <v>2026</v>
      </c>
      <c r="N29" s="131">
        <v>2026</v>
      </c>
      <c r="O29" s="131">
        <v>2026</v>
      </c>
      <c r="P29" s="131">
        <v>2026</v>
      </c>
      <c r="Q29" s="131">
        <v>2026</v>
      </c>
      <c r="R29" s="131">
        <v>2027</v>
      </c>
      <c r="S29" s="131">
        <v>2027</v>
      </c>
      <c r="T29" s="131">
        <v>2027</v>
      </c>
      <c r="U29" s="131">
        <v>2027</v>
      </c>
      <c r="V29" s="131">
        <v>2027</v>
      </c>
      <c r="W29" s="131">
        <v>2027</v>
      </c>
      <c r="X29" s="131">
        <v>2027</v>
      </c>
      <c r="Y29" s="131">
        <v>2027</v>
      </c>
      <c r="Z29" s="131">
        <v>2027</v>
      </c>
      <c r="AA29" s="131">
        <v>2027</v>
      </c>
      <c r="AB29" s="131">
        <v>2027</v>
      </c>
      <c r="AC29" s="131">
        <v>2027</v>
      </c>
    </row>
    <row r="30" spans="1:70" x14ac:dyDescent="0.3">
      <c r="B30" s="222"/>
      <c r="C30" s="222"/>
      <c r="D30" s="222"/>
      <c r="F30" s="131">
        <v>1</v>
      </c>
      <c r="G30" s="131">
        <v>2</v>
      </c>
      <c r="H30" s="131">
        <v>3</v>
      </c>
      <c r="I30" s="131">
        <v>4</v>
      </c>
      <c r="J30" s="131">
        <v>5</v>
      </c>
      <c r="K30" s="131">
        <v>6</v>
      </c>
      <c r="L30" s="131">
        <v>7</v>
      </c>
      <c r="M30" s="131">
        <v>8</v>
      </c>
      <c r="N30" s="131">
        <v>9</v>
      </c>
      <c r="O30" s="131">
        <v>10</v>
      </c>
      <c r="P30" s="131">
        <v>11</v>
      </c>
      <c r="Q30" s="131">
        <v>12</v>
      </c>
      <c r="R30" s="131">
        <v>1</v>
      </c>
      <c r="S30" s="131">
        <v>2</v>
      </c>
      <c r="T30" s="131">
        <v>3</v>
      </c>
      <c r="U30" s="131">
        <v>4</v>
      </c>
      <c r="V30" s="131">
        <v>5</v>
      </c>
      <c r="W30" s="131">
        <v>6</v>
      </c>
      <c r="X30" s="131">
        <v>7</v>
      </c>
      <c r="Y30" s="131">
        <v>8</v>
      </c>
      <c r="Z30" s="131">
        <v>9</v>
      </c>
      <c r="AA30" s="131">
        <v>10</v>
      </c>
      <c r="AB30" s="131">
        <v>11</v>
      </c>
      <c r="AC30" s="131">
        <v>12</v>
      </c>
    </row>
    <row r="31" spans="1:70" x14ac:dyDescent="0.3">
      <c r="A31" s="14" t="s">
        <v>117</v>
      </c>
      <c r="B31" s="101" t="s">
        <v>56</v>
      </c>
      <c r="C31" s="101" t="s">
        <v>57</v>
      </c>
      <c r="D31" s="101" t="s">
        <v>107</v>
      </c>
      <c r="E31" s="44"/>
      <c r="F31" s="154">
        <v>0</v>
      </c>
      <c r="G31" s="154">
        <v>0</v>
      </c>
      <c r="H31" s="154">
        <v>0</v>
      </c>
      <c r="I31" s="154">
        <v>0</v>
      </c>
      <c r="J31" s="154">
        <v>0</v>
      </c>
      <c r="K31" s="154">
        <v>0.65122848251841292</v>
      </c>
      <c r="L31" s="154">
        <v>0</v>
      </c>
      <c r="M31" s="154">
        <v>0</v>
      </c>
      <c r="N31" s="154">
        <v>0</v>
      </c>
      <c r="O31" s="154">
        <v>0</v>
      </c>
      <c r="P31" s="154">
        <v>0</v>
      </c>
      <c r="Q31" s="154">
        <v>0.76108602522332647</v>
      </c>
      <c r="R31" s="154">
        <v>0</v>
      </c>
      <c r="S31" s="154">
        <v>0</v>
      </c>
      <c r="T31" s="154">
        <v>0</v>
      </c>
      <c r="U31" s="154">
        <v>0</v>
      </c>
      <c r="V31" s="154">
        <v>0</v>
      </c>
      <c r="W31" s="154">
        <v>0.71661735876429222</v>
      </c>
      <c r="X31" s="154">
        <v>0</v>
      </c>
      <c r="Y31" s="154">
        <v>0</v>
      </c>
      <c r="Z31" s="154">
        <v>0</v>
      </c>
      <c r="AA31" s="154">
        <v>0</v>
      </c>
      <c r="AB31" s="154">
        <v>0</v>
      </c>
      <c r="AC31" s="154">
        <v>0</v>
      </c>
    </row>
    <row r="32" spans="1:70" x14ac:dyDescent="0.3">
      <c r="A32" s="14" t="s">
        <v>117</v>
      </c>
      <c r="B32" s="101" t="s">
        <v>54</v>
      </c>
      <c r="C32" s="101" t="s">
        <v>55</v>
      </c>
      <c r="D32" s="101" t="s">
        <v>107</v>
      </c>
      <c r="E32" s="44"/>
      <c r="F32" s="154">
        <v>0</v>
      </c>
      <c r="G32" s="154">
        <v>0.98318818000000019</v>
      </c>
      <c r="H32" s="154">
        <v>0</v>
      </c>
      <c r="I32" s="154">
        <v>0</v>
      </c>
      <c r="J32" s="154">
        <v>0</v>
      </c>
      <c r="K32" s="154">
        <v>0</v>
      </c>
      <c r="L32" s="154">
        <v>0</v>
      </c>
      <c r="M32" s="154">
        <v>0.89445241334775594</v>
      </c>
      <c r="N32" s="154">
        <v>0</v>
      </c>
      <c r="O32" s="154">
        <v>0</v>
      </c>
      <c r="P32" s="154">
        <v>0</v>
      </c>
      <c r="Q32" s="154">
        <v>0</v>
      </c>
      <c r="R32" s="154">
        <v>0</v>
      </c>
      <c r="S32" s="154">
        <v>0.87637104296168922</v>
      </c>
      <c r="T32" s="154">
        <v>0</v>
      </c>
      <c r="U32" s="154">
        <v>0</v>
      </c>
      <c r="V32" s="154">
        <v>0</v>
      </c>
      <c r="W32" s="154">
        <v>0</v>
      </c>
      <c r="X32" s="154">
        <v>0</v>
      </c>
      <c r="Y32" s="154">
        <v>0.82064330004912034</v>
      </c>
      <c r="Z32" s="154">
        <v>0.89445241334775594</v>
      </c>
      <c r="AA32" s="154">
        <v>0</v>
      </c>
      <c r="AB32" s="154">
        <v>0</v>
      </c>
      <c r="AC32" s="154">
        <v>0</v>
      </c>
    </row>
    <row r="33" spans="1:29" x14ac:dyDescent="0.3">
      <c r="A33" s="14" t="s">
        <v>117</v>
      </c>
      <c r="B33" s="101" t="s">
        <v>58</v>
      </c>
      <c r="C33" s="101" t="s">
        <v>59</v>
      </c>
      <c r="D33" s="101" t="s">
        <v>107</v>
      </c>
      <c r="E33" s="44"/>
      <c r="F33" s="154">
        <v>0</v>
      </c>
      <c r="G33" s="154">
        <v>0</v>
      </c>
      <c r="H33" s="154">
        <v>0</v>
      </c>
      <c r="I33" s="154">
        <v>0.31836734</v>
      </c>
      <c r="J33" s="154">
        <v>0</v>
      </c>
      <c r="K33" s="154">
        <v>0</v>
      </c>
      <c r="L33" s="154">
        <v>0</v>
      </c>
      <c r="M33" s="154">
        <v>0</v>
      </c>
      <c r="N33" s="154">
        <v>0</v>
      </c>
      <c r="O33" s="154">
        <v>0.60692992000000001</v>
      </c>
      <c r="P33" s="154">
        <v>0</v>
      </c>
      <c r="Q33" s="154">
        <v>0</v>
      </c>
      <c r="R33" s="154">
        <v>0</v>
      </c>
      <c r="S33" s="154">
        <v>0</v>
      </c>
      <c r="T33" s="154">
        <v>0</v>
      </c>
      <c r="U33" s="154">
        <v>0.55950933999999997</v>
      </c>
      <c r="V33" s="154">
        <v>0</v>
      </c>
      <c r="W33" s="154">
        <v>0</v>
      </c>
      <c r="X33" s="154">
        <v>0</v>
      </c>
      <c r="Y33" s="154">
        <v>0</v>
      </c>
      <c r="Z33" s="154">
        <v>0</v>
      </c>
      <c r="AA33" s="154">
        <v>0</v>
      </c>
      <c r="AB33" s="154">
        <v>0.60692992000000001</v>
      </c>
      <c r="AC33" s="154">
        <v>0</v>
      </c>
    </row>
    <row r="34" spans="1:29" x14ac:dyDescent="0.3">
      <c r="A34" s="14" t="s">
        <v>117</v>
      </c>
      <c r="B34" s="101" t="s">
        <v>60</v>
      </c>
      <c r="C34" s="101" t="s">
        <v>61</v>
      </c>
      <c r="D34" s="101" t="s">
        <v>107</v>
      </c>
      <c r="E34" s="44"/>
      <c r="F34" s="154">
        <v>0</v>
      </c>
      <c r="G34" s="154">
        <v>0</v>
      </c>
      <c r="H34" s="154">
        <v>0</v>
      </c>
      <c r="I34" s="154">
        <v>0.32878677000000001</v>
      </c>
      <c r="J34" s="154">
        <v>0</v>
      </c>
      <c r="K34" s="154">
        <v>0</v>
      </c>
      <c r="L34" s="154">
        <v>0</v>
      </c>
      <c r="M34" s="154">
        <v>0</v>
      </c>
      <c r="N34" s="154">
        <v>0</v>
      </c>
      <c r="O34" s="154">
        <v>0.31081312202312211</v>
      </c>
      <c r="P34" s="154">
        <v>0</v>
      </c>
      <c r="Q34" s="154">
        <v>0</v>
      </c>
      <c r="R34" s="154">
        <v>0</v>
      </c>
      <c r="S34" s="154">
        <v>0</v>
      </c>
      <c r="T34" s="154">
        <v>0</v>
      </c>
      <c r="U34" s="154">
        <v>0.29887070542713468</v>
      </c>
      <c r="V34" s="154">
        <v>0</v>
      </c>
      <c r="W34" s="154">
        <v>0</v>
      </c>
      <c r="X34" s="154">
        <v>0</v>
      </c>
      <c r="Y34" s="154">
        <v>0</v>
      </c>
      <c r="Z34" s="154">
        <v>0</v>
      </c>
      <c r="AA34" s="154">
        <v>0</v>
      </c>
      <c r="AB34" s="154">
        <v>0.31081312202312211</v>
      </c>
      <c r="AC34" s="154">
        <v>0</v>
      </c>
    </row>
    <row r="35" spans="1:29" x14ac:dyDescent="0.3">
      <c r="A35" s="14" t="s">
        <v>117</v>
      </c>
      <c r="B35" s="213" t="s">
        <v>65</v>
      </c>
      <c r="C35" s="101" t="s">
        <v>66</v>
      </c>
      <c r="D35" s="101" t="s">
        <v>107</v>
      </c>
      <c r="E35" s="44"/>
      <c r="F35" s="154">
        <v>0</v>
      </c>
      <c r="G35" s="154">
        <v>0</v>
      </c>
      <c r="H35" s="154">
        <v>0</v>
      </c>
      <c r="I35" s="154">
        <v>0</v>
      </c>
      <c r="J35" s="154">
        <v>5.501561E-2</v>
      </c>
      <c r="K35" s="154">
        <v>0</v>
      </c>
      <c r="L35" s="154">
        <v>0</v>
      </c>
      <c r="M35" s="154">
        <v>0</v>
      </c>
      <c r="N35" s="154">
        <v>0</v>
      </c>
      <c r="O35" s="154">
        <v>0</v>
      </c>
      <c r="P35" s="154">
        <v>7.7167433042750755E-2</v>
      </c>
      <c r="Q35" s="154">
        <v>0</v>
      </c>
      <c r="R35" s="154">
        <v>0</v>
      </c>
      <c r="S35" s="154">
        <v>0</v>
      </c>
      <c r="T35" s="154">
        <v>0</v>
      </c>
      <c r="U35" s="154">
        <v>0</v>
      </c>
      <c r="V35" s="154">
        <v>6.9871998494173762E-2</v>
      </c>
      <c r="W35" s="154">
        <v>0</v>
      </c>
      <c r="X35" s="154">
        <v>0</v>
      </c>
      <c r="Y35" s="154">
        <v>0</v>
      </c>
      <c r="Z35" s="154">
        <v>0</v>
      </c>
      <c r="AA35" s="154">
        <v>0</v>
      </c>
      <c r="AB35" s="154">
        <v>0</v>
      </c>
      <c r="AC35" s="154">
        <v>7.7167433042750755E-2</v>
      </c>
    </row>
    <row r="36" spans="1:29" x14ac:dyDescent="0.3">
      <c r="A36" s="14" t="s">
        <v>117</v>
      </c>
      <c r="B36" s="101" t="s">
        <v>50</v>
      </c>
      <c r="C36" s="101" t="s">
        <v>51</v>
      </c>
      <c r="D36" s="101" t="s">
        <v>107</v>
      </c>
      <c r="E36" s="44"/>
      <c r="F36" s="154">
        <v>0</v>
      </c>
      <c r="G36" s="154">
        <v>0</v>
      </c>
      <c r="H36" s="154">
        <v>0</v>
      </c>
      <c r="I36" s="154">
        <v>0</v>
      </c>
      <c r="J36" s="154">
        <v>1.0680824600000001</v>
      </c>
      <c r="K36" s="154">
        <v>0</v>
      </c>
      <c r="L36" s="154">
        <v>0</v>
      </c>
      <c r="M36" s="154">
        <v>0</v>
      </c>
      <c r="N36" s="154">
        <v>0</v>
      </c>
      <c r="O36" s="154">
        <v>0</v>
      </c>
      <c r="P36" s="154">
        <v>1.0923886005364096</v>
      </c>
      <c r="Q36" s="154">
        <v>0</v>
      </c>
      <c r="R36" s="154">
        <v>0</v>
      </c>
      <c r="S36" s="154">
        <v>0</v>
      </c>
      <c r="T36" s="154">
        <v>0</v>
      </c>
      <c r="U36" s="154">
        <v>0</v>
      </c>
      <c r="V36" s="154">
        <v>1.0414336576797738</v>
      </c>
      <c r="W36" s="154">
        <v>0</v>
      </c>
      <c r="X36" s="154">
        <v>0</v>
      </c>
      <c r="Y36" s="154">
        <v>0</v>
      </c>
      <c r="Z36" s="154">
        <v>0</v>
      </c>
      <c r="AA36" s="154">
        <v>0</v>
      </c>
      <c r="AB36" s="154">
        <v>0</v>
      </c>
      <c r="AC36" s="154">
        <v>1.0923886005364096</v>
      </c>
    </row>
    <row r="37" spans="1:29" x14ac:dyDescent="0.3">
      <c r="A37" s="14"/>
      <c r="B37" s="101" t="s">
        <v>62</v>
      </c>
      <c r="C37" s="101" t="s">
        <v>63</v>
      </c>
      <c r="D37" s="101" t="s">
        <v>107</v>
      </c>
      <c r="E37" s="44"/>
      <c r="F37" s="154">
        <v>0.12555601</v>
      </c>
      <c r="G37" s="154">
        <v>0</v>
      </c>
      <c r="H37" s="154">
        <v>0</v>
      </c>
      <c r="I37" s="154">
        <v>0</v>
      </c>
      <c r="J37" s="154">
        <v>0</v>
      </c>
      <c r="K37" s="154">
        <v>0</v>
      </c>
      <c r="L37" s="154">
        <v>0.13346124302554979</v>
      </c>
      <c r="M37" s="154">
        <v>0</v>
      </c>
      <c r="N37" s="154">
        <v>0</v>
      </c>
      <c r="O37" s="154">
        <v>0</v>
      </c>
      <c r="P37" s="154">
        <v>0</v>
      </c>
      <c r="Q37" s="154">
        <v>0</v>
      </c>
      <c r="R37" s="154">
        <v>0.12977446835633574</v>
      </c>
      <c r="S37" s="154">
        <v>0</v>
      </c>
      <c r="T37" s="154">
        <v>0</v>
      </c>
      <c r="U37" s="154">
        <v>0</v>
      </c>
      <c r="V37" s="154">
        <v>0</v>
      </c>
      <c r="W37" s="154">
        <v>0</v>
      </c>
      <c r="X37" s="154">
        <v>0.12185591754506722</v>
      </c>
      <c r="Y37" s="154">
        <v>0</v>
      </c>
      <c r="Z37" s="154">
        <v>0</v>
      </c>
      <c r="AA37" s="154">
        <v>0</v>
      </c>
      <c r="AB37" s="154">
        <v>0</v>
      </c>
      <c r="AC37" s="154">
        <v>0</v>
      </c>
    </row>
    <row r="38" spans="1:29" x14ac:dyDescent="0.3">
      <c r="A38" s="14" t="s">
        <v>117</v>
      </c>
      <c r="B38" s="101" t="s">
        <v>67</v>
      </c>
      <c r="C38" s="101" t="s">
        <v>68</v>
      </c>
      <c r="D38" s="101" t="s">
        <v>107</v>
      </c>
      <c r="E38" s="44"/>
      <c r="F38" s="154">
        <v>0</v>
      </c>
      <c r="G38" s="154">
        <v>0</v>
      </c>
      <c r="H38" s="154">
        <v>8.2627558577121518E-4</v>
      </c>
      <c r="I38" s="154">
        <v>0</v>
      </c>
      <c r="J38" s="154">
        <v>0</v>
      </c>
      <c r="K38" s="154">
        <v>8.0570512929596389E-4</v>
      </c>
      <c r="L38" s="154">
        <v>0</v>
      </c>
      <c r="M38" s="154">
        <v>0</v>
      </c>
      <c r="N38" s="154">
        <v>7.850734757126989E-4</v>
      </c>
      <c r="O38" s="154">
        <v>0</v>
      </c>
      <c r="P38" s="154">
        <v>0</v>
      </c>
      <c r="Q38" s="154">
        <v>7.6438044296002396E-4</v>
      </c>
      <c r="R38" s="154">
        <v>0</v>
      </c>
      <c r="S38" s="154">
        <v>0</v>
      </c>
      <c r="T38" s="154">
        <v>7.4362584843491015E-4</v>
      </c>
      <c r="U38" s="154">
        <v>0</v>
      </c>
      <c r="V38" s="154">
        <v>0</v>
      </c>
      <c r="W38" s="154">
        <v>7.2280950899108304E-4</v>
      </c>
      <c r="X38" s="154">
        <v>0</v>
      </c>
      <c r="Y38" s="154">
        <v>0</v>
      </c>
      <c r="Z38" s="154">
        <v>0</v>
      </c>
      <c r="AA38" s="154">
        <v>7.850734757126989E-4</v>
      </c>
      <c r="AB38" s="154">
        <v>0</v>
      </c>
      <c r="AC38" s="154">
        <v>0</v>
      </c>
    </row>
    <row r="39" spans="1:29" s="184" customFormat="1" x14ac:dyDescent="0.3">
      <c r="A39" s="159" t="s">
        <v>117</v>
      </c>
      <c r="B39" s="101" t="s">
        <v>69</v>
      </c>
      <c r="C39" s="101" t="s">
        <v>70</v>
      </c>
      <c r="D39" s="101" t="s">
        <v>107</v>
      </c>
      <c r="E39" s="183"/>
      <c r="F39" s="154">
        <v>0</v>
      </c>
      <c r="G39" s="154">
        <v>0</v>
      </c>
      <c r="H39" s="154">
        <v>0</v>
      </c>
      <c r="I39" s="154">
        <v>0</v>
      </c>
      <c r="J39" s="154">
        <v>0</v>
      </c>
      <c r="K39" s="154">
        <v>0</v>
      </c>
      <c r="L39" s="154">
        <v>0</v>
      </c>
      <c r="M39" s="154">
        <v>0</v>
      </c>
      <c r="N39" s="154">
        <v>0</v>
      </c>
      <c r="O39" s="154">
        <v>0</v>
      </c>
      <c r="P39" s="154">
        <v>0</v>
      </c>
      <c r="Q39" s="154">
        <v>0</v>
      </c>
      <c r="R39" s="154">
        <v>0</v>
      </c>
      <c r="S39" s="154">
        <v>0</v>
      </c>
      <c r="T39" s="154">
        <v>0</v>
      </c>
      <c r="U39" s="154">
        <v>0</v>
      </c>
      <c r="V39" s="154">
        <v>0</v>
      </c>
      <c r="W39" s="154">
        <v>0</v>
      </c>
      <c r="X39" s="154">
        <v>0</v>
      </c>
      <c r="Y39" s="154">
        <v>0</v>
      </c>
      <c r="Z39" s="154">
        <v>0</v>
      </c>
      <c r="AA39" s="154">
        <v>0</v>
      </c>
      <c r="AB39" s="154">
        <v>0</v>
      </c>
      <c r="AC39" s="154">
        <v>0</v>
      </c>
    </row>
    <row r="40" spans="1:29" x14ac:dyDescent="0.3">
      <c r="A40" s="14" t="s">
        <v>117</v>
      </c>
      <c r="B40" s="101" t="s">
        <v>72</v>
      </c>
      <c r="C40" s="101" t="s">
        <v>73</v>
      </c>
      <c r="D40" s="101" t="s">
        <v>107</v>
      </c>
      <c r="E40" s="44"/>
      <c r="F40" s="154">
        <v>0</v>
      </c>
      <c r="G40" s="154">
        <v>0</v>
      </c>
      <c r="H40" s="154">
        <v>0.39622122999999998</v>
      </c>
      <c r="I40" s="154">
        <v>0</v>
      </c>
      <c r="J40" s="154">
        <v>0</v>
      </c>
      <c r="K40" s="154">
        <v>0</v>
      </c>
      <c r="L40" s="154">
        <v>0</v>
      </c>
      <c r="M40" s="154">
        <v>0</v>
      </c>
      <c r="N40" s="154">
        <v>0.47299335124871983</v>
      </c>
      <c r="O40" s="154">
        <v>0</v>
      </c>
      <c r="P40" s="154">
        <v>0</v>
      </c>
      <c r="Q40" s="154">
        <v>0</v>
      </c>
      <c r="R40" s="154">
        <v>0</v>
      </c>
      <c r="S40" s="154">
        <v>0</v>
      </c>
      <c r="T40" s="154">
        <v>0.44667024300531283</v>
      </c>
      <c r="U40" s="154">
        <v>0</v>
      </c>
      <c r="V40" s="154">
        <v>0</v>
      </c>
      <c r="W40" s="154">
        <v>0</v>
      </c>
      <c r="X40" s="154">
        <v>0</v>
      </c>
      <c r="Y40" s="154">
        <v>0</v>
      </c>
      <c r="Z40" s="154">
        <v>0</v>
      </c>
      <c r="AA40" s="154">
        <v>0.47299335124871983</v>
      </c>
      <c r="AB40" s="154">
        <v>0</v>
      </c>
      <c r="AC40" s="154">
        <v>0</v>
      </c>
    </row>
    <row r="41" spans="1:29" x14ac:dyDescent="0.3">
      <c r="A41" s="14"/>
      <c r="B41" s="101" t="s">
        <v>76</v>
      </c>
      <c r="C41" s="101" t="s">
        <v>77</v>
      </c>
      <c r="D41" s="101" t="s">
        <v>107</v>
      </c>
      <c r="E41" s="44"/>
      <c r="F41" s="154">
        <v>7.0263149999999996E-2</v>
      </c>
      <c r="G41" s="154">
        <v>0</v>
      </c>
      <c r="H41" s="154">
        <v>0</v>
      </c>
      <c r="I41" s="154">
        <v>0</v>
      </c>
      <c r="J41" s="154">
        <v>0</v>
      </c>
      <c r="K41" s="154">
        <v>0</v>
      </c>
      <c r="L41" s="154">
        <v>6.8149500000000002E-2</v>
      </c>
      <c r="M41" s="154">
        <v>0</v>
      </c>
      <c r="N41" s="154">
        <v>0</v>
      </c>
      <c r="O41" s="154">
        <v>0</v>
      </c>
      <c r="P41" s="154">
        <v>0</v>
      </c>
      <c r="Q41" s="154">
        <v>0</v>
      </c>
      <c r="R41" s="154">
        <v>6.7835740000000005E-2</v>
      </c>
      <c r="S41" s="154">
        <v>0</v>
      </c>
      <c r="T41" s="154">
        <v>0</v>
      </c>
      <c r="U41" s="154">
        <v>0</v>
      </c>
      <c r="V41" s="154">
        <v>0</v>
      </c>
      <c r="W41" s="154">
        <v>0</v>
      </c>
      <c r="X41" s="154">
        <v>6.5309939999999997E-2</v>
      </c>
      <c r="Y41" s="154">
        <v>0</v>
      </c>
      <c r="Z41" s="154">
        <v>0</v>
      </c>
      <c r="AA41" s="154">
        <v>0</v>
      </c>
      <c r="AB41" s="154">
        <v>0</v>
      </c>
      <c r="AC41" s="154">
        <v>0</v>
      </c>
    </row>
    <row r="42" spans="1:29" x14ac:dyDescent="0.3">
      <c r="A42" s="14"/>
      <c r="B42" s="5" t="s">
        <v>108</v>
      </c>
      <c r="C42" s="5" t="s">
        <v>75</v>
      </c>
      <c r="D42" s="5" t="s">
        <v>107</v>
      </c>
      <c r="E42" s="44"/>
      <c r="F42" s="154">
        <v>0</v>
      </c>
      <c r="G42" s="154">
        <v>0</v>
      </c>
      <c r="H42" s="154">
        <v>0</v>
      </c>
      <c r="I42" s="154">
        <v>0</v>
      </c>
      <c r="J42" s="154">
        <v>0.10763702704671221</v>
      </c>
      <c r="K42" s="154">
        <v>0</v>
      </c>
      <c r="L42" s="154">
        <v>0</v>
      </c>
      <c r="M42" s="154">
        <v>0</v>
      </c>
      <c r="N42" s="154">
        <v>0</v>
      </c>
      <c r="O42" s="154">
        <v>0</v>
      </c>
      <c r="P42" s="154">
        <v>0.12742820922889903</v>
      </c>
      <c r="Q42" s="154">
        <v>0</v>
      </c>
      <c r="R42" s="154">
        <v>0</v>
      </c>
      <c r="S42" s="154">
        <v>0</v>
      </c>
      <c r="T42" s="154">
        <v>0</v>
      </c>
      <c r="U42" s="154">
        <v>0</v>
      </c>
      <c r="V42" s="154">
        <v>0.10674384997347951</v>
      </c>
      <c r="W42" s="154">
        <v>0</v>
      </c>
      <c r="X42" s="154">
        <v>0</v>
      </c>
      <c r="Y42" s="154">
        <v>0</v>
      </c>
      <c r="Z42" s="154">
        <v>0</v>
      </c>
      <c r="AA42" s="154">
        <v>0</v>
      </c>
      <c r="AB42" s="154">
        <v>0</v>
      </c>
      <c r="AC42" s="154">
        <v>0.12742820922889903</v>
      </c>
    </row>
    <row r="43" spans="1:29" x14ac:dyDescent="0.3">
      <c r="A43" s="14" t="s">
        <v>117</v>
      </c>
      <c r="B43" s="101" t="s">
        <v>109</v>
      </c>
      <c r="C43" s="101" t="s">
        <v>80</v>
      </c>
      <c r="D43" s="101" t="s">
        <v>78</v>
      </c>
      <c r="E43" s="44"/>
      <c r="F43" s="154">
        <v>0</v>
      </c>
      <c r="G43" s="154">
        <v>0</v>
      </c>
      <c r="H43" s="154">
        <v>8.0193635699999994</v>
      </c>
      <c r="I43" s="154">
        <v>0</v>
      </c>
      <c r="J43" s="154">
        <v>0</v>
      </c>
      <c r="K43" s="154">
        <v>0</v>
      </c>
      <c r="L43" s="154">
        <v>0</v>
      </c>
      <c r="M43" s="154">
        <v>0</v>
      </c>
      <c r="N43" s="154">
        <v>6.8737401923076957</v>
      </c>
      <c r="O43" s="154">
        <v>0</v>
      </c>
      <c r="P43" s="154">
        <v>0</v>
      </c>
      <c r="Q43" s="154">
        <v>0</v>
      </c>
      <c r="R43" s="154">
        <v>0</v>
      </c>
      <c r="S43" s="154">
        <v>0</v>
      </c>
      <c r="T43" s="154">
        <v>5.728116826923082</v>
      </c>
      <c r="U43" s="154">
        <v>0</v>
      </c>
      <c r="V43" s="154">
        <v>0</v>
      </c>
      <c r="W43" s="154">
        <v>0</v>
      </c>
      <c r="X43" s="154">
        <v>0</v>
      </c>
      <c r="Y43" s="154">
        <v>0</v>
      </c>
      <c r="Z43" s="154">
        <v>0</v>
      </c>
      <c r="AA43" s="154">
        <v>6.8737401923076957</v>
      </c>
      <c r="AB43" s="154">
        <v>0</v>
      </c>
      <c r="AC43" s="154">
        <v>0</v>
      </c>
    </row>
    <row r="44" spans="1:29" ht="6.75" customHeight="1" x14ac:dyDescent="0.3">
      <c r="B44" s="11"/>
      <c r="C44" s="9"/>
      <c r="D44" s="9"/>
      <c r="E44" s="12"/>
    </row>
    <row r="45" spans="1:29" ht="28.5" customHeight="1" x14ac:dyDescent="0.3">
      <c r="B45" s="237" t="s">
        <v>118</v>
      </c>
      <c r="C45" s="235"/>
      <c r="D45" s="235"/>
      <c r="E45" s="7"/>
      <c r="F45" s="130">
        <v>0.19581915999999999</v>
      </c>
      <c r="G45" s="130">
        <v>0.98318818000000019</v>
      </c>
      <c r="H45" s="130">
        <v>8.4164110755857706</v>
      </c>
      <c r="I45" s="130">
        <v>0.64715411</v>
      </c>
      <c r="J45" s="130">
        <v>1.2307350970467124</v>
      </c>
      <c r="K45" s="130">
        <v>0.65203418764770893</v>
      </c>
      <c r="L45" s="130">
        <v>0.20161074302554979</v>
      </c>
      <c r="M45" s="130">
        <v>0.89445241334775594</v>
      </c>
      <c r="N45" s="130">
        <v>7.3475186170321285</v>
      </c>
      <c r="O45" s="130">
        <v>0.91774304202312207</v>
      </c>
      <c r="P45" s="130">
        <v>1.2969842428080594</v>
      </c>
      <c r="Q45" s="130">
        <v>0.76185040566628648</v>
      </c>
      <c r="R45" s="130">
        <v>0.19761020835633575</v>
      </c>
      <c r="S45" s="130">
        <v>0.87637104296168922</v>
      </c>
      <c r="T45" s="130">
        <v>6.1755306957768301</v>
      </c>
      <c r="U45" s="130">
        <v>0.85838004542713464</v>
      </c>
      <c r="V45" s="130">
        <v>1.218049506147427</v>
      </c>
      <c r="W45" s="130">
        <v>0.71734016827328329</v>
      </c>
      <c r="X45" s="130">
        <v>0.1871658575450672</v>
      </c>
      <c r="Y45" s="130">
        <v>0.82064330004912034</v>
      </c>
      <c r="Z45" s="130">
        <v>0.89445241334775594</v>
      </c>
      <c r="AA45" s="130">
        <v>7.3475186170321285</v>
      </c>
      <c r="AB45" s="130">
        <v>0.91774304202312207</v>
      </c>
      <c r="AC45" s="130">
        <v>1.2969842428080594</v>
      </c>
    </row>
    <row r="46" spans="1:29" x14ac:dyDescent="0.3">
      <c r="B46" s="2"/>
      <c r="C46" s="2"/>
      <c r="D46" s="2"/>
    </row>
    <row r="47" spans="1:29" x14ac:dyDescent="0.3">
      <c r="B47" s="2"/>
      <c r="C47" s="2"/>
      <c r="D47" s="2"/>
    </row>
    <row r="48" spans="1:29" x14ac:dyDescent="0.3">
      <c r="B48" s="2"/>
      <c r="C48" s="2"/>
      <c r="D48" s="2"/>
    </row>
  </sheetData>
  <mergeCells count="12">
    <mergeCell ref="B1:E1"/>
    <mergeCell ref="B21:D21"/>
    <mergeCell ref="B22:D23"/>
    <mergeCell ref="B45:D45"/>
    <mergeCell ref="B4:D4"/>
    <mergeCell ref="C5:C6"/>
    <mergeCell ref="B28:D28"/>
    <mergeCell ref="B5:B6"/>
    <mergeCell ref="B29:B30"/>
    <mergeCell ref="D5:D6"/>
    <mergeCell ref="C29:C30"/>
    <mergeCell ref="D29:D30"/>
  </mergeCells>
  <hyperlinks>
    <hyperlink ref="C7" location="FFDPO23!A1" display="FFDPO23" xr:uid="{00000000-0004-0000-0100-000000000000}"/>
    <hyperlink ref="C8" location="IPVO26!A1" display="IPVO26" xr:uid="{00000000-0004-0000-0100-000002000000}"/>
    <hyperlink ref="C10" location="'PMG25'!A1" display="PMG25" xr:uid="{00000000-0004-0000-0100-000003000000}"/>
    <hyperlink ref="C11" location="FFFIRO24!A1" display="FFFIRO24" xr:uid="{00000000-0004-0000-0100-000004000000}"/>
    <hyperlink ref="C12" location="FFFIRF26!A1" display="FFFIRF26" xr:uid="{00000000-0004-0000-0100-000005000000}"/>
    <hyperlink ref="C14" location="'TAMAR 1'!A1" display="TAMAR 1" xr:uid="{00000000-0004-0000-0100-000006000000}"/>
    <hyperlink ref="C15" location="'TAMAR 2'!A1" display="'TAMAR 2'!A1" xr:uid="{00000000-0004-0000-0100-000007000000}"/>
    <hyperlink ref="C32" location="BIDF40!A1" display="BIDF40" xr:uid="{00000000-0004-0000-0100-000008000000}"/>
    <hyperlink ref="C34" location="BIDY42!A1" display="BIDY42" xr:uid="{00000000-0004-0000-0100-000009000000}"/>
    <hyperlink ref="C35" location="BIDN32!A1" display="BIDN32" xr:uid="{00000000-0004-0000-0100-00000A000000}"/>
    <hyperlink ref="C38" location="BIDS34!A1" display="BIDS34" xr:uid="{00000000-0004-0000-0100-00000C000000}"/>
    <hyperlink ref="C39" location="BIDS23!A1" display="BIDS23" xr:uid="{00000000-0004-0000-0100-00000D000000}"/>
    <hyperlink ref="C40" location="BIRS38!A1" display="BIRS38" xr:uid="{00000000-0004-0000-0100-00000E000000}"/>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showGridLines="0" zoomScale="90" zoomScaleNormal="90" workbookViewId="0">
      <pane xSplit="3" ySplit="6" topLeftCell="F7" activePane="bottomRight" state="frozen"/>
      <selection activeCell="F1" sqref="F1:F1048576"/>
      <selection pane="topRight" activeCell="F1" sqref="F1:F1048576"/>
      <selection pane="bottomLeft" activeCell="F1" sqref="F1:F1048576"/>
      <selection pane="bottomRight"/>
    </sheetView>
  </sheetViews>
  <sheetFormatPr baseColWidth="10" defaultRowHeight="16.5" x14ac:dyDescent="0.3"/>
  <cols>
    <col min="1" max="1" width="5.28515625" style="13" customWidth="1"/>
    <col min="2" max="2" width="43.7109375" style="1" bestFit="1" customWidth="1"/>
    <col min="3" max="3" width="12.5703125" style="1" customWidth="1"/>
    <col min="4" max="4" width="30.85546875" style="1" bestFit="1" customWidth="1"/>
    <col min="5" max="5" width="13.7109375" style="72" customWidth="1"/>
    <col min="6" max="9" width="11.42578125" style="72" customWidth="1"/>
    <col min="10" max="10" width="11.42578125" style="10" customWidth="1"/>
    <col min="11" max="16384" width="11.42578125" style="10"/>
  </cols>
  <sheetData>
    <row r="1" spans="1:29" ht="28.5" customHeight="1" x14ac:dyDescent="0.3">
      <c r="A1" s="71"/>
      <c r="B1" s="247" t="s">
        <v>119</v>
      </c>
      <c r="C1" s="235"/>
      <c r="D1" s="235"/>
      <c r="E1" s="248"/>
    </row>
    <row r="2" spans="1:29" x14ac:dyDescent="0.3">
      <c r="B2" s="127" t="s">
        <v>2</v>
      </c>
    </row>
    <row r="4" spans="1:29" ht="30.75" customHeight="1" x14ac:dyDescent="0.3">
      <c r="B4" s="251" t="s">
        <v>113</v>
      </c>
      <c r="C4" s="232"/>
      <c r="D4" s="232"/>
      <c r="F4" s="73"/>
      <c r="G4" s="73"/>
      <c r="H4" s="73"/>
      <c r="I4" s="73"/>
      <c r="J4" s="73"/>
      <c r="K4" s="73"/>
      <c r="L4" s="73"/>
      <c r="M4" s="73"/>
      <c r="N4" s="73"/>
      <c r="O4" s="73"/>
      <c r="P4" s="73"/>
      <c r="Q4" s="73"/>
    </row>
    <row r="5" spans="1:29" ht="15.75" customHeight="1" x14ac:dyDescent="0.3">
      <c r="B5" s="244" t="s">
        <v>3</v>
      </c>
      <c r="C5" s="240" t="s">
        <v>4</v>
      </c>
      <c r="D5" s="246" t="s">
        <v>104</v>
      </c>
      <c r="E5" s="10"/>
      <c r="F5" s="131">
        <v>2026</v>
      </c>
      <c r="G5" s="131">
        <v>2026</v>
      </c>
      <c r="H5" s="131">
        <v>2026</v>
      </c>
      <c r="I5" s="131">
        <v>2026</v>
      </c>
      <c r="J5" s="131">
        <v>2026</v>
      </c>
      <c r="K5" s="131">
        <v>2026</v>
      </c>
      <c r="L5" s="131">
        <v>2026</v>
      </c>
      <c r="M5" s="131">
        <v>2026</v>
      </c>
      <c r="N5" s="131">
        <v>2026</v>
      </c>
      <c r="O5" s="131">
        <v>2026</v>
      </c>
      <c r="P5" s="131">
        <v>2026</v>
      </c>
      <c r="Q5" s="131">
        <v>2026</v>
      </c>
      <c r="R5" s="131">
        <v>2027</v>
      </c>
      <c r="S5" s="131">
        <v>2027</v>
      </c>
      <c r="T5" s="131">
        <v>2027</v>
      </c>
      <c r="U5" s="131">
        <v>2027</v>
      </c>
      <c r="V5" s="131">
        <v>2027</v>
      </c>
      <c r="W5" s="131">
        <v>2027</v>
      </c>
      <c r="X5" s="131">
        <v>2027</v>
      </c>
      <c r="Y5" s="131">
        <v>2027</v>
      </c>
      <c r="Z5" s="131">
        <v>2027</v>
      </c>
      <c r="AA5" s="131">
        <v>2027</v>
      </c>
      <c r="AB5" s="131">
        <v>2027</v>
      </c>
      <c r="AC5" s="131">
        <v>2027</v>
      </c>
    </row>
    <row r="6" spans="1:29" x14ac:dyDescent="0.3">
      <c r="B6" s="222"/>
      <c r="C6" s="222"/>
      <c r="D6" s="222"/>
      <c r="E6" s="10"/>
      <c r="F6" s="131">
        <v>1</v>
      </c>
      <c r="G6" s="131">
        <v>2</v>
      </c>
      <c r="H6" s="131">
        <v>3</v>
      </c>
      <c r="I6" s="131">
        <v>4</v>
      </c>
      <c r="J6" s="131">
        <v>5</v>
      </c>
      <c r="K6" s="131">
        <v>6</v>
      </c>
      <c r="L6" s="131">
        <v>7</v>
      </c>
      <c r="M6" s="131">
        <v>8</v>
      </c>
      <c r="N6" s="131">
        <v>9</v>
      </c>
      <c r="O6" s="131">
        <v>10</v>
      </c>
      <c r="P6" s="131">
        <v>11</v>
      </c>
      <c r="Q6" s="131">
        <v>12</v>
      </c>
      <c r="R6" s="131">
        <v>1</v>
      </c>
      <c r="S6" s="131">
        <v>2</v>
      </c>
      <c r="T6" s="131">
        <v>3</v>
      </c>
      <c r="U6" s="131">
        <v>4</v>
      </c>
      <c r="V6" s="131">
        <v>5</v>
      </c>
      <c r="W6" s="131">
        <v>6</v>
      </c>
      <c r="X6" s="131">
        <v>7</v>
      </c>
      <c r="Y6" s="131">
        <v>8</v>
      </c>
      <c r="Z6" s="131">
        <v>9</v>
      </c>
      <c r="AA6" s="131">
        <v>10</v>
      </c>
      <c r="AB6" s="131">
        <v>11</v>
      </c>
      <c r="AC6" s="131">
        <v>12</v>
      </c>
    </row>
    <row r="7" spans="1:29" x14ac:dyDescent="0.3">
      <c r="A7" s="56"/>
      <c r="B7" s="142" t="s">
        <v>28</v>
      </c>
      <c r="C7" s="142" t="s">
        <v>29</v>
      </c>
      <c r="D7" s="142" t="s">
        <v>19</v>
      </c>
      <c r="F7" s="154">
        <v>6.5570930000000001</v>
      </c>
      <c r="G7" s="154">
        <v>0</v>
      </c>
      <c r="H7" s="154">
        <v>0</v>
      </c>
      <c r="I7" s="154">
        <v>4.1629693799999998</v>
      </c>
      <c r="J7" s="154">
        <v>0</v>
      </c>
      <c r="K7" s="154">
        <v>0</v>
      </c>
      <c r="L7" s="154">
        <v>4.2672564500000005</v>
      </c>
      <c r="M7" s="154">
        <v>0</v>
      </c>
      <c r="N7" s="154">
        <v>0</v>
      </c>
      <c r="O7" s="154">
        <v>4.3843216100000006</v>
      </c>
      <c r="P7" s="154">
        <v>0</v>
      </c>
      <c r="Q7" s="154">
        <v>0</v>
      </c>
      <c r="R7" s="154">
        <v>0</v>
      </c>
      <c r="S7" s="154">
        <v>0</v>
      </c>
      <c r="T7" s="154">
        <v>0</v>
      </c>
      <c r="U7" s="154">
        <v>0</v>
      </c>
      <c r="V7" s="154">
        <v>0</v>
      </c>
      <c r="W7" s="154">
        <v>0</v>
      </c>
      <c r="X7" s="154">
        <v>0</v>
      </c>
      <c r="Y7" s="154">
        <v>0</v>
      </c>
      <c r="Z7" s="154">
        <v>0</v>
      </c>
      <c r="AA7" s="154">
        <v>0</v>
      </c>
      <c r="AB7" s="154">
        <v>0</v>
      </c>
      <c r="AC7" s="154">
        <v>0</v>
      </c>
    </row>
    <row r="8" spans="1:29" x14ac:dyDescent="0.3">
      <c r="A8" s="56"/>
      <c r="B8" s="142" t="s">
        <v>94</v>
      </c>
      <c r="C8" s="142" t="s">
        <v>95</v>
      </c>
      <c r="D8" s="142" t="s">
        <v>78</v>
      </c>
      <c r="F8" s="154">
        <v>0</v>
      </c>
      <c r="G8" s="154">
        <v>0</v>
      </c>
      <c r="H8" s="154">
        <v>406.55448841666663</v>
      </c>
      <c r="I8" s="154">
        <v>0</v>
      </c>
      <c r="J8" s="154">
        <v>0</v>
      </c>
      <c r="K8" s="154">
        <v>0</v>
      </c>
      <c r="L8" s="154">
        <v>0</v>
      </c>
      <c r="M8" s="154">
        <v>0</v>
      </c>
      <c r="N8" s="154">
        <v>406.55448841666663</v>
      </c>
      <c r="O8" s="154">
        <v>0</v>
      </c>
      <c r="P8" s="154">
        <v>0</v>
      </c>
      <c r="Q8" s="154">
        <v>0</v>
      </c>
      <c r="R8" s="154">
        <v>0</v>
      </c>
      <c r="S8" s="154">
        <v>0</v>
      </c>
      <c r="T8" s="154">
        <v>406.55448841666663</v>
      </c>
      <c r="U8" s="154">
        <v>0</v>
      </c>
      <c r="V8" s="154">
        <v>0</v>
      </c>
      <c r="W8" s="154">
        <v>0</v>
      </c>
      <c r="X8" s="154">
        <v>0</v>
      </c>
      <c r="Y8" s="154">
        <v>0</v>
      </c>
      <c r="Z8" s="154">
        <v>406.55448841666663</v>
      </c>
      <c r="AA8" s="154">
        <v>0</v>
      </c>
      <c r="AB8" s="154">
        <v>0</v>
      </c>
      <c r="AC8" s="154">
        <v>0</v>
      </c>
    </row>
    <row r="9" spans="1:29" x14ac:dyDescent="0.3">
      <c r="A9" s="56"/>
      <c r="B9" s="142" t="s">
        <v>26</v>
      </c>
      <c r="C9" s="142" t="s">
        <v>27</v>
      </c>
      <c r="D9" s="142" t="s">
        <v>19</v>
      </c>
      <c r="F9" s="154">
        <v>14.982063330000001</v>
      </c>
      <c r="G9" s="154">
        <v>15.179374190000001</v>
      </c>
      <c r="H9" s="154">
        <v>0</v>
      </c>
      <c r="I9" s="154">
        <v>0</v>
      </c>
      <c r="J9" s="154">
        <v>0</v>
      </c>
      <c r="K9" s="154">
        <v>0</v>
      </c>
      <c r="L9" s="154">
        <v>0</v>
      </c>
      <c r="M9" s="154">
        <v>0</v>
      </c>
      <c r="N9" s="154">
        <v>0</v>
      </c>
      <c r="O9" s="154">
        <v>0</v>
      </c>
      <c r="P9" s="154">
        <v>0</v>
      </c>
      <c r="Q9" s="154">
        <v>0</v>
      </c>
      <c r="R9" s="154">
        <v>0</v>
      </c>
      <c r="S9" s="154">
        <v>0</v>
      </c>
      <c r="T9" s="154">
        <v>0</v>
      </c>
      <c r="U9" s="154">
        <v>0</v>
      </c>
      <c r="V9" s="154">
        <v>0</v>
      </c>
      <c r="W9" s="154">
        <v>0</v>
      </c>
      <c r="X9" s="154">
        <v>0</v>
      </c>
      <c r="Y9" s="154">
        <v>0</v>
      </c>
      <c r="Z9" s="154">
        <v>0</v>
      </c>
      <c r="AA9" s="154">
        <v>0</v>
      </c>
      <c r="AB9" s="154">
        <v>0</v>
      </c>
      <c r="AC9" s="154">
        <v>0</v>
      </c>
    </row>
    <row r="10" spans="1:29" x14ac:dyDescent="0.3">
      <c r="A10" s="56"/>
      <c r="B10" s="142" t="s">
        <v>33</v>
      </c>
      <c r="C10" s="142" t="s">
        <v>34</v>
      </c>
      <c r="D10" s="142" t="s">
        <v>19</v>
      </c>
      <c r="F10" s="154">
        <v>1.618380651125749</v>
      </c>
      <c r="G10" s="154">
        <v>0</v>
      </c>
      <c r="H10" s="154">
        <v>0</v>
      </c>
      <c r="I10" s="154">
        <v>0</v>
      </c>
      <c r="J10" s="154">
        <v>0</v>
      </c>
      <c r="K10" s="154">
        <v>0</v>
      </c>
      <c r="L10" s="154">
        <v>0</v>
      </c>
      <c r="M10" s="154">
        <v>0</v>
      </c>
      <c r="N10" s="154">
        <v>0</v>
      </c>
      <c r="O10" s="154">
        <v>0</v>
      </c>
      <c r="P10" s="154">
        <v>0</v>
      </c>
      <c r="Q10" s="154">
        <v>0</v>
      </c>
      <c r="R10" s="154">
        <v>0</v>
      </c>
      <c r="S10" s="154">
        <v>0</v>
      </c>
      <c r="T10" s="154">
        <v>0</v>
      </c>
      <c r="U10" s="154">
        <v>0</v>
      </c>
      <c r="V10" s="154">
        <v>0</v>
      </c>
      <c r="W10" s="154">
        <v>0</v>
      </c>
      <c r="X10" s="154">
        <v>0</v>
      </c>
      <c r="Y10" s="154">
        <v>0</v>
      </c>
      <c r="Z10" s="154">
        <v>0</v>
      </c>
      <c r="AA10" s="154">
        <v>0</v>
      </c>
      <c r="AB10" s="154">
        <v>0</v>
      </c>
      <c r="AC10" s="154">
        <v>0</v>
      </c>
    </row>
    <row r="11" spans="1:29" x14ac:dyDescent="0.3">
      <c r="A11" s="56"/>
      <c r="B11" s="142" t="s">
        <v>20</v>
      </c>
      <c r="C11" s="142" t="s">
        <v>21</v>
      </c>
      <c r="D11" s="142" t="s">
        <v>19</v>
      </c>
      <c r="F11" s="154">
        <v>25.874677614202692</v>
      </c>
      <c r="G11" s="154">
        <v>26.23995179361394</v>
      </c>
      <c r="H11" s="154">
        <v>26.640222731902476</v>
      </c>
      <c r="I11" s="154">
        <v>27.040565532118894</v>
      </c>
      <c r="J11" s="154">
        <v>27.486396932683004</v>
      </c>
      <c r="K11" s="154">
        <v>27.986555950723972</v>
      </c>
      <c r="L11" s="154">
        <v>27.986555950723972</v>
      </c>
      <c r="M11" s="154">
        <v>27.986555950723972</v>
      </c>
      <c r="N11" s="154">
        <v>27.986555950723972</v>
      </c>
      <c r="O11" s="154">
        <v>27.986555950723972</v>
      </c>
      <c r="P11" s="154">
        <v>27.986555950723972</v>
      </c>
      <c r="Q11" s="154">
        <v>27.986555950723972</v>
      </c>
      <c r="R11" s="154">
        <v>27.986555950723972</v>
      </c>
      <c r="S11" s="154">
        <v>27.986555950723972</v>
      </c>
      <c r="T11" s="154">
        <v>27.986555950723972</v>
      </c>
      <c r="U11" s="154">
        <v>27.986555950723972</v>
      </c>
      <c r="V11" s="154">
        <v>27.986555950723972</v>
      </c>
      <c r="W11" s="154">
        <v>27.986555950723972</v>
      </c>
      <c r="X11" s="154">
        <v>27.986555950723972</v>
      </c>
      <c r="Y11" s="154">
        <v>27.986555950723972</v>
      </c>
      <c r="Z11" s="154">
        <v>27.986555950723972</v>
      </c>
      <c r="AA11" s="154">
        <v>27.986555950723972</v>
      </c>
      <c r="AB11" s="154">
        <v>27.986555950723972</v>
      </c>
      <c r="AC11" s="154">
        <v>27.986555950723972</v>
      </c>
    </row>
    <row r="12" spans="1:29" x14ac:dyDescent="0.3">
      <c r="A12" s="56"/>
      <c r="B12" s="142" t="s">
        <v>39</v>
      </c>
      <c r="C12" s="142" t="s">
        <v>40</v>
      </c>
      <c r="D12" s="142" t="s">
        <v>35</v>
      </c>
      <c r="F12" s="154">
        <v>358.91512632999996</v>
      </c>
      <c r="G12" s="154">
        <v>358.91512632999996</v>
      </c>
      <c r="H12" s="154">
        <v>358.91512632999996</v>
      </c>
      <c r="I12" s="154">
        <v>358.91512632999996</v>
      </c>
      <c r="J12" s="154">
        <v>358.91512632999996</v>
      </c>
      <c r="K12" s="154">
        <v>358.91512632999996</v>
      </c>
      <c r="L12" s="154">
        <v>358.91512632999996</v>
      </c>
      <c r="M12" s="154">
        <v>358.91512632999996</v>
      </c>
      <c r="N12" s="154">
        <v>358.91512632999996</v>
      </c>
      <c r="O12" s="154">
        <v>358.91512632999996</v>
      </c>
      <c r="P12" s="154">
        <v>358.91512632999996</v>
      </c>
      <c r="Q12" s="154">
        <v>358.91512632999996</v>
      </c>
      <c r="R12" s="154">
        <v>358.91512632999996</v>
      </c>
      <c r="S12" s="154">
        <v>358.91512632999996</v>
      </c>
      <c r="T12" s="154">
        <v>358.91512632999996</v>
      </c>
      <c r="U12" s="154">
        <v>358.91512632999996</v>
      </c>
      <c r="V12" s="154">
        <v>358.91531553999999</v>
      </c>
      <c r="W12" s="154">
        <v>0</v>
      </c>
      <c r="X12" s="154">
        <v>0</v>
      </c>
      <c r="Y12" s="154">
        <v>0</v>
      </c>
      <c r="Z12" s="154">
        <v>0</v>
      </c>
      <c r="AA12" s="154">
        <v>0</v>
      </c>
      <c r="AB12" s="154">
        <v>0</v>
      </c>
      <c r="AC12" s="154">
        <v>0</v>
      </c>
    </row>
    <row r="13" spans="1:29" x14ac:dyDescent="0.3">
      <c r="A13" s="56"/>
      <c r="B13" s="155" t="s">
        <v>36</v>
      </c>
      <c r="C13" s="155" t="s">
        <v>37</v>
      </c>
      <c r="D13" s="155" t="s">
        <v>35</v>
      </c>
      <c r="F13" s="179">
        <v>553.37037037037044</v>
      </c>
      <c r="G13" s="179">
        <v>553.37037037037044</v>
      </c>
      <c r="H13" s="179">
        <v>553.37037037037044</v>
      </c>
      <c r="I13" s="179">
        <v>553.37037037037044</v>
      </c>
      <c r="J13" s="179">
        <v>553.37037037037044</v>
      </c>
      <c r="K13" s="179">
        <v>553.37037037037044</v>
      </c>
      <c r="L13" s="179">
        <v>553.37037037037044</v>
      </c>
      <c r="M13" s="179">
        <v>553.37037037037044</v>
      </c>
      <c r="N13" s="179">
        <v>553.37037037037044</v>
      </c>
      <c r="O13" s="179">
        <v>553.37037037037044</v>
      </c>
      <c r="P13" s="179">
        <v>553.37037037037044</v>
      </c>
      <c r="Q13" s="179">
        <v>553.37037037037044</v>
      </c>
      <c r="R13" s="154">
        <v>553.37037037037044</v>
      </c>
      <c r="S13" s="154">
        <v>553.37037037037044</v>
      </c>
      <c r="T13" s="154">
        <v>553.37037037037044</v>
      </c>
      <c r="U13" s="154">
        <v>553.37037037037044</v>
      </c>
      <c r="V13" s="154">
        <v>553.37037037037044</v>
      </c>
      <c r="W13" s="154">
        <v>553.37037037037044</v>
      </c>
      <c r="X13" s="154">
        <v>553.37037037037044</v>
      </c>
      <c r="Y13" s="154">
        <v>553.37037037037044</v>
      </c>
      <c r="Z13" s="154">
        <v>553.37037037037044</v>
      </c>
      <c r="AA13" s="154">
        <v>553.37037037037044</v>
      </c>
      <c r="AB13" s="154">
        <v>553.37037037037044</v>
      </c>
      <c r="AC13" s="154">
        <v>553.37037037037044</v>
      </c>
    </row>
    <row r="14" spans="1:29" x14ac:dyDescent="0.3">
      <c r="A14" s="56"/>
      <c r="B14" s="5" t="s">
        <v>83</v>
      </c>
      <c r="C14" s="5" t="s">
        <v>84</v>
      </c>
      <c r="D14" s="155" t="s">
        <v>78</v>
      </c>
      <c r="F14" s="179">
        <v>0</v>
      </c>
      <c r="G14" s="179">
        <v>0</v>
      </c>
      <c r="H14" s="179">
        <v>0</v>
      </c>
      <c r="I14" s="179">
        <v>0</v>
      </c>
      <c r="J14" s="179">
        <v>0</v>
      </c>
      <c r="K14" s="179">
        <v>72116.976999999999</v>
      </c>
      <c r="L14" s="179">
        <v>0</v>
      </c>
      <c r="M14" s="179">
        <v>0</v>
      </c>
      <c r="N14" s="179">
        <v>0</v>
      </c>
      <c r="O14" s="179">
        <v>0</v>
      </c>
      <c r="P14" s="179">
        <v>0</v>
      </c>
      <c r="Q14" s="179">
        <v>0</v>
      </c>
      <c r="R14" s="154">
        <v>0</v>
      </c>
      <c r="S14" s="154">
        <v>0</v>
      </c>
      <c r="T14" s="154">
        <v>0</v>
      </c>
      <c r="U14" s="154">
        <v>0</v>
      </c>
      <c r="V14" s="154">
        <v>0</v>
      </c>
      <c r="W14" s="154">
        <v>0</v>
      </c>
      <c r="X14" s="154">
        <v>0</v>
      </c>
      <c r="Y14" s="154">
        <v>0</v>
      </c>
      <c r="Z14" s="154">
        <v>0</v>
      </c>
      <c r="AA14" s="154">
        <v>0</v>
      </c>
      <c r="AB14" s="154">
        <v>0</v>
      </c>
      <c r="AC14" s="154">
        <v>0</v>
      </c>
    </row>
    <row r="15" spans="1:29" ht="18.75" customHeight="1" x14ac:dyDescent="0.3">
      <c r="B15" s="5" t="s">
        <v>86</v>
      </c>
      <c r="C15" s="5" t="s">
        <v>87</v>
      </c>
      <c r="D15" s="155" t="s">
        <v>78</v>
      </c>
      <c r="E15" s="75"/>
      <c r="F15" s="179">
        <v>0</v>
      </c>
      <c r="G15" s="179">
        <v>0</v>
      </c>
      <c r="H15" s="179">
        <v>0</v>
      </c>
      <c r="I15" s="179">
        <v>0</v>
      </c>
      <c r="J15" s="179">
        <v>0</v>
      </c>
      <c r="K15" s="179">
        <v>0</v>
      </c>
      <c r="L15" s="179">
        <v>0</v>
      </c>
      <c r="M15" s="179">
        <v>0</v>
      </c>
      <c r="N15" s="179">
        <v>0</v>
      </c>
      <c r="O15" s="179">
        <v>0</v>
      </c>
      <c r="P15" s="179">
        <v>0</v>
      </c>
      <c r="Q15" s="179">
        <v>70740.520999999993</v>
      </c>
      <c r="R15" s="154">
        <v>0</v>
      </c>
      <c r="S15" s="154">
        <v>0</v>
      </c>
      <c r="T15" s="154">
        <v>0</v>
      </c>
      <c r="U15" s="154">
        <v>0</v>
      </c>
      <c r="V15" s="154">
        <v>0</v>
      </c>
      <c r="W15" s="154">
        <v>0</v>
      </c>
      <c r="X15" s="154">
        <v>0</v>
      </c>
      <c r="Y15" s="154">
        <v>0</v>
      </c>
      <c r="Z15" s="154">
        <v>0</v>
      </c>
      <c r="AA15" s="154">
        <v>0</v>
      </c>
      <c r="AB15" s="154">
        <v>0</v>
      </c>
      <c r="AC15" s="154">
        <v>0</v>
      </c>
    </row>
    <row r="16" spans="1:29" ht="18.75" customHeight="1" x14ac:dyDescent="0.3">
      <c r="B16" s="5" t="s">
        <v>185</v>
      </c>
      <c r="C16" s="5" t="s">
        <v>186</v>
      </c>
      <c r="D16" s="155" t="s">
        <v>78</v>
      </c>
      <c r="E16" s="75"/>
      <c r="F16" s="179">
        <v>0</v>
      </c>
      <c r="G16" s="179">
        <v>0</v>
      </c>
      <c r="H16" s="179">
        <v>0</v>
      </c>
      <c r="I16" s="179">
        <v>0</v>
      </c>
      <c r="J16" s="179">
        <v>0</v>
      </c>
      <c r="K16" s="179">
        <v>0</v>
      </c>
      <c r="L16" s="179">
        <v>0</v>
      </c>
      <c r="M16" s="179">
        <v>0</v>
      </c>
      <c r="N16" s="179">
        <v>0</v>
      </c>
      <c r="O16" s="179">
        <v>0</v>
      </c>
      <c r="P16" s="179">
        <v>0</v>
      </c>
      <c r="Q16" s="179">
        <v>0</v>
      </c>
      <c r="R16" s="154">
        <v>0</v>
      </c>
      <c r="S16" s="154">
        <v>0</v>
      </c>
      <c r="T16" s="154">
        <v>0</v>
      </c>
      <c r="U16" s="154">
        <v>0</v>
      </c>
      <c r="V16" s="154">
        <v>0</v>
      </c>
      <c r="W16" s="154">
        <v>0</v>
      </c>
      <c r="X16" s="154">
        <v>0</v>
      </c>
      <c r="Y16" s="154">
        <v>0</v>
      </c>
      <c r="Z16" s="154">
        <v>0</v>
      </c>
      <c r="AA16" s="154">
        <v>0</v>
      </c>
      <c r="AB16" s="154">
        <v>0</v>
      </c>
      <c r="AC16" s="154">
        <v>0</v>
      </c>
    </row>
    <row r="17" spans="1:29" ht="18.75" customHeight="1" x14ac:dyDescent="0.3">
      <c r="B17" s="5" t="s">
        <v>188</v>
      </c>
      <c r="C17" s="5" t="s">
        <v>189</v>
      </c>
      <c r="D17" s="155" t="s">
        <v>78</v>
      </c>
      <c r="E17" s="75"/>
      <c r="F17" s="179">
        <v>0</v>
      </c>
      <c r="G17" s="179">
        <v>0</v>
      </c>
      <c r="H17" s="179">
        <v>0</v>
      </c>
      <c r="I17" s="179">
        <v>0</v>
      </c>
      <c r="J17" s="179">
        <v>0</v>
      </c>
      <c r="K17" s="179">
        <v>0</v>
      </c>
      <c r="L17" s="179">
        <v>0</v>
      </c>
      <c r="M17" s="179">
        <v>0</v>
      </c>
      <c r="N17" s="179">
        <v>0</v>
      </c>
      <c r="O17" s="179">
        <v>0</v>
      </c>
      <c r="P17" s="179">
        <v>0</v>
      </c>
      <c r="Q17" s="179">
        <v>0</v>
      </c>
      <c r="R17" s="154">
        <v>0</v>
      </c>
      <c r="S17" s="154">
        <v>0</v>
      </c>
      <c r="T17" s="154">
        <v>0</v>
      </c>
      <c r="U17" s="154">
        <v>0</v>
      </c>
      <c r="V17" s="154">
        <v>0</v>
      </c>
      <c r="W17" s="154">
        <v>0</v>
      </c>
      <c r="X17" s="154">
        <v>0</v>
      </c>
      <c r="Y17" s="154">
        <v>0</v>
      </c>
      <c r="Z17" s="154">
        <v>0</v>
      </c>
      <c r="AA17" s="154">
        <v>0</v>
      </c>
      <c r="AB17" s="154">
        <v>0</v>
      </c>
      <c r="AC17" s="154">
        <v>0</v>
      </c>
    </row>
    <row r="18" spans="1:29" x14ac:dyDescent="0.3">
      <c r="A18" s="56"/>
      <c r="B18" s="5" t="s">
        <v>196</v>
      </c>
      <c r="C18" s="142" t="s">
        <v>90</v>
      </c>
      <c r="D18" s="142" t="s">
        <v>78</v>
      </c>
      <c r="F18" s="154">
        <v>0</v>
      </c>
      <c r="G18" s="154">
        <v>0</v>
      </c>
      <c r="H18" s="154">
        <v>0</v>
      </c>
      <c r="I18" s="154">
        <v>0</v>
      </c>
      <c r="J18" s="154">
        <v>0</v>
      </c>
      <c r="K18" s="154">
        <v>0</v>
      </c>
      <c r="L18" s="154">
        <v>0</v>
      </c>
      <c r="M18" s="154">
        <v>0</v>
      </c>
      <c r="N18" s="154">
        <v>2346.4344664200003</v>
      </c>
      <c r="O18" s="154">
        <v>0</v>
      </c>
      <c r="P18" s="154">
        <v>0</v>
      </c>
      <c r="Q18" s="154">
        <v>2346.4344664200003</v>
      </c>
      <c r="R18" s="154">
        <v>0</v>
      </c>
      <c r="S18" s="154">
        <v>0</v>
      </c>
      <c r="T18" s="154">
        <v>2347.1384671599999</v>
      </c>
      <c r="U18" s="154">
        <v>0</v>
      </c>
      <c r="V18" s="154">
        <v>0</v>
      </c>
      <c r="W18" s="154">
        <v>0</v>
      </c>
      <c r="X18" s="154">
        <v>0</v>
      </c>
      <c r="Y18" s="154">
        <v>0</v>
      </c>
      <c r="Z18" s="154">
        <v>0</v>
      </c>
      <c r="AA18" s="154">
        <v>0</v>
      </c>
      <c r="AB18" s="154">
        <v>0</v>
      </c>
      <c r="AC18" s="154">
        <v>0</v>
      </c>
    </row>
    <row r="19" spans="1:29" ht="18.75" customHeight="1" x14ac:dyDescent="0.3">
      <c r="B19" s="5" t="s">
        <v>106</v>
      </c>
      <c r="C19" s="5" t="s">
        <v>44</v>
      </c>
      <c r="D19" s="155" t="s">
        <v>43</v>
      </c>
      <c r="E19" s="75"/>
      <c r="F19" s="179">
        <v>0</v>
      </c>
      <c r="G19" s="179">
        <v>0</v>
      </c>
      <c r="H19" s="179">
        <v>0</v>
      </c>
      <c r="I19" s="179">
        <v>0</v>
      </c>
      <c r="J19" s="179">
        <v>0</v>
      </c>
      <c r="K19" s="179">
        <v>0</v>
      </c>
      <c r="L19" s="179">
        <v>0</v>
      </c>
      <c r="M19" s="179">
        <v>470.12206977551017</v>
      </c>
      <c r="N19" s="179">
        <v>470.12206977551017</v>
      </c>
      <c r="O19" s="179">
        <v>470.12206977551017</v>
      </c>
      <c r="P19" s="179">
        <v>470.12206977551017</v>
      </c>
      <c r="Q19" s="179">
        <v>470.12206977551017</v>
      </c>
      <c r="R19" s="154">
        <v>470.12206977551017</v>
      </c>
      <c r="S19" s="154">
        <v>470.12206977551017</v>
      </c>
      <c r="T19" s="154">
        <v>470.12206977551017</v>
      </c>
      <c r="U19" s="154">
        <v>470.12206977551017</v>
      </c>
      <c r="V19" s="154">
        <v>470.12206977551017</v>
      </c>
      <c r="W19" s="154">
        <v>470.12206977551017</v>
      </c>
      <c r="X19" s="154">
        <v>470.12206977551017</v>
      </c>
      <c r="Y19" s="154">
        <v>470.12206977551017</v>
      </c>
      <c r="Z19" s="154">
        <v>470.12206977551017</v>
      </c>
      <c r="AA19" s="154">
        <v>470.12206977551017</v>
      </c>
      <c r="AB19" s="154">
        <v>470.12206977551017</v>
      </c>
      <c r="AC19" s="154">
        <v>470.12206977551017</v>
      </c>
    </row>
    <row r="20" spans="1:29" ht="6.75" customHeight="1" x14ac:dyDescent="0.3">
      <c r="B20" s="9"/>
      <c r="C20" s="9"/>
      <c r="D20" s="2"/>
      <c r="E20" s="75"/>
      <c r="F20" s="204"/>
      <c r="G20" s="204"/>
      <c r="H20" s="204"/>
      <c r="I20" s="204"/>
      <c r="J20" s="204"/>
      <c r="K20" s="204"/>
      <c r="L20" s="204"/>
      <c r="M20" s="204"/>
      <c r="N20" s="204"/>
      <c r="O20" s="204"/>
      <c r="P20" s="204"/>
      <c r="Q20" s="204"/>
      <c r="R20" s="205"/>
      <c r="S20" s="205"/>
      <c r="T20" s="205"/>
      <c r="U20" s="205"/>
      <c r="V20" s="205"/>
      <c r="W20" s="205"/>
      <c r="X20" s="205"/>
      <c r="Y20" s="205"/>
      <c r="Z20" s="205"/>
      <c r="AA20" s="205"/>
      <c r="AB20" s="205"/>
      <c r="AC20" s="205"/>
    </row>
    <row r="21" spans="1:29" ht="28.5" customHeight="1" x14ac:dyDescent="0.3">
      <c r="B21" s="249" t="s">
        <v>120</v>
      </c>
      <c r="C21" s="235"/>
      <c r="D21" s="235"/>
      <c r="E21" s="74"/>
      <c r="F21" s="128">
        <v>961.31771129569881</v>
      </c>
      <c r="G21" s="128">
        <v>953.70482268398428</v>
      </c>
      <c r="H21" s="128">
        <v>1345.4802078489395</v>
      </c>
      <c r="I21" s="128">
        <v>943.48903161248927</v>
      </c>
      <c r="J21" s="128">
        <v>939.77189363305342</v>
      </c>
      <c r="K21" s="128">
        <v>73057.249052651096</v>
      </c>
      <c r="L21" s="128">
        <v>944.53930910109443</v>
      </c>
      <c r="M21" s="128">
        <v>1410.3941224266046</v>
      </c>
      <c r="N21" s="128">
        <v>4163.3830772632709</v>
      </c>
      <c r="O21" s="128">
        <v>1414.7784440366045</v>
      </c>
      <c r="P21" s="128">
        <v>1410.3941224266046</v>
      </c>
      <c r="Q21" s="128">
        <v>74497.349588846599</v>
      </c>
      <c r="R21" s="128">
        <v>1410.3941224266046</v>
      </c>
      <c r="S21" s="128">
        <v>1410.3941224266046</v>
      </c>
      <c r="T21" s="128">
        <v>4164.087078003271</v>
      </c>
      <c r="U21" s="128">
        <v>1410.3941224266046</v>
      </c>
      <c r="V21" s="128">
        <v>1410.3943116366047</v>
      </c>
      <c r="W21" s="128">
        <v>1051.4789960966045</v>
      </c>
      <c r="X21" s="128">
        <v>1051.4789960966045</v>
      </c>
      <c r="Y21" s="128">
        <v>1051.4789960966045</v>
      </c>
      <c r="Z21" s="128">
        <v>1458.0334845132713</v>
      </c>
      <c r="AA21" s="128">
        <v>1051.4789960966045</v>
      </c>
      <c r="AB21" s="128">
        <v>1051.4789960966045</v>
      </c>
      <c r="AC21" s="128">
        <v>1051.4789960966045</v>
      </c>
    </row>
    <row r="22" spans="1:29" x14ac:dyDescent="0.3">
      <c r="B22" s="250" t="s">
        <v>121</v>
      </c>
      <c r="C22" s="235"/>
      <c r="D22" s="235"/>
      <c r="E22" s="74"/>
    </row>
    <row r="23" spans="1:29" x14ac:dyDescent="0.3">
      <c r="B23" s="235"/>
      <c r="C23" s="235"/>
      <c r="D23" s="235"/>
      <c r="E23" s="74"/>
    </row>
    <row r="24" spans="1:29" ht="16.5" customHeight="1" x14ac:dyDescent="0.3">
      <c r="B24" s="250"/>
      <c r="C24" s="235"/>
      <c r="D24" s="235"/>
      <c r="E24" s="74"/>
    </row>
    <row r="25" spans="1:29" x14ac:dyDescent="0.3">
      <c r="B25" s="235"/>
      <c r="C25" s="235"/>
      <c r="D25" s="235"/>
      <c r="E25" s="74"/>
    </row>
    <row r="26" spans="1:29" x14ac:dyDescent="0.3">
      <c r="B26" s="77"/>
      <c r="C26" s="77"/>
      <c r="D26" s="77"/>
      <c r="E26" s="74"/>
    </row>
    <row r="27" spans="1:29" x14ac:dyDescent="0.3">
      <c r="B27" s="72"/>
      <c r="C27" s="77"/>
      <c r="D27" s="77"/>
      <c r="E27" s="74"/>
    </row>
    <row r="28" spans="1:29" ht="30.75" customHeight="1" x14ac:dyDescent="0.3">
      <c r="B28" s="251" t="s">
        <v>116</v>
      </c>
      <c r="C28" s="232"/>
      <c r="D28" s="232"/>
      <c r="E28" s="74"/>
    </row>
    <row r="29" spans="1:29" x14ac:dyDescent="0.3">
      <c r="B29" s="244" t="s">
        <v>3</v>
      </c>
      <c r="C29" s="240" t="s">
        <v>4</v>
      </c>
      <c r="D29" s="240" t="s">
        <v>104</v>
      </c>
      <c r="E29" s="74"/>
      <c r="F29" s="129">
        <v>2026</v>
      </c>
      <c r="G29" s="129">
        <v>2026</v>
      </c>
      <c r="H29" s="129">
        <v>2026</v>
      </c>
      <c r="I29" s="129">
        <v>2026</v>
      </c>
      <c r="J29" s="129">
        <v>2026</v>
      </c>
      <c r="K29" s="129">
        <v>2026</v>
      </c>
      <c r="L29" s="129">
        <v>2026</v>
      </c>
      <c r="M29" s="129">
        <v>2026</v>
      </c>
      <c r="N29" s="129">
        <v>2026</v>
      </c>
      <c r="O29" s="129">
        <v>2026</v>
      </c>
      <c r="P29" s="129">
        <v>2026</v>
      </c>
      <c r="Q29" s="129">
        <v>2026</v>
      </c>
      <c r="R29" s="131">
        <v>2027</v>
      </c>
      <c r="S29" s="131">
        <v>2027</v>
      </c>
      <c r="T29" s="131">
        <v>2027</v>
      </c>
      <c r="U29" s="131">
        <v>2027</v>
      </c>
      <c r="V29" s="131">
        <v>2027</v>
      </c>
      <c r="W29" s="131">
        <v>2027</v>
      </c>
      <c r="X29" s="131">
        <v>2027</v>
      </c>
      <c r="Y29" s="131">
        <v>2027</v>
      </c>
      <c r="Z29" s="131">
        <v>2027</v>
      </c>
      <c r="AA29" s="131">
        <v>2027</v>
      </c>
      <c r="AB29" s="131">
        <v>2027</v>
      </c>
      <c r="AC29" s="131">
        <v>2027</v>
      </c>
    </row>
    <row r="30" spans="1:29" x14ac:dyDescent="0.3">
      <c r="B30" s="222"/>
      <c r="C30" s="222"/>
      <c r="D30" s="222"/>
      <c r="E30" s="74"/>
      <c r="F30" s="129">
        <v>1</v>
      </c>
      <c r="G30" s="129">
        <v>2</v>
      </c>
      <c r="H30" s="129">
        <v>3</v>
      </c>
      <c r="I30" s="129">
        <v>4</v>
      </c>
      <c r="J30" s="129">
        <v>5</v>
      </c>
      <c r="K30" s="129">
        <v>6</v>
      </c>
      <c r="L30" s="129">
        <v>7</v>
      </c>
      <c r="M30" s="129">
        <v>8</v>
      </c>
      <c r="N30" s="129">
        <v>9</v>
      </c>
      <c r="O30" s="129">
        <v>10</v>
      </c>
      <c r="P30" s="129">
        <v>11</v>
      </c>
      <c r="Q30" s="129">
        <v>12</v>
      </c>
      <c r="R30" s="131">
        <v>1</v>
      </c>
      <c r="S30" s="131">
        <v>2</v>
      </c>
      <c r="T30" s="131">
        <v>3</v>
      </c>
      <c r="U30" s="131">
        <v>4</v>
      </c>
      <c r="V30" s="131">
        <v>5</v>
      </c>
      <c r="W30" s="131">
        <v>6</v>
      </c>
      <c r="X30" s="131">
        <v>7</v>
      </c>
      <c r="Y30" s="131">
        <v>8</v>
      </c>
      <c r="Z30" s="131">
        <v>9</v>
      </c>
      <c r="AA30" s="131">
        <v>10</v>
      </c>
      <c r="AB30" s="131">
        <v>11</v>
      </c>
      <c r="AC30" s="131">
        <v>12</v>
      </c>
    </row>
    <row r="31" spans="1:29" x14ac:dyDescent="0.3">
      <c r="A31" s="14" t="s">
        <v>117</v>
      </c>
      <c r="B31" s="142" t="s">
        <v>56</v>
      </c>
      <c r="C31" s="142" t="s">
        <v>57</v>
      </c>
      <c r="D31" s="142" t="s">
        <v>107</v>
      </c>
      <c r="E31" s="74"/>
      <c r="F31" s="154">
        <v>0</v>
      </c>
      <c r="G31" s="154">
        <v>0</v>
      </c>
      <c r="H31" s="154">
        <v>0</v>
      </c>
      <c r="I31" s="154">
        <v>0</v>
      </c>
      <c r="J31" s="154">
        <v>0</v>
      </c>
      <c r="K31" s="154">
        <v>1.4257660471664431</v>
      </c>
      <c r="L31" s="154">
        <v>0</v>
      </c>
      <c r="M31" s="154">
        <v>0</v>
      </c>
      <c r="N31" s="154">
        <v>0</v>
      </c>
      <c r="O31" s="154">
        <v>0</v>
      </c>
      <c r="P31" s="154">
        <v>0</v>
      </c>
      <c r="Q31" s="154">
        <v>1.4257660471664431</v>
      </c>
      <c r="R31" s="154">
        <v>0</v>
      </c>
      <c r="S31" s="154">
        <v>0</v>
      </c>
      <c r="T31" s="154">
        <v>0</v>
      </c>
      <c r="U31" s="154">
        <v>0</v>
      </c>
      <c r="V31" s="154">
        <v>0</v>
      </c>
      <c r="W31" s="154">
        <v>1.4257660471664431</v>
      </c>
      <c r="X31" s="154">
        <v>0</v>
      </c>
      <c r="Y31" s="154">
        <v>0</v>
      </c>
      <c r="Z31" s="154">
        <v>0</v>
      </c>
      <c r="AA31" s="154">
        <v>0</v>
      </c>
      <c r="AB31" s="154">
        <v>0</v>
      </c>
      <c r="AC31" s="154">
        <v>1.4257660471664431</v>
      </c>
    </row>
    <row r="32" spans="1:29" x14ac:dyDescent="0.3">
      <c r="A32" s="14" t="s">
        <v>117</v>
      </c>
      <c r="B32" s="142" t="s">
        <v>54</v>
      </c>
      <c r="C32" s="142" t="s">
        <v>55</v>
      </c>
      <c r="D32" s="142" t="s">
        <v>107</v>
      </c>
      <c r="E32" s="74"/>
      <c r="F32" s="154">
        <v>0</v>
      </c>
      <c r="G32" s="154">
        <v>1.27059031</v>
      </c>
      <c r="H32" s="154">
        <v>0</v>
      </c>
      <c r="I32" s="154">
        <v>0</v>
      </c>
      <c r="J32" s="154">
        <v>0</v>
      </c>
      <c r="K32" s="154">
        <v>0</v>
      </c>
      <c r="L32" s="154">
        <v>0</v>
      </c>
      <c r="M32" s="154">
        <v>1.2705903105221876</v>
      </c>
      <c r="N32" s="154">
        <v>0</v>
      </c>
      <c r="O32" s="154">
        <v>0</v>
      </c>
      <c r="P32" s="154">
        <v>0</v>
      </c>
      <c r="Q32" s="154">
        <v>0</v>
      </c>
      <c r="R32" s="154">
        <v>0</v>
      </c>
      <c r="S32" s="154">
        <v>1.2705903105221876</v>
      </c>
      <c r="T32" s="154">
        <v>0</v>
      </c>
      <c r="U32" s="154">
        <v>0</v>
      </c>
      <c r="V32" s="154">
        <v>0</v>
      </c>
      <c r="W32" s="154">
        <v>0</v>
      </c>
      <c r="X32" s="154">
        <v>0</v>
      </c>
      <c r="Y32" s="154">
        <v>1.2705903105221876</v>
      </c>
      <c r="Z32" s="154">
        <v>0</v>
      </c>
      <c r="AA32" s="154">
        <v>0</v>
      </c>
      <c r="AB32" s="154">
        <v>0</v>
      </c>
      <c r="AC32" s="154">
        <v>0</v>
      </c>
    </row>
    <row r="33" spans="1:29" x14ac:dyDescent="0.3">
      <c r="A33" s="14" t="s">
        <v>117</v>
      </c>
      <c r="B33" s="142" t="s">
        <v>58</v>
      </c>
      <c r="C33" s="142" t="s">
        <v>59</v>
      </c>
      <c r="D33" s="142" t="s">
        <v>107</v>
      </c>
      <c r="E33" s="74"/>
      <c r="F33" s="154">
        <v>0</v>
      </c>
      <c r="G33" s="154">
        <v>0</v>
      </c>
      <c r="H33" s="154">
        <v>0</v>
      </c>
      <c r="I33" s="154">
        <v>1.44594277</v>
      </c>
      <c r="J33" s="154">
        <v>0</v>
      </c>
      <c r="K33" s="154">
        <v>0</v>
      </c>
      <c r="L33" s="154">
        <v>0</v>
      </c>
      <c r="M33" s="154">
        <v>0</v>
      </c>
      <c r="N33" s="154">
        <v>0</v>
      </c>
      <c r="O33" s="154">
        <v>1.4459427699999974</v>
      </c>
      <c r="P33" s="154">
        <v>0</v>
      </c>
      <c r="Q33" s="154">
        <v>0</v>
      </c>
      <c r="R33" s="154">
        <v>0</v>
      </c>
      <c r="S33" s="154">
        <v>0</v>
      </c>
      <c r="T33" s="154">
        <v>0</v>
      </c>
      <c r="U33" s="154">
        <v>1.4459427699999974</v>
      </c>
      <c r="V33" s="154">
        <v>0</v>
      </c>
      <c r="W33" s="154">
        <v>0</v>
      </c>
      <c r="X33" s="154">
        <v>0</v>
      </c>
      <c r="Y33" s="154">
        <v>0</v>
      </c>
      <c r="Z33" s="154">
        <v>0</v>
      </c>
      <c r="AA33" s="154">
        <v>1.4459427699999974</v>
      </c>
      <c r="AB33" s="154">
        <v>0</v>
      </c>
      <c r="AC33" s="154">
        <v>0</v>
      </c>
    </row>
    <row r="34" spans="1:29" x14ac:dyDescent="0.3">
      <c r="A34" s="14" t="s">
        <v>117</v>
      </c>
      <c r="B34" s="142" t="s">
        <v>60</v>
      </c>
      <c r="C34" s="142" t="s">
        <v>61</v>
      </c>
      <c r="D34" s="142" t="s">
        <v>107</v>
      </c>
      <c r="E34" s="74"/>
      <c r="F34" s="154">
        <v>0</v>
      </c>
      <c r="G34" s="154">
        <v>0</v>
      </c>
      <c r="H34" s="154">
        <v>0</v>
      </c>
      <c r="I34" s="154">
        <v>0.39917554</v>
      </c>
      <c r="J34" s="154">
        <v>0</v>
      </c>
      <c r="K34" s="154">
        <v>0</v>
      </c>
      <c r="L34" s="154">
        <v>0</v>
      </c>
      <c r="M34" s="154">
        <v>0</v>
      </c>
      <c r="N34" s="154">
        <v>0</v>
      </c>
      <c r="O34" s="154">
        <v>0.38210540661086173</v>
      </c>
      <c r="P34" s="154">
        <v>0</v>
      </c>
      <c r="Q34" s="154">
        <v>0</v>
      </c>
      <c r="R34" s="154">
        <v>0</v>
      </c>
      <c r="S34" s="154">
        <v>0</v>
      </c>
      <c r="T34" s="154">
        <v>0</v>
      </c>
      <c r="U34" s="154">
        <v>0.38210540661086173</v>
      </c>
      <c r="V34" s="154">
        <v>0</v>
      </c>
      <c r="W34" s="154">
        <v>0</v>
      </c>
      <c r="X34" s="154">
        <v>0</v>
      </c>
      <c r="Y34" s="154">
        <v>0</v>
      </c>
      <c r="Z34" s="154">
        <v>0</v>
      </c>
      <c r="AA34" s="154">
        <v>0.38210540661086168</v>
      </c>
      <c r="AB34" s="154">
        <v>0</v>
      </c>
      <c r="AC34" s="154">
        <v>0</v>
      </c>
    </row>
    <row r="35" spans="1:29" x14ac:dyDescent="0.3">
      <c r="A35" s="14" t="s">
        <v>117</v>
      </c>
      <c r="B35" s="142" t="s">
        <v>65</v>
      </c>
      <c r="C35" s="142" t="s">
        <v>66</v>
      </c>
      <c r="D35" s="142" t="s">
        <v>107</v>
      </c>
      <c r="E35" s="74"/>
      <c r="F35" s="154">
        <v>0</v>
      </c>
      <c r="G35" s="154">
        <v>0</v>
      </c>
      <c r="H35" s="154">
        <v>0</v>
      </c>
      <c r="I35" s="154">
        <v>0</v>
      </c>
      <c r="J35" s="154">
        <v>0.19690853</v>
      </c>
      <c r="K35" s="154">
        <v>0</v>
      </c>
      <c r="L35" s="154">
        <v>0</v>
      </c>
      <c r="M35" s="154">
        <v>0</v>
      </c>
      <c r="N35" s="154">
        <v>0</v>
      </c>
      <c r="O35" s="154">
        <v>0</v>
      </c>
      <c r="P35" s="154">
        <v>0.19690854311336015</v>
      </c>
      <c r="Q35" s="154">
        <v>0</v>
      </c>
      <c r="R35" s="154">
        <v>0</v>
      </c>
      <c r="S35" s="154">
        <v>0</v>
      </c>
      <c r="T35" s="154">
        <v>0</v>
      </c>
      <c r="U35" s="154">
        <v>0</v>
      </c>
      <c r="V35" s="154">
        <v>0.19690854311336015</v>
      </c>
      <c r="W35" s="154">
        <v>0</v>
      </c>
      <c r="X35" s="154">
        <v>0</v>
      </c>
      <c r="Y35" s="154">
        <v>0</v>
      </c>
      <c r="Z35" s="154">
        <v>0</v>
      </c>
      <c r="AA35" s="154">
        <v>0</v>
      </c>
      <c r="AB35" s="154">
        <v>0.19690854311336017</v>
      </c>
      <c r="AC35" s="154">
        <v>0</v>
      </c>
    </row>
    <row r="36" spans="1:29" x14ac:dyDescent="0.3">
      <c r="A36" s="14" t="s">
        <v>117</v>
      </c>
      <c r="B36" s="142" t="s">
        <v>50</v>
      </c>
      <c r="C36" s="142" t="s">
        <v>51</v>
      </c>
      <c r="D36" s="142" t="s">
        <v>107</v>
      </c>
      <c r="E36" s="74"/>
      <c r="F36" s="154">
        <v>0</v>
      </c>
      <c r="G36" s="154">
        <v>0</v>
      </c>
      <c r="H36" s="154">
        <v>0</v>
      </c>
      <c r="I36" s="154">
        <v>0</v>
      </c>
      <c r="J36" s="154">
        <v>1.1551610000000001</v>
      </c>
      <c r="K36" s="154">
        <v>0</v>
      </c>
      <c r="L36" s="154">
        <v>0</v>
      </c>
      <c r="M36" s="154">
        <v>0</v>
      </c>
      <c r="N36" s="154">
        <v>0</v>
      </c>
      <c r="O36" s="154">
        <v>0</v>
      </c>
      <c r="P36" s="154">
        <v>1.1551610000000001</v>
      </c>
      <c r="Q36" s="154">
        <v>0</v>
      </c>
      <c r="R36" s="154">
        <v>0</v>
      </c>
      <c r="S36" s="154">
        <v>0</v>
      </c>
      <c r="T36" s="154">
        <v>0</v>
      </c>
      <c r="U36" s="154">
        <v>0</v>
      </c>
      <c r="V36" s="154">
        <v>1.1551610000000001</v>
      </c>
      <c r="W36" s="154">
        <v>0</v>
      </c>
      <c r="X36" s="154">
        <v>0</v>
      </c>
      <c r="Y36" s="154">
        <v>0</v>
      </c>
      <c r="Z36" s="154">
        <v>0</v>
      </c>
      <c r="AA36" s="154">
        <v>0</v>
      </c>
      <c r="AB36" s="154">
        <v>1.1551610000000001</v>
      </c>
      <c r="AC36" s="154">
        <v>0</v>
      </c>
    </row>
    <row r="37" spans="1:29" x14ac:dyDescent="0.3">
      <c r="A37" s="14"/>
      <c r="B37" s="142" t="s">
        <v>62</v>
      </c>
      <c r="C37" s="142" t="s">
        <v>63</v>
      </c>
      <c r="D37" s="142" t="s">
        <v>107</v>
      </c>
      <c r="E37" s="74"/>
      <c r="F37" s="154">
        <v>0.21060277999999999</v>
      </c>
      <c r="G37" s="154">
        <v>0</v>
      </c>
      <c r="H37" s="154">
        <v>0</v>
      </c>
      <c r="I37" s="154">
        <v>0</v>
      </c>
      <c r="J37" s="154">
        <v>0</v>
      </c>
      <c r="K37" s="154">
        <v>0</v>
      </c>
      <c r="L37" s="154">
        <v>0.21060277503051453</v>
      </c>
      <c r="M37" s="154">
        <v>0</v>
      </c>
      <c r="N37" s="154">
        <v>0</v>
      </c>
      <c r="O37" s="154">
        <v>0</v>
      </c>
      <c r="P37" s="154">
        <v>0</v>
      </c>
      <c r="Q37" s="154">
        <v>0</v>
      </c>
      <c r="R37" s="154">
        <v>0.21060277503051453</v>
      </c>
      <c r="S37" s="154">
        <v>0</v>
      </c>
      <c r="T37" s="154">
        <v>0</v>
      </c>
      <c r="U37" s="154">
        <v>0</v>
      </c>
      <c r="V37" s="154">
        <v>0</v>
      </c>
      <c r="W37" s="154">
        <v>0</v>
      </c>
      <c r="X37" s="154">
        <v>0.21060277503051453</v>
      </c>
      <c r="Y37" s="154">
        <v>0</v>
      </c>
      <c r="Z37" s="154">
        <v>0</v>
      </c>
      <c r="AA37" s="154">
        <v>0</v>
      </c>
      <c r="AB37" s="154">
        <v>0</v>
      </c>
      <c r="AC37" s="154">
        <v>0</v>
      </c>
    </row>
    <row r="38" spans="1:29" x14ac:dyDescent="0.3">
      <c r="A38" s="14" t="s">
        <v>117</v>
      </c>
      <c r="B38" s="142" t="s">
        <v>67</v>
      </c>
      <c r="C38" s="142" t="s">
        <v>68</v>
      </c>
      <c r="D38" s="142" t="s">
        <v>107</v>
      </c>
      <c r="E38" s="74"/>
      <c r="F38" s="154">
        <v>0</v>
      </c>
      <c r="G38" s="154">
        <v>0</v>
      </c>
      <c r="H38" s="154">
        <v>6.91444E-3</v>
      </c>
      <c r="I38" s="154">
        <v>0</v>
      </c>
      <c r="J38" s="154">
        <v>0</v>
      </c>
      <c r="K38" s="154">
        <v>6.9350100000000001E-3</v>
      </c>
      <c r="L38" s="154">
        <v>0</v>
      </c>
      <c r="M38" s="154">
        <v>0</v>
      </c>
      <c r="N38" s="154">
        <v>6.9556399999999999E-3</v>
      </c>
      <c r="O38" s="154">
        <v>0</v>
      </c>
      <c r="P38" s="154">
        <v>0</v>
      </c>
      <c r="Q38" s="154">
        <v>6.9763300000000002E-3</v>
      </c>
      <c r="R38" s="154">
        <v>0</v>
      </c>
      <c r="S38" s="154">
        <v>0</v>
      </c>
      <c r="T38" s="154">
        <v>6.9970900000000001E-3</v>
      </c>
      <c r="U38" s="154">
        <v>0</v>
      </c>
      <c r="V38" s="154">
        <v>0</v>
      </c>
      <c r="W38" s="154">
        <v>7.0179099999999996E-3</v>
      </c>
      <c r="X38" s="154">
        <v>0</v>
      </c>
      <c r="Y38" s="154">
        <v>0</v>
      </c>
      <c r="Z38" s="154">
        <v>7.0387799999999997E-3</v>
      </c>
      <c r="AA38" s="154">
        <v>0</v>
      </c>
      <c r="AB38" s="154">
        <v>0</v>
      </c>
      <c r="AC38" s="154">
        <v>7.0597200000000002E-3</v>
      </c>
    </row>
    <row r="39" spans="1:29" x14ac:dyDescent="0.3">
      <c r="A39" s="14" t="s">
        <v>117</v>
      </c>
      <c r="B39" s="142" t="s">
        <v>69</v>
      </c>
      <c r="C39" s="142" t="s">
        <v>70</v>
      </c>
      <c r="D39" s="142" t="s">
        <v>107</v>
      </c>
      <c r="E39" s="74"/>
      <c r="F39" s="154">
        <v>0</v>
      </c>
      <c r="G39" s="154">
        <v>0</v>
      </c>
      <c r="H39" s="154">
        <v>0</v>
      </c>
      <c r="I39" s="154">
        <v>0</v>
      </c>
      <c r="J39" s="154">
        <v>0</v>
      </c>
      <c r="K39" s="154">
        <v>0</v>
      </c>
      <c r="L39" s="154">
        <v>0</v>
      </c>
      <c r="M39" s="154">
        <v>0</v>
      </c>
      <c r="N39" s="154">
        <v>0</v>
      </c>
      <c r="O39" s="154">
        <v>0</v>
      </c>
      <c r="P39" s="154">
        <v>0</v>
      </c>
      <c r="Q39" s="154">
        <v>0</v>
      </c>
      <c r="R39" s="154">
        <v>0</v>
      </c>
      <c r="S39" s="154">
        <v>0</v>
      </c>
      <c r="T39" s="154">
        <v>0</v>
      </c>
      <c r="U39" s="154">
        <v>0</v>
      </c>
      <c r="V39" s="154">
        <v>0</v>
      </c>
      <c r="W39" s="154">
        <v>0</v>
      </c>
      <c r="X39" s="154">
        <v>0</v>
      </c>
      <c r="Y39" s="154">
        <v>0</v>
      </c>
      <c r="Z39" s="154">
        <v>0</v>
      </c>
      <c r="AA39" s="154">
        <v>0</v>
      </c>
      <c r="AB39" s="154">
        <v>0</v>
      </c>
      <c r="AC39" s="154">
        <v>0</v>
      </c>
    </row>
    <row r="40" spans="1:29" x14ac:dyDescent="0.3">
      <c r="A40" s="14" t="s">
        <v>117</v>
      </c>
      <c r="B40" s="142" t="s">
        <v>72</v>
      </c>
      <c r="C40" s="142" t="s">
        <v>73</v>
      </c>
      <c r="D40" s="142" t="s">
        <v>107</v>
      </c>
      <c r="E40" s="74"/>
      <c r="F40" s="154">
        <v>0</v>
      </c>
      <c r="G40" s="154">
        <v>0</v>
      </c>
      <c r="H40" s="154">
        <v>0.89227884999999996</v>
      </c>
      <c r="I40" s="154">
        <v>0</v>
      </c>
      <c r="J40" s="154">
        <v>0</v>
      </c>
      <c r="K40" s="154">
        <v>0</v>
      </c>
      <c r="L40" s="154">
        <v>0</v>
      </c>
      <c r="M40" s="154">
        <v>0</v>
      </c>
      <c r="N40" s="154">
        <v>0.89227885142857055</v>
      </c>
      <c r="O40" s="154">
        <v>0</v>
      </c>
      <c r="P40" s="154">
        <v>0</v>
      </c>
      <c r="Q40" s="154">
        <v>0</v>
      </c>
      <c r="R40" s="154">
        <v>0</v>
      </c>
      <c r="S40" s="154">
        <v>0</v>
      </c>
      <c r="T40" s="154">
        <v>0.89227885142857055</v>
      </c>
      <c r="U40" s="154">
        <v>0</v>
      </c>
      <c r="V40" s="154">
        <v>0</v>
      </c>
      <c r="W40" s="154">
        <v>0</v>
      </c>
      <c r="X40" s="154">
        <v>0</v>
      </c>
      <c r="Y40" s="154">
        <v>0</v>
      </c>
      <c r="Z40" s="154">
        <v>0.89227885142857055</v>
      </c>
      <c r="AA40" s="154">
        <v>0</v>
      </c>
      <c r="AB40" s="154">
        <v>0</v>
      </c>
      <c r="AC40" s="154">
        <v>0</v>
      </c>
    </row>
    <row r="41" spans="1:29" x14ac:dyDescent="0.3">
      <c r="A41" s="14"/>
      <c r="B41" s="142" t="s">
        <v>76</v>
      </c>
      <c r="C41" s="142" t="s">
        <v>77</v>
      </c>
      <c r="D41" s="142" t="s">
        <v>107</v>
      </c>
      <c r="E41" s="78"/>
      <c r="F41" s="154">
        <v>6.0735659999999997E-2</v>
      </c>
      <c r="G41" s="154">
        <v>0</v>
      </c>
      <c r="H41" s="154">
        <v>0</v>
      </c>
      <c r="I41" s="154">
        <v>0</v>
      </c>
      <c r="J41" s="154">
        <v>0</v>
      </c>
      <c r="K41" s="154">
        <v>0</v>
      </c>
      <c r="L41" s="154">
        <v>6.8068516159750486E-2</v>
      </c>
      <c r="M41" s="154">
        <v>0</v>
      </c>
      <c r="N41" s="154">
        <v>0</v>
      </c>
      <c r="O41" s="154">
        <v>0</v>
      </c>
      <c r="P41" s="154">
        <v>0</v>
      </c>
      <c r="Q41" s="154">
        <v>0</v>
      </c>
      <c r="R41" s="154">
        <v>6.8068516159750486E-2</v>
      </c>
      <c r="S41" s="154">
        <v>0</v>
      </c>
      <c r="T41" s="154">
        <v>0</v>
      </c>
      <c r="U41" s="154">
        <v>0</v>
      </c>
      <c r="V41" s="154">
        <v>0</v>
      </c>
      <c r="W41" s="154">
        <v>0</v>
      </c>
      <c r="X41" s="154">
        <v>6.8068516159750486E-2</v>
      </c>
      <c r="Y41" s="154">
        <v>0</v>
      </c>
      <c r="Z41" s="154">
        <v>0</v>
      </c>
      <c r="AA41" s="154">
        <v>0</v>
      </c>
      <c r="AB41" s="154">
        <v>0</v>
      </c>
      <c r="AC41" s="154">
        <v>0</v>
      </c>
    </row>
    <row r="42" spans="1:29" x14ac:dyDescent="0.3">
      <c r="A42" s="14"/>
      <c r="B42" s="155" t="s">
        <v>108</v>
      </c>
      <c r="C42" s="155" t="s">
        <v>75</v>
      </c>
      <c r="D42" s="155" t="s">
        <v>107</v>
      </c>
      <c r="E42" s="78"/>
      <c r="F42" s="154">
        <v>0</v>
      </c>
      <c r="G42" s="154">
        <v>0</v>
      </c>
      <c r="H42" s="154">
        <v>0</v>
      </c>
      <c r="I42" s="154">
        <v>0</v>
      </c>
      <c r="J42" s="154">
        <v>0.19370892319791164</v>
      </c>
      <c r="K42" s="154">
        <v>0</v>
      </c>
      <c r="L42" s="154">
        <v>0</v>
      </c>
      <c r="M42" s="154">
        <v>0</v>
      </c>
      <c r="N42" s="154">
        <v>0</v>
      </c>
      <c r="O42" s="154">
        <v>0</v>
      </c>
      <c r="P42" s="154">
        <v>0.19370892319791164</v>
      </c>
      <c r="Q42" s="154">
        <v>0</v>
      </c>
      <c r="R42" s="154">
        <v>0</v>
      </c>
      <c r="S42" s="154">
        <v>0</v>
      </c>
      <c r="T42" s="154">
        <v>0</v>
      </c>
      <c r="U42" s="154">
        <v>0</v>
      </c>
      <c r="V42" s="154">
        <v>0.19370892319791164</v>
      </c>
      <c r="W42" s="154">
        <v>0</v>
      </c>
      <c r="X42" s="154">
        <v>0</v>
      </c>
      <c r="Y42" s="154">
        <v>0</v>
      </c>
      <c r="Z42" s="154">
        <v>0</v>
      </c>
      <c r="AA42" s="154">
        <v>0</v>
      </c>
      <c r="AB42" s="154">
        <v>0.19370892319791164</v>
      </c>
      <c r="AC42" s="154">
        <v>0</v>
      </c>
    </row>
    <row r="43" spans="1:29" x14ac:dyDescent="0.3">
      <c r="A43" s="14" t="s">
        <v>117</v>
      </c>
      <c r="B43" s="142" t="s">
        <v>109</v>
      </c>
      <c r="C43" s="142" t="s">
        <v>80</v>
      </c>
      <c r="D43" s="142" t="s">
        <v>78</v>
      </c>
      <c r="E43" s="74"/>
      <c r="F43" s="154">
        <v>0</v>
      </c>
      <c r="G43" s="154">
        <v>0</v>
      </c>
      <c r="H43" s="154">
        <v>39.847769219999996</v>
      </c>
      <c r="I43" s="154">
        <v>0</v>
      </c>
      <c r="J43" s="154">
        <v>0</v>
      </c>
      <c r="K43" s="154">
        <v>0</v>
      </c>
      <c r="L43" s="154">
        <v>0</v>
      </c>
      <c r="M43" s="154">
        <v>0</v>
      </c>
      <c r="N43" s="154">
        <v>39.847769230769231</v>
      </c>
      <c r="O43" s="154">
        <v>0</v>
      </c>
      <c r="P43" s="154">
        <v>0</v>
      </c>
      <c r="Q43" s="154">
        <v>0</v>
      </c>
      <c r="R43" s="154">
        <v>0</v>
      </c>
      <c r="S43" s="154">
        <v>0</v>
      </c>
      <c r="T43" s="154">
        <v>39.847769230769231</v>
      </c>
      <c r="U43" s="154">
        <v>0</v>
      </c>
      <c r="V43" s="154">
        <v>0</v>
      </c>
      <c r="W43" s="154">
        <v>0</v>
      </c>
      <c r="X43" s="154">
        <v>0</v>
      </c>
      <c r="Y43" s="154">
        <v>0</v>
      </c>
      <c r="Z43" s="154">
        <v>39.847769230769231</v>
      </c>
      <c r="AA43" s="154">
        <v>0</v>
      </c>
      <c r="AB43" s="154">
        <v>0</v>
      </c>
      <c r="AC43" s="154">
        <v>0</v>
      </c>
    </row>
    <row r="44" spans="1:29" ht="6.75" customHeight="1" x14ac:dyDescent="0.3">
      <c r="B44" s="79"/>
      <c r="C44" s="2"/>
      <c r="D44" s="2"/>
      <c r="E44" s="75"/>
      <c r="F44" s="76"/>
      <c r="G44" s="76"/>
      <c r="H44" s="76"/>
      <c r="I44" s="76"/>
    </row>
    <row r="45" spans="1:29" ht="28.5" customHeight="1" x14ac:dyDescent="0.3">
      <c r="B45" s="249" t="s">
        <v>122</v>
      </c>
      <c r="C45" s="235"/>
      <c r="D45" s="235"/>
      <c r="E45" s="80"/>
      <c r="F45" s="128">
        <v>0.27133843999999996</v>
      </c>
      <c r="G45" s="128">
        <v>1.27059031</v>
      </c>
      <c r="H45" s="128">
        <v>40.746962509999996</v>
      </c>
      <c r="I45" s="128">
        <v>1.8451183100000002</v>
      </c>
      <c r="J45" s="128">
        <v>1.5457784531979117</v>
      </c>
      <c r="K45" s="128">
        <v>1.4327010571664431</v>
      </c>
      <c r="L45" s="128">
        <v>0.27867129119026501</v>
      </c>
      <c r="M45" s="128">
        <v>1.2705903105221876</v>
      </c>
      <c r="N45" s="128">
        <v>40.747003722197803</v>
      </c>
      <c r="O45" s="128">
        <v>1.8280481766108592</v>
      </c>
      <c r="P45" s="128">
        <v>1.5457784663112719</v>
      </c>
      <c r="Q45" s="128">
        <v>1.4327423771664431</v>
      </c>
      <c r="R45" s="128">
        <v>0.27867129119026501</v>
      </c>
      <c r="S45" s="128">
        <v>1.2705903105221876</v>
      </c>
      <c r="T45" s="128">
        <v>40.747045172197801</v>
      </c>
      <c r="U45" s="128">
        <v>1.8280481766108592</v>
      </c>
      <c r="V45" s="128">
        <v>1.5457784663112719</v>
      </c>
      <c r="W45" s="128">
        <v>1.4327839571664431</v>
      </c>
      <c r="X45" s="128">
        <v>0.27867129119026501</v>
      </c>
      <c r="Y45" s="128">
        <v>1.2705903105221876</v>
      </c>
      <c r="Z45" s="128">
        <v>40.747086862197804</v>
      </c>
      <c r="AA45" s="128">
        <v>1.8280481766108592</v>
      </c>
      <c r="AB45" s="128">
        <v>1.5457784663112719</v>
      </c>
      <c r="AC45" s="128">
        <v>1.4328257671664431</v>
      </c>
    </row>
    <row r="46" spans="1:29" x14ac:dyDescent="0.3">
      <c r="B46" s="2"/>
      <c r="C46" s="2"/>
      <c r="D46" s="2"/>
      <c r="E46" s="74"/>
    </row>
    <row r="47" spans="1:29" x14ac:dyDescent="0.3">
      <c r="B47" s="2"/>
      <c r="C47" s="2"/>
      <c r="D47" s="2"/>
      <c r="E47" s="74"/>
    </row>
    <row r="48" spans="1:29" x14ac:dyDescent="0.3">
      <c r="B48" s="2"/>
      <c r="C48" s="2"/>
      <c r="D48" s="2"/>
    </row>
    <row r="49" spans="11:17" x14ac:dyDescent="0.3">
      <c r="K49" s="72"/>
      <c r="N49" s="72"/>
      <c r="Q49" s="72"/>
    </row>
  </sheetData>
  <mergeCells count="13">
    <mergeCell ref="B1:E1"/>
    <mergeCell ref="B21:D21"/>
    <mergeCell ref="B22:D23"/>
    <mergeCell ref="B45:D45"/>
    <mergeCell ref="B4:D4"/>
    <mergeCell ref="C5:C6"/>
    <mergeCell ref="B28:D28"/>
    <mergeCell ref="B5:B6"/>
    <mergeCell ref="B24:D25"/>
    <mergeCell ref="B29:B30"/>
    <mergeCell ref="D5:D6"/>
    <mergeCell ref="C29:C30"/>
    <mergeCell ref="D29:D30"/>
  </mergeCells>
  <hyperlinks>
    <hyperlink ref="C7" location="IPVO26!A1" display="IPVO26" xr:uid="{00000000-0004-0000-0200-000000000000}"/>
    <hyperlink ref="C9" location="FFFIRF26!A1" display="FFFIRF26" xr:uid="{00000000-0004-0000-0200-000003000000}"/>
    <hyperlink ref="C10" location="FFFIRE26!A1" display="FFFIRE26" xr:uid="{00000000-0004-0000-0200-000004000000}"/>
    <hyperlink ref="C14" location="'TAMAR 1'!A1" display="TAMAR 1" xr:uid="{00000000-0004-0000-0200-000005000000}"/>
    <hyperlink ref="C15" location="'TAMAR 2'!A1" display="'TAMAR 2'!A1" xr:uid="{00000000-0004-0000-0200-000006000000}"/>
    <hyperlink ref="C32" location="BIDF40!A1" display="BIDF40" xr:uid="{00000000-0004-0000-0200-000007000000}"/>
    <hyperlink ref="C34" location="BIDY42!A1" display="BIDY42" xr:uid="{00000000-0004-0000-0200-000008000000}"/>
    <hyperlink ref="C35" location="BIDN32!A1" display="BIDN32" xr:uid="{00000000-0004-0000-0200-000009000000}"/>
    <hyperlink ref="C38" location="BIDS34!A1" display="BIDS34" xr:uid="{00000000-0004-0000-0200-00000B000000}"/>
    <hyperlink ref="C39" location="BIDS23!A1" display="BIDS23" xr:uid="{00000000-0004-0000-0200-00000C000000}"/>
    <hyperlink ref="C40" location="BIRS38!A1" display="BIRS38" xr:uid="{00000000-0004-0000-0200-00000D000000}"/>
  </hyperlinks>
  <pageMargins left="0.7" right="0.7" top="0.75" bottom="0.75" header="0.3" footer="0.3"/>
  <pageSetup paperSize="9"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
  <sheetViews>
    <sheetView showGridLines="0" zoomScale="85" zoomScaleNormal="85" workbookViewId="0">
      <pane xSplit="2" ySplit="2" topLeftCell="C3" activePane="bottomRight" state="frozen"/>
      <selection activeCell="F1" sqref="F1"/>
      <selection pane="topRight" activeCell="F1" sqref="F1"/>
      <selection pane="bottomLeft" activeCell="F1" sqref="F1"/>
      <selection pane="bottomRight"/>
    </sheetView>
  </sheetViews>
  <sheetFormatPr baseColWidth="10" defaultRowHeight="15" x14ac:dyDescent="0.25"/>
  <cols>
    <col min="1" max="1" width="20.85546875" customWidth="1"/>
    <col min="2" max="2" width="49.85546875" customWidth="1"/>
    <col min="3" max="4" width="19.5703125" customWidth="1"/>
    <col min="6" max="6" width="16.7109375" bestFit="1" customWidth="1"/>
    <col min="7" max="7" width="15.5703125" bestFit="1" customWidth="1"/>
    <col min="13" max="13" width="23.42578125" customWidth="1"/>
  </cols>
  <sheetData>
    <row r="1" spans="1:16" ht="24.75" customHeight="1" x14ac:dyDescent="0.25">
      <c r="A1" s="7"/>
      <c r="B1" s="43"/>
      <c r="C1" s="135">
        <v>2026</v>
      </c>
      <c r="D1" s="135">
        <v>2026</v>
      </c>
      <c r="E1" s="7"/>
      <c r="F1" s="30"/>
      <c r="G1" s="28"/>
      <c r="H1" s="7"/>
      <c r="I1" s="7"/>
      <c r="J1" s="7"/>
      <c r="K1" s="7"/>
      <c r="L1" s="7"/>
    </row>
    <row r="2" spans="1:16" ht="21" customHeight="1" x14ac:dyDescent="0.25">
      <c r="A2" s="7"/>
      <c r="B2" s="7"/>
      <c r="C2" s="108" t="s">
        <v>123</v>
      </c>
      <c r="D2" s="108" t="s">
        <v>192</v>
      </c>
      <c r="E2" s="7"/>
      <c r="F2" s="30"/>
      <c r="G2" s="30"/>
      <c r="H2" s="7"/>
      <c r="I2" s="7"/>
      <c r="J2" s="7"/>
      <c r="K2" s="7"/>
      <c r="L2" s="7"/>
    </row>
    <row r="3" spans="1:16" ht="57" customHeight="1" x14ac:dyDescent="0.25">
      <c r="A3" s="257" t="s">
        <v>124</v>
      </c>
      <c r="B3" s="108" t="s">
        <v>125</v>
      </c>
      <c r="C3" s="206">
        <v>327789.2880511235</v>
      </c>
      <c r="D3" s="206">
        <v>40850.414702243696</v>
      </c>
      <c r="E3" s="252" t="s">
        <v>126</v>
      </c>
      <c r="F3" s="253"/>
      <c r="G3" s="253"/>
      <c r="H3" s="253"/>
      <c r="I3" s="253"/>
      <c r="J3" s="253"/>
      <c r="K3" s="253"/>
      <c r="L3" s="254"/>
      <c r="M3" s="29"/>
      <c r="N3" s="29"/>
      <c r="O3" s="29"/>
      <c r="P3" s="29"/>
    </row>
    <row r="4" spans="1:16" ht="57" customHeight="1" x14ac:dyDescent="0.25">
      <c r="A4" s="222"/>
      <c r="B4" s="108" t="s">
        <v>127</v>
      </c>
      <c r="C4" s="206">
        <v>3905952.0399999996</v>
      </c>
      <c r="D4" s="206">
        <v>4328026.0330889896</v>
      </c>
      <c r="E4" s="255"/>
      <c r="F4" s="219"/>
      <c r="G4" s="219"/>
      <c r="H4" s="219"/>
      <c r="I4" s="219"/>
      <c r="J4" s="219"/>
      <c r="K4" s="219"/>
      <c r="L4" s="229"/>
      <c r="M4" s="29"/>
      <c r="N4" s="29"/>
      <c r="O4" s="29"/>
      <c r="P4" s="29"/>
    </row>
    <row r="5" spans="1:16" ht="57" customHeight="1" x14ac:dyDescent="0.25">
      <c r="A5" s="224"/>
      <c r="B5" s="108" t="s">
        <v>128</v>
      </c>
      <c r="C5" s="207">
        <v>8.3920459005718748E-2</v>
      </c>
      <c r="D5" s="207">
        <v>9.4385787862482015E-3</v>
      </c>
      <c r="E5" s="256"/>
      <c r="F5" s="232"/>
      <c r="G5" s="232"/>
      <c r="H5" s="232"/>
      <c r="I5" s="232"/>
      <c r="J5" s="232"/>
      <c r="K5" s="232"/>
      <c r="L5" s="233"/>
      <c r="M5" s="29"/>
      <c r="N5" s="29"/>
      <c r="O5" s="29"/>
      <c r="P5" s="29"/>
    </row>
    <row r="6" spans="1:16" ht="57" customHeight="1" x14ac:dyDescent="0.25">
      <c r="A6" s="257" t="s">
        <v>129</v>
      </c>
      <c r="B6" s="108" t="s">
        <v>130</v>
      </c>
      <c r="C6" s="206">
        <v>271662.7138371137</v>
      </c>
      <c r="D6" s="206">
        <v>192893.89618308947</v>
      </c>
      <c r="E6" s="252" t="s">
        <v>131</v>
      </c>
      <c r="F6" s="253"/>
      <c r="G6" s="253"/>
      <c r="H6" s="253"/>
      <c r="I6" s="253"/>
      <c r="J6" s="253"/>
      <c r="K6" s="253"/>
      <c r="L6" s="254"/>
      <c r="M6" s="29"/>
      <c r="N6" s="29"/>
      <c r="O6" s="29"/>
      <c r="P6" s="29"/>
    </row>
    <row r="7" spans="1:16" ht="57" customHeight="1" x14ac:dyDescent="0.25">
      <c r="A7" s="222"/>
      <c r="B7" s="108" t="s">
        <v>132</v>
      </c>
      <c r="C7" s="206">
        <v>2073784.56</v>
      </c>
      <c r="D7" s="206">
        <v>2479990.35881192</v>
      </c>
      <c r="E7" s="255"/>
      <c r="F7" s="219"/>
      <c r="G7" s="219"/>
      <c r="H7" s="219"/>
      <c r="I7" s="219"/>
      <c r="J7" s="219"/>
      <c r="K7" s="219"/>
      <c r="L7" s="229"/>
      <c r="M7" s="29"/>
      <c r="N7" s="29"/>
      <c r="O7" s="29"/>
      <c r="P7" s="29"/>
    </row>
    <row r="8" spans="1:16" ht="57" customHeight="1" x14ac:dyDescent="0.25">
      <c r="A8" s="222"/>
      <c r="B8" s="108" t="s">
        <v>133</v>
      </c>
      <c r="C8" s="207">
        <v>0.13099852273811591</v>
      </c>
      <c r="D8" s="207">
        <v>7.7780099224054419E-2</v>
      </c>
      <c r="E8" s="256"/>
      <c r="F8" s="232"/>
      <c r="G8" s="232"/>
      <c r="H8" s="232"/>
      <c r="I8" s="232"/>
      <c r="J8" s="232"/>
      <c r="K8" s="232"/>
      <c r="L8" s="233"/>
      <c r="M8" s="29"/>
      <c r="N8" s="29"/>
      <c r="O8" s="29"/>
      <c r="P8" s="29"/>
    </row>
    <row r="9" spans="1:16" ht="57" customHeight="1" x14ac:dyDescent="0.25">
      <c r="A9" s="222"/>
      <c r="B9" s="108" t="s">
        <v>134</v>
      </c>
      <c r="C9" s="206">
        <v>127513.34777911998</v>
      </c>
      <c r="D9" s="206">
        <v>134077.72718209348</v>
      </c>
      <c r="E9" s="252" t="s">
        <v>135</v>
      </c>
      <c r="F9" s="253"/>
      <c r="G9" s="253"/>
      <c r="H9" s="253"/>
      <c r="I9" s="253"/>
      <c r="J9" s="253"/>
      <c r="K9" s="253"/>
      <c r="L9" s="254"/>
      <c r="M9" s="29"/>
      <c r="N9" s="29"/>
      <c r="O9" s="29"/>
      <c r="P9" s="29"/>
    </row>
    <row r="10" spans="1:16" ht="57" customHeight="1" x14ac:dyDescent="0.25">
      <c r="A10" s="222"/>
      <c r="B10" s="108" t="s">
        <v>136</v>
      </c>
      <c r="C10" s="206">
        <v>4645175.1499999994</v>
      </c>
      <c r="D10" s="206">
        <v>5114060.1841191808</v>
      </c>
      <c r="E10" s="255"/>
      <c r="F10" s="219"/>
      <c r="G10" s="219"/>
      <c r="H10" s="219"/>
      <c r="I10" s="219"/>
      <c r="J10" s="219"/>
      <c r="K10" s="219"/>
      <c r="L10" s="229"/>
      <c r="M10" s="29"/>
      <c r="N10" s="29"/>
      <c r="O10" s="29"/>
      <c r="P10" s="29"/>
    </row>
    <row r="11" spans="1:16" ht="57" customHeight="1" x14ac:dyDescent="0.25">
      <c r="A11" s="222"/>
      <c r="B11" s="108" t="s">
        <v>137</v>
      </c>
      <c r="C11" s="207">
        <v>2.7450708242749467E-2</v>
      </c>
      <c r="D11" s="207">
        <v>2.6217471510884525E-2</v>
      </c>
      <c r="E11" s="256"/>
      <c r="F11" s="232"/>
      <c r="G11" s="232"/>
      <c r="H11" s="232"/>
      <c r="I11" s="232"/>
      <c r="J11" s="232"/>
      <c r="K11" s="232"/>
      <c r="L11" s="233"/>
      <c r="M11" s="29"/>
      <c r="N11" s="29"/>
      <c r="O11" s="29"/>
      <c r="P11" s="29"/>
    </row>
    <row r="12" spans="1:16" ht="57" customHeight="1" x14ac:dyDescent="0.25">
      <c r="A12" s="222"/>
      <c r="B12" s="108" t="s">
        <v>138</v>
      </c>
      <c r="C12" s="208">
        <v>12.839046890000001</v>
      </c>
      <c r="D12" s="208">
        <v>8.6761075099999996</v>
      </c>
      <c r="E12" s="252" t="s">
        <v>139</v>
      </c>
      <c r="F12" s="253"/>
      <c r="G12" s="253"/>
      <c r="H12" s="253"/>
      <c r="I12" s="253"/>
      <c r="J12" s="253"/>
      <c r="K12" s="253"/>
      <c r="L12" s="254"/>
      <c r="M12" s="29"/>
      <c r="N12" s="29"/>
      <c r="O12" s="29"/>
      <c r="P12" s="29"/>
    </row>
    <row r="13" spans="1:16" ht="57" customHeight="1" x14ac:dyDescent="0.25">
      <c r="A13" s="222"/>
      <c r="B13" s="108" t="s">
        <v>140</v>
      </c>
      <c r="C13" s="206">
        <v>4645175.1499999994</v>
      </c>
      <c r="D13" s="206">
        <v>5114060.1841191808</v>
      </c>
      <c r="E13" s="255"/>
      <c r="F13" s="219"/>
      <c r="G13" s="219"/>
      <c r="H13" s="219"/>
      <c r="I13" s="219"/>
      <c r="J13" s="219"/>
      <c r="K13" s="219"/>
      <c r="L13" s="229"/>
      <c r="M13" s="29"/>
      <c r="N13" s="29"/>
      <c r="O13" s="29"/>
      <c r="P13" s="29"/>
    </row>
    <row r="14" spans="1:16" ht="57" customHeight="1" x14ac:dyDescent="0.25">
      <c r="A14" s="222"/>
      <c r="B14" s="108" t="s">
        <v>141</v>
      </c>
      <c r="C14" s="209">
        <v>2.763953236510361E-6</v>
      </c>
      <c r="D14" s="209">
        <v>1.6965204158023274E-6</v>
      </c>
      <c r="E14" s="256"/>
      <c r="F14" s="232"/>
      <c r="G14" s="232"/>
      <c r="H14" s="232"/>
      <c r="I14" s="232"/>
      <c r="J14" s="232"/>
      <c r="K14" s="232"/>
      <c r="L14" s="233"/>
      <c r="M14" s="29"/>
      <c r="N14" s="29"/>
      <c r="O14" s="29"/>
      <c r="P14" s="29"/>
    </row>
    <row r="15" spans="1:16" ht="57" customHeight="1" x14ac:dyDescent="0.25">
      <c r="A15" s="222"/>
      <c r="B15" s="108" t="s">
        <v>142</v>
      </c>
      <c r="C15" s="206">
        <v>195551.50564034353</v>
      </c>
      <c r="D15" s="206">
        <v>276271.05100900709</v>
      </c>
      <c r="E15" s="252" t="s">
        <v>143</v>
      </c>
      <c r="F15" s="253"/>
      <c r="G15" s="253"/>
      <c r="H15" s="253"/>
      <c r="I15" s="253"/>
      <c r="J15" s="253"/>
      <c r="K15" s="253"/>
      <c r="L15" s="254"/>
      <c r="M15" s="29"/>
      <c r="N15" s="29"/>
      <c r="O15" s="29"/>
      <c r="P15" s="29"/>
    </row>
    <row r="16" spans="1:16" ht="57" customHeight="1" x14ac:dyDescent="0.25">
      <c r="A16" s="222"/>
      <c r="B16" s="108" t="s">
        <v>144</v>
      </c>
      <c r="C16" s="206">
        <v>2055358.85</v>
      </c>
      <c r="D16" s="206">
        <v>2176929.1890562098</v>
      </c>
      <c r="E16" s="255"/>
      <c r="F16" s="219"/>
      <c r="G16" s="219"/>
      <c r="H16" s="219"/>
      <c r="I16" s="219"/>
      <c r="J16" s="219"/>
      <c r="K16" s="219"/>
      <c r="L16" s="229"/>
      <c r="M16" s="29"/>
      <c r="N16" s="29"/>
      <c r="O16" s="29"/>
      <c r="P16" s="29"/>
    </row>
    <row r="17" spans="1:16" ht="57" customHeight="1" x14ac:dyDescent="0.25">
      <c r="A17" s="224"/>
      <c r="B17" s="108" t="s">
        <v>145</v>
      </c>
      <c r="C17" s="207">
        <v>9.5142269507022342E-2</v>
      </c>
      <c r="D17" s="207">
        <v>0.12690860704053594</v>
      </c>
      <c r="E17" s="256"/>
      <c r="F17" s="232"/>
      <c r="G17" s="232"/>
      <c r="H17" s="232"/>
      <c r="I17" s="232"/>
      <c r="J17" s="232"/>
      <c r="K17" s="232"/>
      <c r="L17" s="233"/>
      <c r="M17" s="29"/>
      <c r="N17" s="29"/>
      <c r="O17" s="29"/>
      <c r="P17" s="29"/>
    </row>
  </sheetData>
  <mergeCells count="7">
    <mergeCell ref="E3:L5"/>
    <mergeCell ref="E6:L8"/>
    <mergeCell ref="A3:A5"/>
    <mergeCell ref="E15:L17"/>
    <mergeCell ref="A6:A17"/>
    <mergeCell ref="E12:L14"/>
    <mergeCell ref="E9:L11"/>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9"/>
  <sheetViews>
    <sheetView showGridLines="0" workbookViewId="0"/>
  </sheetViews>
  <sheetFormatPr baseColWidth="10" defaultRowHeight="15" x14ac:dyDescent="0.25"/>
  <cols>
    <col min="1" max="1" width="4.5703125" customWidth="1"/>
    <col min="2" max="2" width="39.85546875" customWidth="1"/>
    <col min="3" max="3" width="11.28515625" customWidth="1"/>
    <col min="4" max="4" width="9.85546875" customWidth="1"/>
    <col min="5" max="5" width="11" customWidth="1"/>
    <col min="6" max="6" width="13.42578125" customWidth="1"/>
    <col min="7" max="9" width="12.42578125" customWidth="1"/>
    <col min="10" max="10" width="6.28515625" customWidth="1"/>
    <col min="11" max="11" width="6.42578125" customWidth="1"/>
    <col min="12" max="12" width="6.85546875" customWidth="1"/>
    <col min="13" max="13" width="9.28515625" customWidth="1"/>
    <col min="14" max="14" width="11.28515625" customWidth="1"/>
    <col min="259" max="259" width="39.85546875" customWidth="1"/>
    <col min="260" max="260" width="11.28515625" customWidth="1"/>
    <col min="261" max="261" width="9.85546875" customWidth="1"/>
    <col min="262" max="262" width="11" customWidth="1"/>
    <col min="263" max="263" width="13.42578125" customWidth="1"/>
    <col min="264" max="265" width="12.42578125" customWidth="1"/>
    <col min="266" max="266" width="6.28515625" customWidth="1"/>
    <col min="267" max="267" width="6.42578125" customWidth="1"/>
    <col min="268" max="268" width="6.85546875" customWidth="1"/>
    <col min="269" max="269" width="9.28515625" customWidth="1"/>
    <col min="270" max="270" width="11.28515625" customWidth="1"/>
    <col min="515" max="515" width="39.85546875" customWidth="1"/>
    <col min="516" max="516" width="11.28515625" customWidth="1"/>
    <col min="517" max="517" width="9.85546875" customWidth="1"/>
    <col min="518" max="518" width="11" customWidth="1"/>
    <col min="519" max="519" width="13.42578125" customWidth="1"/>
    <col min="520" max="521" width="12.42578125" customWidth="1"/>
    <col min="522" max="522" width="6.28515625" customWidth="1"/>
    <col min="523" max="523" width="6.42578125" customWidth="1"/>
    <col min="524" max="524" width="6.85546875" customWidth="1"/>
    <col min="525" max="525" width="9.28515625" customWidth="1"/>
    <col min="526" max="526" width="11.28515625" customWidth="1"/>
    <col min="771" max="771" width="39.85546875" customWidth="1"/>
    <col min="772" max="772" width="11.28515625" customWidth="1"/>
    <col min="773" max="773" width="9.85546875" customWidth="1"/>
    <col min="774" max="774" width="11" customWidth="1"/>
    <col min="775" max="775" width="13.42578125" customWidth="1"/>
    <col min="776" max="777" width="12.42578125" customWidth="1"/>
    <col min="778" max="778" width="6.28515625" customWidth="1"/>
    <col min="779" max="779" width="6.42578125" customWidth="1"/>
    <col min="780" max="780" width="6.85546875" customWidth="1"/>
    <col min="781" max="781" width="9.28515625" customWidth="1"/>
    <col min="782" max="782" width="11.28515625" customWidth="1"/>
    <col min="1027" max="1027" width="39.85546875" customWidth="1"/>
    <col min="1028" max="1028" width="11.28515625" customWidth="1"/>
    <col min="1029" max="1029" width="9.85546875" customWidth="1"/>
    <col min="1030" max="1030" width="11" customWidth="1"/>
    <col min="1031" max="1031" width="13.42578125" customWidth="1"/>
    <col min="1032" max="1033" width="12.42578125" customWidth="1"/>
    <col min="1034" max="1034" width="6.28515625" customWidth="1"/>
    <col min="1035" max="1035" width="6.42578125" customWidth="1"/>
    <col min="1036" max="1036" width="6.85546875" customWidth="1"/>
    <col min="1037" max="1037" width="9.28515625" customWidth="1"/>
    <col min="1038" max="1038" width="11.28515625" customWidth="1"/>
    <col min="1283" max="1283" width="39.85546875" customWidth="1"/>
    <col min="1284" max="1284" width="11.28515625" customWidth="1"/>
    <col min="1285" max="1285" width="9.85546875" customWidth="1"/>
    <col min="1286" max="1286" width="11" customWidth="1"/>
    <col min="1287" max="1287" width="13.42578125" customWidth="1"/>
    <col min="1288" max="1289" width="12.42578125" customWidth="1"/>
    <col min="1290" max="1290" width="6.28515625" customWidth="1"/>
    <col min="1291" max="1291" width="6.42578125" customWidth="1"/>
    <col min="1292" max="1292" width="6.85546875" customWidth="1"/>
    <col min="1293" max="1293" width="9.28515625" customWidth="1"/>
    <col min="1294" max="1294" width="11.28515625" customWidth="1"/>
    <col min="1539" max="1539" width="39.85546875" customWidth="1"/>
    <col min="1540" max="1540" width="11.28515625" customWidth="1"/>
    <col min="1541" max="1541" width="9.85546875" customWidth="1"/>
    <col min="1542" max="1542" width="11" customWidth="1"/>
    <col min="1543" max="1543" width="13.42578125" customWidth="1"/>
    <col min="1544" max="1545" width="12.42578125" customWidth="1"/>
    <col min="1546" max="1546" width="6.28515625" customWidth="1"/>
    <col min="1547" max="1547" width="6.42578125" customWidth="1"/>
    <col min="1548" max="1548" width="6.85546875" customWidth="1"/>
    <col min="1549" max="1549" width="9.28515625" customWidth="1"/>
    <col min="1550" max="1550" width="11.28515625" customWidth="1"/>
    <col min="1795" max="1795" width="39.85546875" customWidth="1"/>
    <col min="1796" max="1796" width="11.28515625" customWidth="1"/>
    <col min="1797" max="1797" width="9.85546875" customWidth="1"/>
    <col min="1798" max="1798" width="11" customWidth="1"/>
    <col min="1799" max="1799" width="13.42578125" customWidth="1"/>
    <col min="1800" max="1801" width="12.42578125" customWidth="1"/>
    <col min="1802" max="1802" width="6.28515625" customWidth="1"/>
    <col min="1803" max="1803" width="6.42578125" customWidth="1"/>
    <col min="1804" max="1804" width="6.85546875" customWidth="1"/>
    <col min="1805" max="1805" width="9.28515625" customWidth="1"/>
    <col min="1806" max="1806" width="11.28515625" customWidth="1"/>
    <col min="2051" max="2051" width="39.85546875" customWidth="1"/>
    <col min="2052" max="2052" width="11.28515625" customWidth="1"/>
    <col min="2053" max="2053" width="9.85546875" customWidth="1"/>
    <col min="2054" max="2054" width="11" customWidth="1"/>
    <col min="2055" max="2055" width="13.42578125" customWidth="1"/>
    <col min="2056" max="2057" width="12.42578125" customWidth="1"/>
    <col min="2058" max="2058" width="6.28515625" customWidth="1"/>
    <col min="2059" max="2059" width="6.42578125" customWidth="1"/>
    <col min="2060" max="2060" width="6.85546875" customWidth="1"/>
    <col min="2061" max="2061" width="9.28515625" customWidth="1"/>
    <col min="2062" max="2062" width="11.28515625" customWidth="1"/>
    <col min="2307" max="2307" width="39.85546875" customWidth="1"/>
    <col min="2308" max="2308" width="11.28515625" customWidth="1"/>
    <col min="2309" max="2309" width="9.85546875" customWidth="1"/>
    <col min="2310" max="2310" width="11" customWidth="1"/>
    <col min="2311" max="2311" width="13.42578125" customWidth="1"/>
    <col min="2312" max="2313" width="12.42578125" customWidth="1"/>
    <col min="2314" max="2314" width="6.28515625" customWidth="1"/>
    <col min="2315" max="2315" width="6.42578125" customWidth="1"/>
    <col min="2316" max="2316" width="6.85546875" customWidth="1"/>
    <col min="2317" max="2317" width="9.28515625" customWidth="1"/>
    <col min="2318" max="2318" width="11.28515625" customWidth="1"/>
    <col min="2563" max="2563" width="39.85546875" customWidth="1"/>
    <col min="2564" max="2564" width="11.28515625" customWidth="1"/>
    <col min="2565" max="2565" width="9.85546875" customWidth="1"/>
    <col min="2566" max="2566" width="11" customWidth="1"/>
    <col min="2567" max="2567" width="13.42578125" customWidth="1"/>
    <col min="2568" max="2569" width="12.42578125" customWidth="1"/>
    <col min="2570" max="2570" width="6.28515625" customWidth="1"/>
    <col min="2571" max="2571" width="6.42578125" customWidth="1"/>
    <col min="2572" max="2572" width="6.85546875" customWidth="1"/>
    <col min="2573" max="2573" width="9.28515625" customWidth="1"/>
    <col min="2574" max="2574" width="11.28515625" customWidth="1"/>
    <col min="2819" max="2819" width="39.85546875" customWidth="1"/>
    <col min="2820" max="2820" width="11.28515625" customWidth="1"/>
    <col min="2821" max="2821" width="9.85546875" customWidth="1"/>
    <col min="2822" max="2822" width="11" customWidth="1"/>
    <col min="2823" max="2823" width="13.42578125" customWidth="1"/>
    <col min="2824" max="2825" width="12.42578125" customWidth="1"/>
    <col min="2826" max="2826" width="6.28515625" customWidth="1"/>
    <col min="2827" max="2827" width="6.42578125" customWidth="1"/>
    <col min="2828" max="2828" width="6.85546875" customWidth="1"/>
    <col min="2829" max="2829" width="9.28515625" customWidth="1"/>
    <col min="2830" max="2830" width="11.28515625" customWidth="1"/>
    <col min="3075" max="3075" width="39.85546875" customWidth="1"/>
    <col min="3076" max="3076" width="11.28515625" customWidth="1"/>
    <col min="3077" max="3077" width="9.85546875" customWidth="1"/>
    <col min="3078" max="3078" width="11" customWidth="1"/>
    <col min="3079" max="3079" width="13.42578125" customWidth="1"/>
    <col min="3080" max="3081" width="12.42578125" customWidth="1"/>
    <col min="3082" max="3082" width="6.28515625" customWidth="1"/>
    <col min="3083" max="3083" width="6.42578125" customWidth="1"/>
    <col min="3084" max="3084" width="6.85546875" customWidth="1"/>
    <col min="3085" max="3085" width="9.28515625" customWidth="1"/>
    <col min="3086" max="3086" width="11.28515625" customWidth="1"/>
    <col min="3331" max="3331" width="39.85546875" customWidth="1"/>
    <col min="3332" max="3332" width="11.28515625" customWidth="1"/>
    <col min="3333" max="3333" width="9.85546875" customWidth="1"/>
    <col min="3334" max="3334" width="11" customWidth="1"/>
    <col min="3335" max="3335" width="13.42578125" customWidth="1"/>
    <col min="3336" max="3337" width="12.42578125" customWidth="1"/>
    <col min="3338" max="3338" width="6.28515625" customWidth="1"/>
    <col min="3339" max="3339" width="6.42578125" customWidth="1"/>
    <col min="3340" max="3340" width="6.85546875" customWidth="1"/>
    <col min="3341" max="3341" width="9.28515625" customWidth="1"/>
    <col min="3342" max="3342" width="11.28515625" customWidth="1"/>
    <col min="3587" max="3587" width="39.85546875" customWidth="1"/>
    <col min="3588" max="3588" width="11.28515625" customWidth="1"/>
    <col min="3589" max="3589" width="9.85546875" customWidth="1"/>
    <col min="3590" max="3590" width="11" customWidth="1"/>
    <col min="3591" max="3591" width="13.42578125" customWidth="1"/>
    <col min="3592" max="3593" width="12.42578125" customWidth="1"/>
    <col min="3594" max="3594" width="6.28515625" customWidth="1"/>
    <col min="3595" max="3595" width="6.42578125" customWidth="1"/>
    <col min="3596" max="3596" width="6.85546875" customWidth="1"/>
    <col min="3597" max="3597" width="9.28515625" customWidth="1"/>
    <col min="3598" max="3598" width="11.28515625" customWidth="1"/>
    <col min="3843" max="3843" width="39.85546875" customWidth="1"/>
    <col min="3844" max="3844" width="11.28515625" customWidth="1"/>
    <col min="3845" max="3845" width="9.85546875" customWidth="1"/>
    <col min="3846" max="3846" width="11" customWidth="1"/>
    <col min="3847" max="3847" width="13.42578125" customWidth="1"/>
    <col min="3848" max="3849" width="12.42578125" customWidth="1"/>
    <col min="3850" max="3850" width="6.28515625" customWidth="1"/>
    <col min="3851" max="3851" width="6.42578125" customWidth="1"/>
    <col min="3852" max="3852" width="6.85546875" customWidth="1"/>
    <col min="3853" max="3853" width="9.28515625" customWidth="1"/>
    <col min="3854" max="3854" width="11.28515625" customWidth="1"/>
    <col min="4099" max="4099" width="39.85546875" customWidth="1"/>
    <col min="4100" max="4100" width="11.28515625" customWidth="1"/>
    <col min="4101" max="4101" width="9.85546875" customWidth="1"/>
    <col min="4102" max="4102" width="11" customWidth="1"/>
    <col min="4103" max="4103" width="13.42578125" customWidth="1"/>
    <col min="4104" max="4105" width="12.42578125" customWidth="1"/>
    <col min="4106" max="4106" width="6.28515625" customWidth="1"/>
    <col min="4107" max="4107" width="6.42578125" customWidth="1"/>
    <col min="4108" max="4108" width="6.85546875" customWidth="1"/>
    <col min="4109" max="4109" width="9.28515625" customWidth="1"/>
    <col min="4110" max="4110" width="11.28515625" customWidth="1"/>
    <col min="4355" max="4355" width="39.85546875" customWidth="1"/>
    <col min="4356" max="4356" width="11.28515625" customWidth="1"/>
    <col min="4357" max="4357" width="9.85546875" customWidth="1"/>
    <col min="4358" max="4358" width="11" customWidth="1"/>
    <col min="4359" max="4359" width="13.42578125" customWidth="1"/>
    <col min="4360" max="4361" width="12.42578125" customWidth="1"/>
    <col min="4362" max="4362" width="6.28515625" customWidth="1"/>
    <col min="4363" max="4363" width="6.42578125" customWidth="1"/>
    <col min="4364" max="4364" width="6.85546875" customWidth="1"/>
    <col min="4365" max="4365" width="9.28515625" customWidth="1"/>
    <col min="4366" max="4366" width="11.28515625" customWidth="1"/>
    <col min="4611" max="4611" width="39.85546875" customWidth="1"/>
    <col min="4612" max="4612" width="11.28515625" customWidth="1"/>
    <col min="4613" max="4613" width="9.85546875" customWidth="1"/>
    <col min="4614" max="4614" width="11" customWidth="1"/>
    <col min="4615" max="4615" width="13.42578125" customWidth="1"/>
    <col min="4616" max="4617" width="12.42578125" customWidth="1"/>
    <col min="4618" max="4618" width="6.28515625" customWidth="1"/>
    <col min="4619" max="4619" width="6.42578125" customWidth="1"/>
    <col min="4620" max="4620" width="6.85546875" customWidth="1"/>
    <col min="4621" max="4621" width="9.28515625" customWidth="1"/>
    <col min="4622" max="4622" width="11.28515625" customWidth="1"/>
    <col min="4867" max="4867" width="39.85546875" customWidth="1"/>
    <col min="4868" max="4868" width="11.28515625" customWidth="1"/>
    <col min="4869" max="4869" width="9.85546875" customWidth="1"/>
    <col min="4870" max="4870" width="11" customWidth="1"/>
    <col min="4871" max="4871" width="13.42578125" customWidth="1"/>
    <col min="4872" max="4873" width="12.42578125" customWidth="1"/>
    <col min="4874" max="4874" width="6.28515625" customWidth="1"/>
    <col min="4875" max="4875" width="6.42578125" customWidth="1"/>
    <col min="4876" max="4876" width="6.85546875" customWidth="1"/>
    <col min="4877" max="4877" width="9.28515625" customWidth="1"/>
    <col min="4878" max="4878" width="11.28515625" customWidth="1"/>
    <col min="5123" max="5123" width="39.85546875" customWidth="1"/>
    <col min="5124" max="5124" width="11.28515625" customWidth="1"/>
    <col min="5125" max="5125" width="9.85546875" customWidth="1"/>
    <col min="5126" max="5126" width="11" customWidth="1"/>
    <col min="5127" max="5127" width="13.42578125" customWidth="1"/>
    <col min="5128" max="5129" width="12.42578125" customWidth="1"/>
    <col min="5130" max="5130" width="6.28515625" customWidth="1"/>
    <col min="5131" max="5131" width="6.42578125" customWidth="1"/>
    <col min="5132" max="5132" width="6.85546875" customWidth="1"/>
    <col min="5133" max="5133" width="9.28515625" customWidth="1"/>
    <col min="5134" max="5134" width="11.28515625" customWidth="1"/>
    <col min="5379" max="5379" width="39.85546875" customWidth="1"/>
    <col min="5380" max="5380" width="11.28515625" customWidth="1"/>
    <col min="5381" max="5381" width="9.85546875" customWidth="1"/>
    <col min="5382" max="5382" width="11" customWidth="1"/>
    <col min="5383" max="5383" width="13.42578125" customWidth="1"/>
    <col min="5384" max="5385" width="12.42578125" customWidth="1"/>
    <col min="5386" max="5386" width="6.28515625" customWidth="1"/>
    <col min="5387" max="5387" width="6.42578125" customWidth="1"/>
    <col min="5388" max="5388" width="6.85546875" customWidth="1"/>
    <col min="5389" max="5389" width="9.28515625" customWidth="1"/>
    <col min="5390" max="5390" width="11.28515625" customWidth="1"/>
    <col min="5635" max="5635" width="39.85546875" customWidth="1"/>
    <col min="5636" max="5636" width="11.28515625" customWidth="1"/>
    <col min="5637" max="5637" width="9.85546875" customWidth="1"/>
    <col min="5638" max="5638" width="11" customWidth="1"/>
    <col min="5639" max="5639" width="13.42578125" customWidth="1"/>
    <col min="5640" max="5641" width="12.42578125" customWidth="1"/>
    <col min="5642" max="5642" width="6.28515625" customWidth="1"/>
    <col min="5643" max="5643" width="6.42578125" customWidth="1"/>
    <col min="5644" max="5644" width="6.85546875" customWidth="1"/>
    <col min="5645" max="5645" width="9.28515625" customWidth="1"/>
    <col min="5646" max="5646" width="11.28515625" customWidth="1"/>
    <col min="5891" max="5891" width="39.85546875" customWidth="1"/>
    <col min="5892" max="5892" width="11.28515625" customWidth="1"/>
    <col min="5893" max="5893" width="9.85546875" customWidth="1"/>
    <col min="5894" max="5894" width="11" customWidth="1"/>
    <col min="5895" max="5895" width="13.42578125" customWidth="1"/>
    <col min="5896" max="5897" width="12.42578125" customWidth="1"/>
    <col min="5898" max="5898" width="6.28515625" customWidth="1"/>
    <col min="5899" max="5899" width="6.42578125" customWidth="1"/>
    <col min="5900" max="5900" width="6.85546875" customWidth="1"/>
    <col min="5901" max="5901" width="9.28515625" customWidth="1"/>
    <col min="5902" max="5902" width="11.28515625" customWidth="1"/>
    <col min="6147" max="6147" width="39.85546875" customWidth="1"/>
    <col min="6148" max="6148" width="11.28515625" customWidth="1"/>
    <col min="6149" max="6149" width="9.85546875" customWidth="1"/>
    <col min="6150" max="6150" width="11" customWidth="1"/>
    <col min="6151" max="6151" width="13.42578125" customWidth="1"/>
    <col min="6152" max="6153" width="12.42578125" customWidth="1"/>
    <col min="6154" max="6154" width="6.28515625" customWidth="1"/>
    <col min="6155" max="6155" width="6.42578125" customWidth="1"/>
    <col min="6156" max="6156" width="6.85546875" customWidth="1"/>
    <col min="6157" max="6157" width="9.28515625" customWidth="1"/>
    <col min="6158" max="6158" width="11.28515625" customWidth="1"/>
    <col min="6403" max="6403" width="39.85546875" customWidth="1"/>
    <col min="6404" max="6404" width="11.28515625" customWidth="1"/>
    <col min="6405" max="6405" width="9.85546875" customWidth="1"/>
    <col min="6406" max="6406" width="11" customWidth="1"/>
    <col min="6407" max="6407" width="13.42578125" customWidth="1"/>
    <col min="6408" max="6409" width="12.42578125" customWidth="1"/>
    <col min="6410" max="6410" width="6.28515625" customWidth="1"/>
    <col min="6411" max="6411" width="6.42578125" customWidth="1"/>
    <col min="6412" max="6412" width="6.85546875" customWidth="1"/>
    <col min="6413" max="6413" width="9.28515625" customWidth="1"/>
    <col min="6414" max="6414" width="11.28515625" customWidth="1"/>
    <col min="6659" max="6659" width="39.85546875" customWidth="1"/>
    <col min="6660" max="6660" width="11.28515625" customWidth="1"/>
    <col min="6661" max="6661" width="9.85546875" customWidth="1"/>
    <col min="6662" max="6662" width="11" customWidth="1"/>
    <col min="6663" max="6663" width="13.42578125" customWidth="1"/>
    <col min="6664" max="6665" width="12.42578125" customWidth="1"/>
    <col min="6666" max="6666" width="6.28515625" customWidth="1"/>
    <col min="6667" max="6667" width="6.42578125" customWidth="1"/>
    <col min="6668" max="6668" width="6.85546875" customWidth="1"/>
    <col min="6669" max="6669" width="9.28515625" customWidth="1"/>
    <col min="6670" max="6670" width="11.28515625" customWidth="1"/>
    <col min="6915" max="6915" width="39.85546875" customWidth="1"/>
    <col min="6916" max="6916" width="11.28515625" customWidth="1"/>
    <col min="6917" max="6917" width="9.85546875" customWidth="1"/>
    <col min="6918" max="6918" width="11" customWidth="1"/>
    <col min="6919" max="6919" width="13.42578125" customWidth="1"/>
    <col min="6920" max="6921" width="12.42578125" customWidth="1"/>
    <col min="6922" max="6922" width="6.28515625" customWidth="1"/>
    <col min="6923" max="6923" width="6.42578125" customWidth="1"/>
    <col min="6924" max="6924" width="6.85546875" customWidth="1"/>
    <col min="6925" max="6925" width="9.28515625" customWidth="1"/>
    <col min="6926" max="6926" width="11.28515625" customWidth="1"/>
    <col min="7171" max="7171" width="39.85546875" customWidth="1"/>
    <col min="7172" max="7172" width="11.28515625" customWidth="1"/>
    <col min="7173" max="7173" width="9.85546875" customWidth="1"/>
    <col min="7174" max="7174" width="11" customWidth="1"/>
    <col min="7175" max="7175" width="13.42578125" customWidth="1"/>
    <col min="7176" max="7177" width="12.42578125" customWidth="1"/>
    <col min="7178" max="7178" width="6.28515625" customWidth="1"/>
    <col min="7179" max="7179" width="6.42578125" customWidth="1"/>
    <col min="7180" max="7180" width="6.85546875" customWidth="1"/>
    <col min="7181" max="7181" width="9.28515625" customWidth="1"/>
    <col min="7182" max="7182" width="11.28515625" customWidth="1"/>
    <col min="7427" max="7427" width="39.85546875" customWidth="1"/>
    <col min="7428" max="7428" width="11.28515625" customWidth="1"/>
    <col min="7429" max="7429" width="9.85546875" customWidth="1"/>
    <col min="7430" max="7430" width="11" customWidth="1"/>
    <col min="7431" max="7431" width="13.42578125" customWidth="1"/>
    <col min="7432" max="7433" width="12.42578125" customWidth="1"/>
    <col min="7434" max="7434" width="6.28515625" customWidth="1"/>
    <col min="7435" max="7435" width="6.42578125" customWidth="1"/>
    <col min="7436" max="7436" width="6.85546875" customWidth="1"/>
    <col min="7437" max="7437" width="9.28515625" customWidth="1"/>
    <col min="7438" max="7438" width="11.28515625" customWidth="1"/>
    <col min="7683" max="7683" width="39.85546875" customWidth="1"/>
    <col min="7684" max="7684" width="11.28515625" customWidth="1"/>
    <col min="7685" max="7685" width="9.85546875" customWidth="1"/>
    <col min="7686" max="7686" width="11" customWidth="1"/>
    <col min="7687" max="7687" width="13.42578125" customWidth="1"/>
    <col min="7688" max="7689" width="12.42578125" customWidth="1"/>
    <col min="7690" max="7690" width="6.28515625" customWidth="1"/>
    <col min="7691" max="7691" width="6.42578125" customWidth="1"/>
    <col min="7692" max="7692" width="6.85546875" customWidth="1"/>
    <col min="7693" max="7693" width="9.28515625" customWidth="1"/>
    <col min="7694" max="7694" width="11.28515625" customWidth="1"/>
    <col min="7939" max="7939" width="39.85546875" customWidth="1"/>
    <col min="7940" max="7940" width="11.28515625" customWidth="1"/>
    <col min="7941" max="7941" width="9.85546875" customWidth="1"/>
    <col min="7942" max="7942" width="11" customWidth="1"/>
    <col min="7943" max="7943" width="13.42578125" customWidth="1"/>
    <col min="7944" max="7945" width="12.42578125" customWidth="1"/>
    <col min="7946" max="7946" width="6.28515625" customWidth="1"/>
    <col min="7947" max="7947" width="6.42578125" customWidth="1"/>
    <col min="7948" max="7948" width="6.85546875" customWidth="1"/>
    <col min="7949" max="7949" width="9.28515625" customWidth="1"/>
    <col min="7950" max="7950" width="11.28515625" customWidth="1"/>
    <col min="8195" max="8195" width="39.85546875" customWidth="1"/>
    <col min="8196" max="8196" width="11.28515625" customWidth="1"/>
    <col min="8197" max="8197" width="9.85546875" customWidth="1"/>
    <col min="8198" max="8198" width="11" customWidth="1"/>
    <col min="8199" max="8199" width="13.42578125" customWidth="1"/>
    <col min="8200" max="8201" width="12.42578125" customWidth="1"/>
    <col min="8202" max="8202" width="6.28515625" customWidth="1"/>
    <col min="8203" max="8203" width="6.42578125" customWidth="1"/>
    <col min="8204" max="8204" width="6.85546875" customWidth="1"/>
    <col min="8205" max="8205" width="9.28515625" customWidth="1"/>
    <col min="8206" max="8206" width="11.28515625" customWidth="1"/>
    <col min="8451" max="8451" width="39.85546875" customWidth="1"/>
    <col min="8452" max="8452" width="11.28515625" customWidth="1"/>
    <col min="8453" max="8453" width="9.85546875" customWidth="1"/>
    <col min="8454" max="8454" width="11" customWidth="1"/>
    <col min="8455" max="8455" width="13.42578125" customWidth="1"/>
    <col min="8456" max="8457" width="12.42578125" customWidth="1"/>
    <col min="8458" max="8458" width="6.28515625" customWidth="1"/>
    <col min="8459" max="8459" width="6.42578125" customWidth="1"/>
    <col min="8460" max="8460" width="6.85546875" customWidth="1"/>
    <col min="8461" max="8461" width="9.28515625" customWidth="1"/>
    <col min="8462" max="8462" width="11.28515625" customWidth="1"/>
    <col min="8707" max="8707" width="39.85546875" customWidth="1"/>
    <col min="8708" max="8708" width="11.28515625" customWidth="1"/>
    <col min="8709" max="8709" width="9.85546875" customWidth="1"/>
    <col min="8710" max="8710" width="11" customWidth="1"/>
    <col min="8711" max="8711" width="13.42578125" customWidth="1"/>
    <col min="8712" max="8713" width="12.42578125" customWidth="1"/>
    <col min="8714" max="8714" width="6.28515625" customWidth="1"/>
    <col min="8715" max="8715" width="6.42578125" customWidth="1"/>
    <col min="8716" max="8716" width="6.85546875" customWidth="1"/>
    <col min="8717" max="8717" width="9.28515625" customWidth="1"/>
    <col min="8718" max="8718" width="11.28515625" customWidth="1"/>
    <col min="8963" max="8963" width="39.85546875" customWidth="1"/>
    <col min="8964" max="8964" width="11.28515625" customWidth="1"/>
    <col min="8965" max="8965" width="9.85546875" customWidth="1"/>
    <col min="8966" max="8966" width="11" customWidth="1"/>
    <col min="8967" max="8967" width="13.42578125" customWidth="1"/>
    <col min="8968" max="8969" width="12.42578125" customWidth="1"/>
    <col min="8970" max="8970" width="6.28515625" customWidth="1"/>
    <col min="8971" max="8971" width="6.42578125" customWidth="1"/>
    <col min="8972" max="8972" width="6.85546875" customWidth="1"/>
    <col min="8973" max="8973" width="9.28515625" customWidth="1"/>
    <col min="8974" max="8974" width="11.28515625" customWidth="1"/>
    <col min="9219" max="9219" width="39.85546875" customWidth="1"/>
    <col min="9220" max="9220" width="11.28515625" customWidth="1"/>
    <col min="9221" max="9221" width="9.85546875" customWidth="1"/>
    <col min="9222" max="9222" width="11" customWidth="1"/>
    <col min="9223" max="9223" width="13.42578125" customWidth="1"/>
    <col min="9224" max="9225" width="12.42578125" customWidth="1"/>
    <col min="9226" max="9226" width="6.28515625" customWidth="1"/>
    <col min="9227" max="9227" width="6.42578125" customWidth="1"/>
    <col min="9228" max="9228" width="6.85546875" customWidth="1"/>
    <col min="9229" max="9229" width="9.28515625" customWidth="1"/>
    <col min="9230" max="9230" width="11.28515625" customWidth="1"/>
    <col min="9475" max="9475" width="39.85546875" customWidth="1"/>
    <col min="9476" max="9476" width="11.28515625" customWidth="1"/>
    <col min="9477" max="9477" width="9.85546875" customWidth="1"/>
    <col min="9478" max="9478" width="11" customWidth="1"/>
    <col min="9479" max="9479" width="13.42578125" customWidth="1"/>
    <col min="9480" max="9481" width="12.42578125" customWidth="1"/>
    <col min="9482" max="9482" width="6.28515625" customWidth="1"/>
    <col min="9483" max="9483" width="6.42578125" customWidth="1"/>
    <col min="9484" max="9484" width="6.85546875" customWidth="1"/>
    <col min="9485" max="9485" width="9.28515625" customWidth="1"/>
    <col min="9486" max="9486" width="11.28515625" customWidth="1"/>
    <col min="9731" max="9731" width="39.85546875" customWidth="1"/>
    <col min="9732" max="9732" width="11.28515625" customWidth="1"/>
    <col min="9733" max="9733" width="9.85546875" customWidth="1"/>
    <col min="9734" max="9734" width="11" customWidth="1"/>
    <col min="9735" max="9735" width="13.42578125" customWidth="1"/>
    <col min="9736" max="9737" width="12.42578125" customWidth="1"/>
    <col min="9738" max="9738" width="6.28515625" customWidth="1"/>
    <col min="9739" max="9739" width="6.42578125" customWidth="1"/>
    <col min="9740" max="9740" width="6.85546875" customWidth="1"/>
    <col min="9741" max="9741" width="9.28515625" customWidth="1"/>
    <col min="9742" max="9742" width="11.28515625" customWidth="1"/>
    <col min="9987" max="9987" width="39.85546875" customWidth="1"/>
    <col min="9988" max="9988" width="11.28515625" customWidth="1"/>
    <col min="9989" max="9989" width="9.85546875" customWidth="1"/>
    <col min="9990" max="9990" width="11" customWidth="1"/>
    <col min="9991" max="9991" width="13.42578125" customWidth="1"/>
    <col min="9992" max="9993" width="12.42578125" customWidth="1"/>
    <col min="9994" max="9994" width="6.28515625" customWidth="1"/>
    <col min="9995" max="9995" width="6.42578125" customWidth="1"/>
    <col min="9996" max="9996" width="6.85546875" customWidth="1"/>
    <col min="9997" max="9997" width="9.28515625" customWidth="1"/>
    <col min="9998" max="9998" width="11.28515625" customWidth="1"/>
    <col min="10243" max="10243" width="39.85546875" customWidth="1"/>
    <col min="10244" max="10244" width="11.28515625" customWidth="1"/>
    <col min="10245" max="10245" width="9.85546875" customWidth="1"/>
    <col min="10246" max="10246" width="11" customWidth="1"/>
    <col min="10247" max="10247" width="13.42578125" customWidth="1"/>
    <col min="10248" max="10249" width="12.42578125" customWidth="1"/>
    <col min="10250" max="10250" width="6.28515625" customWidth="1"/>
    <col min="10251" max="10251" width="6.42578125" customWidth="1"/>
    <col min="10252" max="10252" width="6.85546875" customWidth="1"/>
    <col min="10253" max="10253" width="9.28515625" customWidth="1"/>
    <col min="10254" max="10254" width="11.28515625" customWidth="1"/>
    <col min="10499" max="10499" width="39.85546875" customWidth="1"/>
    <col min="10500" max="10500" width="11.28515625" customWidth="1"/>
    <col min="10501" max="10501" width="9.85546875" customWidth="1"/>
    <col min="10502" max="10502" width="11" customWidth="1"/>
    <col min="10503" max="10503" width="13.42578125" customWidth="1"/>
    <col min="10504" max="10505" width="12.42578125" customWidth="1"/>
    <col min="10506" max="10506" width="6.28515625" customWidth="1"/>
    <col min="10507" max="10507" width="6.42578125" customWidth="1"/>
    <col min="10508" max="10508" width="6.85546875" customWidth="1"/>
    <col min="10509" max="10509" width="9.28515625" customWidth="1"/>
    <col min="10510" max="10510" width="11.28515625" customWidth="1"/>
    <col min="10755" max="10755" width="39.85546875" customWidth="1"/>
    <col min="10756" max="10756" width="11.28515625" customWidth="1"/>
    <col min="10757" max="10757" width="9.85546875" customWidth="1"/>
    <col min="10758" max="10758" width="11" customWidth="1"/>
    <col min="10759" max="10759" width="13.42578125" customWidth="1"/>
    <col min="10760" max="10761" width="12.42578125" customWidth="1"/>
    <col min="10762" max="10762" width="6.28515625" customWidth="1"/>
    <col min="10763" max="10763" width="6.42578125" customWidth="1"/>
    <col min="10764" max="10764" width="6.85546875" customWidth="1"/>
    <col min="10765" max="10765" width="9.28515625" customWidth="1"/>
    <col min="10766" max="10766" width="11.28515625" customWidth="1"/>
    <col min="11011" max="11011" width="39.85546875" customWidth="1"/>
    <col min="11012" max="11012" width="11.28515625" customWidth="1"/>
    <col min="11013" max="11013" width="9.85546875" customWidth="1"/>
    <col min="11014" max="11014" width="11" customWidth="1"/>
    <col min="11015" max="11015" width="13.42578125" customWidth="1"/>
    <col min="11016" max="11017" width="12.42578125" customWidth="1"/>
    <col min="11018" max="11018" width="6.28515625" customWidth="1"/>
    <col min="11019" max="11019" width="6.42578125" customWidth="1"/>
    <col min="11020" max="11020" width="6.85546875" customWidth="1"/>
    <col min="11021" max="11021" width="9.28515625" customWidth="1"/>
    <col min="11022" max="11022" width="11.28515625" customWidth="1"/>
    <col min="11267" max="11267" width="39.85546875" customWidth="1"/>
    <col min="11268" max="11268" width="11.28515625" customWidth="1"/>
    <col min="11269" max="11269" width="9.85546875" customWidth="1"/>
    <col min="11270" max="11270" width="11" customWidth="1"/>
    <col min="11271" max="11271" width="13.42578125" customWidth="1"/>
    <col min="11272" max="11273" width="12.42578125" customWidth="1"/>
    <col min="11274" max="11274" width="6.28515625" customWidth="1"/>
    <col min="11275" max="11275" width="6.42578125" customWidth="1"/>
    <col min="11276" max="11276" width="6.85546875" customWidth="1"/>
    <col min="11277" max="11277" width="9.28515625" customWidth="1"/>
    <col min="11278" max="11278" width="11.28515625" customWidth="1"/>
    <col min="11523" max="11523" width="39.85546875" customWidth="1"/>
    <col min="11524" max="11524" width="11.28515625" customWidth="1"/>
    <col min="11525" max="11525" width="9.85546875" customWidth="1"/>
    <col min="11526" max="11526" width="11" customWidth="1"/>
    <col min="11527" max="11527" width="13.42578125" customWidth="1"/>
    <col min="11528" max="11529" width="12.42578125" customWidth="1"/>
    <col min="11530" max="11530" width="6.28515625" customWidth="1"/>
    <col min="11531" max="11531" width="6.42578125" customWidth="1"/>
    <col min="11532" max="11532" width="6.85546875" customWidth="1"/>
    <col min="11533" max="11533" width="9.28515625" customWidth="1"/>
    <col min="11534" max="11534" width="11.28515625" customWidth="1"/>
    <col min="11779" max="11779" width="39.85546875" customWidth="1"/>
    <col min="11780" max="11780" width="11.28515625" customWidth="1"/>
    <col min="11781" max="11781" width="9.85546875" customWidth="1"/>
    <col min="11782" max="11782" width="11" customWidth="1"/>
    <col min="11783" max="11783" width="13.42578125" customWidth="1"/>
    <col min="11784" max="11785" width="12.42578125" customWidth="1"/>
    <col min="11786" max="11786" width="6.28515625" customWidth="1"/>
    <col min="11787" max="11787" width="6.42578125" customWidth="1"/>
    <col min="11788" max="11788" width="6.85546875" customWidth="1"/>
    <col min="11789" max="11789" width="9.28515625" customWidth="1"/>
    <col min="11790" max="11790" width="11.28515625" customWidth="1"/>
    <col min="12035" max="12035" width="39.85546875" customWidth="1"/>
    <col min="12036" max="12036" width="11.28515625" customWidth="1"/>
    <col min="12037" max="12037" width="9.85546875" customWidth="1"/>
    <col min="12038" max="12038" width="11" customWidth="1"/>
    <col min="12039" max="12039" width="13.42578125" customWidth="1"/>
    <col min="12040" max="12041" width="12.42578125" customWidth="1"/>
    <col min="12042" max="12042" width="6.28515625" customWidth="1"/>
    <col min="12043" max="12043" width="6.42578125" customWidth="1"/>
    <col min="12044" max="12044" width="6.85546875" customWidth="1"/>
    <col min="12045" max="12045" width="9.28515625" customWidth="1"/>
    <col min="12046" max="12046" width="11.28515625" customWidth="1"/>
    <col min="12291" max="12291" width="39.85546875" customWidth="1"/>
    <col min="12292" max="12292" width="11.28515625" customWidth="1"/>
    <col min="12293" max="12293" width="9.85546875" customWidth="1"/>
    <col min="12294" max="12294" width="11" customWidth="1"/>
    <col min="12295" max="12295" width="13.42578125" customWidth="1"/>
    <col min="12296" max="12297" width="12.42578125" customWidth="1"/>
    <col min="12298" max="12298" width="6.28515625" customWidth="1"/>
    <col min="12299" max="12299" width="6.42578125" customWidth="1"/>
    <col min="12300" max="12300" width="6.85546875" customWidth="1"/>
    <col min="12301" max="12301" width="9.28515625" customWidth="1"/>
    <col min="12302" max="12302" width="11.28515625" customWidth="1"/>
    <col min="12547" max="12547" width="39.85546875" customWidth="1"/>
    <col min="12548" max="12548" width="11.28515625" customWidth="1"/>
    <col min="12549" max="12549" width="9.85546875" customWidth="1"/>
    <col min="12550" max="12550" width="11" customWidth="1"/>
    <col min="12551" max="12551" width="13.42578125" customWidth="1"/>
    <col min="12552" max="12553" width="12.42578125" customWidth="1"/>
    <col min="12554" max="12554" width="6.28515625" customWidth="1"/>
    <col min="12555" max="12555" width="6.42578125" customWidth="1"/>
    <col min="12556" max="12556" width="6.85546875" customWidth="1"/>
    <col min="12557" max="12557" width="9.28515625" customWidth="1"/>
    <col min="12558" max="12558" width="11.28515625" customWidth="1"/>
    <col min="12803" max="12803" width="39.85546875" customWidth="1"/>
    <col min="12804" max="12804" width="11.28515625" customWidth="1"/>
    <col min="12805" max="12805" width="9.85546875" customWidth="1"/>
    <col min="12806" max="12806" width="11" customWidth="1"/>
    <col min="12807" max="12807" width="13.42578125" customWidth="1"/>
    <col min="12808" max="12809" width="12.42578125" customWidth="1"/>
    <col min="12810" max="12810" width="6.28515625" customWidth="1"/>
    <col min="12811" max="12811" width="6.42578125" customWidth="1"/>
    <col min="12812" max="12812" width="6.85546875" customWidth="1"/>
    <col min="12813" max="12813" width="9.28515625" customWidth="1"/>
    <col min="12814" max="12814" width="11.28515625" customWidth="1"/>
    <col min="13059" max="13059" width="39.85546875" customWidth="1"/>
    <col min="13060" max="13060" width="11.28515625" customWidth="1"/>
    <col min="13061" max="13061" width="9.85546875" customWidth="1"/>
    <col min="13062" max="13062" width="11" customWidth="1"/>
    <col min="13063" max="13063" width="13.42578125" customWidth="1"/>
    <col min="13064" max="13065" width="12.42578125" customWidth="1"/>
    <col min="13066" max="13066" width="6.28515625" customWidth="1"/>
    <col min="13067" max="13067" width="6.42578125" customWidth="1"/>
    <col min="13068" max="13068" width="6.85546875" customWidth="1"/>
    <col min="13069" max="13069" width="9.28515625" customWidth="1"/>
    <col min="13070" max="13070" width="11.28515625" customWidth="1"/>
    <col min="13315" max="13315" width="39.85546875" customWidth="1"/>
    <col min="13316" max="13316" width="11.28515625" customWidth="1"/>
    <col min="13317" max="13317" width="9.85546875" customWidth="1"/>
    <col min="13318" max="13318" width="11" customWidth="1"/>
    <col min="13319" max="13319" width="13.42578125" customWidth="1"/>
    <col min="13320" max="13321" width="12.42578125" customWidth="1"/>
    <col min="13322" max="13322" width="6.28515625" customWidth="1"/>
    <col min="13323" max="13323" width="6.42578125" customWidth="1"/>
    <col min="13324" max="13324" width="6.85546875" customWidth="1"/>
    <col min="13325" max="13325" width="9.28515625" customWidth="1"/>
    <col min="13326" max="13326" width="11.28515625" customWidth="1"/>
    <col min="13571" max="13571" width="39.85546875" customWidth="1"/>
    <col min="13572" max="13572" width="11.28515625" customWidth="1"/>
    <col min="13573" max="13573" width="9.85546875" customWidth="1"/>
    <col min="13574" max="13574" width="11" customWidth="1"/>
    <col min="13575" max="13575" width="13.42578125" customWidth="1"/>
    <col min="13576" max="13577" width="12.42578125" customWidth="1"/>
    <col min="13578" max="13578" width="6.28515625" customWidth="1"/>
    <col min="13579" max="13579" width="6.42578125" customWidth="1"/>
    <col min="13580" max="13580" width="6.85546875" customWidth="1"/>
    <col min="13581" max="13581" width="9.28515625" customWidth="1"/>
    <col min="13582" max="13582" width="11.28515625" customWidth="1"/>
    <col min="13827" max="13827" width="39.85546875" customWidth="1"/>
    <col min="13828" max="13828" width="11.28515625" customWidth="1"/>
    <col min="13829" max="13829" width="9.85546875" customWidth="1"/>
    <col min="13830" max="13830" width="11" customWidth="1"/>
    <col min="13831" max="13831" width="13.42578125" customWidth="1"/>
    <col min="13832" max="13833" width="12.42578125" customWidth="1"/>
    <col min="13834" max="13834" width="6.28515625" customWidth="1"/>
    <col min="13835" max="13835" width="6.42578125" customWidth="1"/>
    <col min="13836" max="13836" width="6.85546875" customWidth="1"/>
    <col min="13837" max="13837" width="9.28515625" customWidth="1"/>
    <col min="13838" max="13838" width="11.28515625" customWidth="1"/>
    <col min="14083" max="14083" width="39.85546875" customWidth="1"/>
    <col min="14084" max="14084" width="11.28515625" customWidth="1"/>
    <col min="14085" max="14085" width="9.85546875" customWidth="1"/>
    <col min="14086" max="14086" width="11" customWidth="1"/>
    <col min="14087" max="14087" width="13.42578125" customWidth="1"/>
    <col min="14088" max="14089" width="12.42578125" customWidth="1"/>
    <col min="14090" max="14090" width="6.28515625" customWidth="1"/>
    <col min="14091" max="14091" width="6.42578125" customWidth="1"/>
    <col min="14092" max="14092" width="6.85546875" customWidth="1"/>
    <col min="14093" max="14093" width="9.28515625" customWidth="1"/>
    <col min="14094" max="14094" width="11.28515625" customWidth="1"/>
    <col min="14339" max="14339" width="39.85546875" customWidth="1"/>
    <col min="14340" max="14340" width="11.28515625" customWidth="1"/>
    <col min="14341" max="14341" width="9.85546875" customWidth="1"/>
    <col min="14342" max="14342" width="11" customWidth="1"/>
    <col min="14343" max="14343" width="13.42578125" customWidth="1"/>
    <col min="14344" max="14345" width="12.42578125" customWidth="1"/>
    <col min="14346" max="14346" width="6.28515625" customWidth="1"/>
    <col min="14347" max="14347" width="6.42578125" customWidth="1"/>
    <col min="14348" max="14348" width="6.85546875" customWidth="1"/>
    <col min="14349" max="14349" width="9.28515625" customWidth="1"/>
    <col min="14350" max="14350" width="11.28515625" customWidth="1"/>
    <col min="14595" max="14595" width="39.85546875" customWidth="1"/>
    <col min="14596" max="14596" width="11.28515625" customWidth="1"/>
    <col min="14597" max="14597" width="9.85546875" customWidth="1"/>
    <col min="14598" max="14598" width="11" customWidth="1"/>
    <col min="14599" max="14599" width="13.42578125" customWidth="1"/>
    <col min="14600" max="14601" width="12.42578125" customWidth="1"/>
    <col min="14602" max="14602" width="6.28515625" customWidth="1"/>
    <col min="14603" max="14603" width="6.42578125" customWidth="1"/>
    <col min="14604" max="14604" width="6.85546875" customWidth="1"/>
    <col min="14605" max="14605" width="9.28515625" customWidth="1"/>
    <col min="14606" max="14606" width="11.28515625" customWidth="1"/>
    <col min="14851" max="14851" width="39.85546875" customWidth="1"/>
    <col min="14852" max="14852" width="11.28515625" customWidth="1"/>
    <col min="14853" max="14853" width="9.85546875" customWidth="1"/>
    <col min="14854" max="14854" width="11" customWidth="1"/>
    <col min="14855" max="14855" width="13.42578125" customWidth="1"/>
    <col min="14856" max="14857" width="12.42578125" customWidth="1"/>
    <col min="14858" max="14858" width="6.28515625" customWidth="1"/>
    <col min="14859" max="14859" width="6.42578125" customWidth="1"/>
    <col min="14860" max="14860" width="6.85546875" customWidth="1"/>
    <col min="14861" max="14861" width="9.28515625" customWidth="1"/>
    <col min="14862" max="14862" width="11.28515625" customWidth="1"/>
    <col min="15107" max="15107" width="39.85546875" customWidth="1"/>
    <col min="15108" max="15108" width="11.28515625" customWidth="1"/>
    <col min="15109" max="15109" width="9.85546875" customWidth="1"/>
    <col min="15110" max="15110" width="11" customWidth="1"/>
    <col min="15111" max="15111" width="13.42578125" customWidth="1"/>
    <col min="15112" max="15113" width="12.42578125" customWidth="1"/>
    <col min="15114" max="15114" width="6.28515625" customWidth="1"/>
    <col min="15115" max="15115" width="6.42578125" customWidth="1"/>
    <col min="15116" max="15116" width="6.85546875" customWidth="1"/>
    <col min="15117" max="15117" width="9.28515625" customWidth="1"/>
    <col min="15118" max="15118" width="11.28515625" customWidth="1"/>
    <col min="15363" max="15363" width="39.85546875" customWidth="1"/>
    <col min="15364" max="15364" width="11.28515625" customWidth="1"/>
    <col min="15365" max="15365" width="9.85546875" customWidth="1"/>
    <col min="15366" max="15366" width="11" customWidth="1"/>
    <col min="15367" max="15367" width="13.42578125" customWidth="1"/>
    <col min="15368" max="15369" width="12.42578125" customWidth="1"/>
    <col min="15370" max="15370" width="6.28515625" customWidth="1"/>
    <col min="15371" max="15371" width="6.42578125" customWidth="1"/>
    <col min="15372" max="15372" width="6.85546875" customWidth="1"/>
    <col min="15373" max="15373" width="9.28515625" customWidth="1"/>
    <col min="15374" max="15374" width="11.28515625" customWidth="1"/>
    <col min="15619" max="15619" width="39.85546875" customWidth="1"/>
    <col min="15620" max="15620" width="11.28515625" customWidth="1"/>
    <col min="15621" max="15621" width="9.85546875" customWidth="1"/>
    <col min="15622" max="15622" width="11" customWidth="1"/>
    <col min="15623" max="15623" width="13.42578125" customWidth="1"/>
    <col min="15624" max="15625" width="12.42578125" customWidth="1"/>
    <col min="15626" max="15626" width="6.28515625" customWidth="1"/>
    <col min="15627" max="15627" width="6.42578125" customWidth="1"/>
    <col min="15628" max="15628" width="6.85546875" customWidth="1"/>
    <col min="15629" max="15629" width="9.28515625" customWidth="1"/>
    <col min="15630" max="15630" width="11.28515625" customWidth="1"/>
    <col min="15875" max="15875" width="39.85546875" customWidth="1"/>
    <col min="15876" max="15876" width="11.28515625" customWidth="1"/>
    <col min="15877" max="15877" width="9.85546875" customWidth="1"/>
    <col min="15878" max="15878" width="11" customWidth="1"/>
    <col min="15879" max="15879" width="13.42578125" customWidth="1"/>
    <col min="15880" max="15881" width="12.42578125" customWidth="1"/>
    <col min="15882" max="15882" width="6.28515625" customWidth="1"/>
    <col min="15883" max="15883" width="6.42578125" customWidth="1"/>
    <col min="15884" max="15884" width="6.85546875" customWidth="1"/>
    <col min="15885" max="15885" width="9.28515625" customWidth="1"/>
    <col min="15886" max="15886" width="11.28515625" customWidth="1"/>
    <col min="16131" max="16131" width="39.85546875" customWidth="1"/>
    <col min="16132" max="16132" width="11.28515625" customWidth="1"/>
    <col min="16133" max="16133" width="9.85546875" customWidth="1"/>
    <col min="16134" max="16134" width="11" customWidth="1"/>
    <col min="16135" max="16135" width="13.42578125" customWidth="1"/>
    <col min="16136" max="16137" width="12.42578125" customWidth="1"/>
    <col min="16138" max="16138" width="6.28515625" customWidth="1"/>
    <col min="16139" max="16139" width="6.42578125" customWidth="1"/>
    <col min="16140" max="16140" width="6.85546875" customWidth="1"/>
    <col min="16141" max="16141" width="9.28515625" customWidth="1"/>
    <col min="16142" max="16142" width="11.28515625" customWidth="1"/>
  </cols>
  <sheetData>
    <row r="1" spans="2:21" ht="10.5" customHeight="1" x14ac:dyDescent="0.25"/>
    <row r="2" spans="2:21" ht="18" customHeight="1" x14ac:dyDescent="0.25">
      <c r="B2" s="258" t="s">
        <v>146</v>
      </c>
      <c r="C2" s="219"/>
      <c r="D2" s="219"/>
      <c r="E2" s="219"/>
      <c r="F2" s="219"/>
      <c r="G2" s="219"/>
      <c r="H2" s="219"/>
      <c r="I2" s="219"/>
      <c r="J2" s="219"/>
      <c r="K2" s="219"/>
      <c r="L2" s="219"/>
      <c r="M2" s="219"/>
      <c r="N2" s="219"/>
      <c r="O2" s="219"/>
      <c r="P2" s="219"/>
      <c r="Q2" s="219"/>
      <c r="R2" s="219"/>
      <c r="S2" s="219"/>
      <c r="T2" s="219"/>
      <c r="U2" s="219"/>
    </row>
    <row r="3" spans="2:21" ht="15.75" customHeight="1" x14ac:dyDescent="0.25">
      <c r="B3" s="127" t="s">
        <v>147</v>
      </c>
    </row>
    <row r="4" spans="2:21" ht="9" customHeight="1" thickBot="1" x14ac:dyDescent="0.3">
      <c r="B4" s="87"/>
    </row>
    <row r="5" spans="2:21" x14ac:dyDescent="0.25">
      <c r="B5" s="263" t="s">
        <v>148</v>
      </c>
      <c r="C5" s="259" t="s">
        <v>149</v>
      </c>
      <c r="D5" s="259" t="s">
        <v>150</v>
      </c>
      <c r="E5" s="259" t="s">
        <v>151</v>
      </c>
      <c r="F5" s="259" t="s">
        <v>152</v>
      </c>
      <c r="G5" s="259" t="s">
        <v>153</v>
      </c>
      <c r="H5" s="259" t="s">
        <v>154</v>
      </c>
      <c r="I5" s="259" t="s">
        <v>155</v>
      </c>
      <c r="J5" s="266" t="s">
        <v>156</v>
      </c>
      <c r="K5" s="267"/>
      <c r="L5" s="267"/>
      <c r="M5" s="267"/>
      <c r="N5" s="268"/>
    </row>
    <row r="6" spans="2:21" ht="15" customHeight="1" x14ac:dyDescent="0.25">
      <c r="B6" s="264"/>
      <c r="C6" s="222"/>
      <c r="D6" s="222"/>
      <c r="E6" s="222"/>
      <c r="F6" s="222"/>
      <c r="G6" s="222"/>
      <c r="H6" s="222"/>
      <c r="I6" s="222"/>
      <c r="J6" s="260" t="s">
        <v>157</v>
      </c>
      <c r="K6" s="260" t="s">
        <v>158</v>
      </c>
      <c r="L6" s="260" t="s">
        <v>159</v>
      </c>
      <c r="M6" s="260" t="s">
        <v>160</v>
      </c>
      <c r="N6" s="261" t="s">
        <v>161</v>
      </c>
    </row>
    <row r="7" spans="2:21" x14ac:dyDescent="0.25">
      <c r="B7" s="265"/>
      <c r="C7" s="224"/>
      <c r="D7" s="224"/>
      <c r="E7" s="224"/>
      <c r="F7" s="224"/>
      <c r="G7" s="224"/>
      <c r="H7" s="224"/>
      <c r="I7" s="224"/>
      <c r="J7" s="224"/>
      <c r="K7" s="224"/>
      <c r="L7" s="224"/>
      <c r="M7" s="224"/>
      <c r="N7" s="262"/>
    </row>
    <row r="8" spans="2:21" x14ac:dyDescent="0.25">
      <c r="B8" s="88" t="s">
        <v>162</v>
      </c>
      <c r="C8" s="89"/>
      <c r="D8" s="90"/>
      <c r="E8" s="91"/>
      <c r="F8" s="91"/>
      <c r="G8" s="92"/>
      <c r="H8" s="92"/>
      <c r="I8" s="92"/>
      <c r="J8" s="91"/>
      <c r="K8" s="91"/>
      <c r="L8" s="91"/>
      <c r="M8" s="91"/>
      <c r="N8" s="93"/>
    </row>
    <row r="9" spans="2:21" ht="15.75" customHeight="1" thickBot="1" x14ac:dyDescent="0.3">
      <c r="B9" s="94"/>
      <c r="C9" s="95"/>
      <c r="D9" s="96"/>
      <c r="E9" s="97"/>
      <c r="F9" s="98"/>
      <c r="G9" s="98"/>
      <c r="H9" s="98"/>
      <c r="I9" s="98"/>
      <c r="J9" s="97"/>
      <c r="K9" s="97"/>
      <c r="L9" s="97"/>
      <c r="M9" s="99"/>
      <c r="N9" s="100"/>
    </row>
  </sheetData>
  <mergeCells count="15">
    <mergeCell ref="B2:U2"/>
    <mergeCell ref="E5:E7"/>
    <mergeCell ref="G5:G7"/>
    <mergeCell ref="H5:H7"/>
    <mergeCell ref="F5:F7"/>
    <mergeCell ref="K6:K7"/>
    <mergeCell ref="M6:M7"/>
    <mergeCell ref="N6:N7"/>
    <mergeCell ref="B5:B7"/>
    <mergeCell ref="I5:I7"/>
    <mergeCell ref="D5:D7"/>
    <mergeCell ref="J5:N5"/>
    <mergeCell ref="L6:L7"/>
    <mergeCell ref="C5:C7"/>
    <mergeCell ref="J6:J7"/>
  </mergeCells>
  <pageMargins left="0.70866141732283472" right="0.70866141732283472" top="0.74803149606299213" bottom="0.74803149606299213" header="0.31496062992125978" footer="0.31496062992125978"/>
  <pageSetup paperSize="9" scale="58"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43"/>
  <sheetViews>
    <sheetView showGridLines="0" zoomScale="85" zoomScaleNormal="85" workbookViewId="0">
      <pane xSplit="1" ySplit="4" topLeftCell="AP5" activePane="bottomRight" state="frozen"/>
      <selection pane="topRight" activeCell="B1" sqref="B1"/>
      <selection pane="bottomLeft" activeCell="A3" sqref="A3"/>
      <selection pane="bottomRight" sqref="A1:H1"/>
    </sheetView>
  </sheetViews>
  <sheetFormatPr baseColWidth="10" defaultRowHeight="16.5" x14ac:dyDescent="0.3"/>
  <cols>
    <col min="1" max="1" width="34.42578125" style="36" customWidth="1"/>
    <col min="2" max="29" width="16.140625" style="10" customWidth="1"/>
    <col min="30" max="43" width="16.42578125" style="10" customWidth="1"/>
    <col min="44" max="48" width="14.7109375" style="10" customWidth="1"/>
    <col min="49" max="49" width="17.7109375" style="10" bestFit="1" customWidth="1"/>
    <col min="50" max="51" width="17.7109375" style="10" customWidth="1"/>
    <col min="52" max="52" width="2.85546875" style="10" customWidth="1"/>
    <col min="53" max="16384" width="11.42578125" style="10"/>
  </cols>
  <sheetData>
    <row r="1" spans="1:53" ht="30.75" customHeight="1" x14ac:dyDescent="0.3">
      <c r="A1" s="217" t="s">
        <v>163</v>
      </c>
      <c r="B1" s="217"/>
      <c r="C1" s="217"/>
      <c r="D1" s="217"/>
      <c r="E1" s="217"/>
      <c r="F1" s="217"/>
      <c r="G1" s="217"/>
      <c r="H1" s="217"/>
      <c r="AJ1" s="158"/>
      <c r="AK1" s="158"/>
      <c r="AL1" s="158"/>
      <c r="AM1" s="158"/>
      <c r="AN1" s="158"/>
      <c r="AO1" s="158"/>
      <c r="AP1" s="158"/>
      <c r="AQ1" s="158"/>
      <c r="AR1" s="158"/>
      <c r="AS1" s="158"/>
      <c r="AT1" s="158"/>
      <c r="AU1" s="158"/>
      <c r="AV1" s="158"/>
      <c r="AZ1" s="158"/>
    </row>
    <row r="2" spans="1:53" ht="20.25" customHeight="1" x14ac:dyDescent="0.3">
      <c r="A2" s="106" t="s">
        <v>164</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Z2" s="156"/>
    </row>
    <row r="3" spans="1:53" x14ac:dyDescent="0.3">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Z3" s="44"/>
    </row>
    <row r="4" spans="1:53" ht="30" customHeight="1" x14ac:dyDescent="0.3">
      <c r="A4" s="33"/>
      <c r="B4" s="132">
        <v>41729</v>
      </c>
      <c r="C4" s="132">
        <v>41820</v>
      </c>
      <c r="D4" s="132">
        <v>41912</v>
      </c>
      <c r="E4" s="132">
        <v>42004</v>
      </c>
      <c r="F4" s="132">
        <v>42094</v>
      </c>
      <c r="G4" s="132">
        <v>42185</v>
      </c>
      <c r="H4" s="132">
        <v>42277</v>
      </c>
      <c r="I4" s="132">
        <v>42369</v>
      </c>
      <c r="J4" s="132">
        <v>42460</v>
      </c>
      <c r="K4" s="132">
        <v>42551</v>
      </c>
      <c r="L4" s="132">
        <v>42643</v>
      </c>
      <c r="M4" s="132">
        <v>42735</v>
      </c>
      <c r="N4" s="132">
        <v>42825</v>
      </c>
      <c r="O4" s="132">
        <v>42916</v>
      </c>
      <c r="P4" s="132">
        <v>43008</v>
      </c>
      <c r="Q4" s="132">
        <v>43100</v>
      </c>
      <c r="R4" s="132">
        <v>43190</v>
      </c>
      <c r="S4" s="132">
        <v>43281</v>
      </c>
      <c r="T4" s="132">
        <v>43373</v>
      </c>
      <c r="U4" s="132">
        <v>43465</v>
      </c>
      <c r="V4" s="132">
        <v>43555</v>
      </c>
      <c r="W4" s="132">
        <v>43646</v>
      </c>
      <c r="X4" s="132">
        <v>43738</v>
      </c>
      <c r="Y4" s="132">
        <v>43830</v>
      </c>
      <c r="Z4" s="132">
        <v>43921</v>
      </c>
      <c r="AA4" s="132">
        <v>44012</v>
      </c>
      <c r="AB4" s="132">
        <v>44104</v>
      </c>
      <c r="AC4" s="132">
        <v>44196</v>
      </c>
      <c r="AD4" s="132">
        <v>44286</v>
      </c>
      <c r="AE4" s="132">
        <v>44377</v>
      </c>
      <c r="AF4" s="132">
        <v>44469</v>
      </c>
      <c r="AG4" s="132">
        <v>44561</v>
      </c>
      <c r="AH4" s="132">
        <v>44651</v>
      </c>
      <c r="AI4" s="132">
        <v>44742</v>
      </c>
      <c r="AJ4" s="132">
        <v>44834</v>
      </c>
      <c r="AK4" s="132">
        <v>44926</v>
      </c>
      <c r="AL4" s="132">
        <v>45016</v>
      </c>
      <c r="AM4" s="132">
        <v>45107</v>
      </c>
      <c r="AN4" s="132">
        <v>45199</v>
      </c>
      <c r="AO4" s="132">
        <v>45291</v>
      </c>
      <c r="AP4" s="132">
        <v>45382</v>
      </c>
      <c r="AQ4" s="132">
        <v>45473</v>
      </c>
      <c r="AR4" s="210">
        <v>45565</v>
      </c>
      <c r="AS4" s="210">
        <v>45657</v>
      </c>
      <c r="AT4" s="210">
        <v>45747</v>
      </c>
      <c r="AU4" s="210">
        <v>45838</v>
      </c>
      <c r="AV4" s="210">
        <v>45930</v>
      </c>
      <c r="AW4" s="132">
        <v>46022</v>
      </c>
      <c r="AX4" s="210">
        <v>46112</v>
      </c>
      <c r="AY4" s="210">
        <v>46203</v>
      </c>
      <c r="AZ4" s="216"/>
    </row>
    <row r="5" spans="1:53" ht="52.5" customHeight="1" x14ac:dyDescent="0.3">
      <c r="A5" s="133" t="s">
        <v>165</v>
      </c>
      <c r="B5" s="34">
        <v>8781.7199999999993</v>
      </c>
      <c r="C5" s="34">
        <v>8719.68</v>
      </c>
      <c r="D5" s="34">
        <v>8671.31</v>
      </c>
      <c r="E5" s="34">
        <v>9251.6200000000008</v>
      </c>
      <c r="F5" s="34">
        <v>8711.33</v>
      </c>
      <c r="G5" s="34">
        <v>8883.2999999999993</v>
      </c>
      <c r="H5" s="34">
        <v>8777.94</v>
      </c>
      <c r="I5" s="34">
        <v>14590.026342765899</v>
      </c>
      <c r="J5" s="34">
        <v>15552.766008292951</v>
      </c>
      <c r="K5" s="34">
        <v>23183.662216917499</v>
      </c>
      <c r="L5" s="34">
        <v>24968.595473778529</v>
      </c>
      <c r="M5" s="34">
        <v>26143.372847835599</v>
      </c>
      <c r="N5" s="34">
        <v>26357.58088310427</v>
      </c>
      <c r="O5" s="34">
        <v>32363.693825003349</v>
      </c>
      <c r="P5" s="34">
        <v>32739.973955860671</v>
      </c>
      <c r="Q5" s="34">
        <v>33066.920518488223</v>
      </c>
      <c r="R5" s="34">
        <v>35523.531142391737</v>
      </c>
      <c r="S5" s="34">
        <v>42512.097230935367</v>
      </c>
      <c r="T5" s="34">
        <v>49897.666266168861</v>
      </c>
      <c r="U5" s="34">
        <v>48061.669901665373</v>
      </c>
      <c r="V5" s="34">
        <v>54971.132794337202</v>
      </c>
      <c r="W5" s="34">
        <v>57477.574093920899</v>
      </c>
      <c r="X5" s="34">
        <v>70107.671098561274</v>
      </c>
      <c r="Y5" s="34">
        <v>73073.385231942695</v>
      </c>
      <c r="Z5" s="34">
        <v>76873.589091758549</v>
      </c>
      <c r="AA5" s="34">
        <v>81321.301084087594</v>
      </c>
      <c r="AB5" s="34">
        <v>87659.723356733972</v>
      </c>
      <c r="AC5" s="34">
        <v>98086.703607309493</v>
      </c>
      <c r="AD5" s="34">
        <v>105498.39985939959</v>
      </c>
      <c r="AE5" s="34">
        <v>104307.6114064088</v>
      </c>
      <c r="AF5" s="34">
        <v>109501.8523004537</v>
      </c>
      <c r="AG5" s="34">
        <v>118375.0340837093</v>
      </c>
      <c r="AH5" s="34">
        <v>125218.25101459341</v>
      </c>
      <c r="AI5" s="34">
        <v>136288.86474127739</v>
      </c>
      <c r="AJ5" s="34">
        <v>152793.8011164722</v>
      </c>
      <c r="AK5" s="34">
        <v>173744.05273852011</v>
      </c>
      <c r="AL5" s="34">
        <v>184002.77888037229</v>
      </c>
      <c r="AM5" s="34">
        <v>217722.16278989101</v>
      </c>
      <c r="AN5" s="34">
        <v>264718.17902564391</v>
      </c>
      <c r="AO5" s="34">
        <v>552742.441324963</v>
      </c>
      <c r="AP5" s="34">
        <v>603697.48009548953</v>
      </c>
      <c r="AQ5" s="34">
        <v>631573.63862050255</v>
      </c>
      <c r="AR5" s="168">
        <v>620637.8110705479</v>
      </c>
      <c r="AS5" s="168">
        <v>645034.90238757001</v>
      </c>
      <c r="AT5" s="168">
        <v>685074.16055742488</v>
      </c>
      <c r="AU5" s="168">
        <v>835005.49276694458</v>
      </c>
      <c r="AV5" s="168">
        <v>874657.56690351153</v>
      </c>
      <c r="AW5" s="168">
        <v>988234.68849883426</v>
      </c>
      <c r="AX5" s="168">
        <v>890869.68374146672</v>
      </c>
      <c r="AY5" s="211">
        <v>1149163.2339993687</v>
      </c>
      <c r="AZ5" s="212"/>
      <c r="BA5" s="202"/>
    </row>
    <row r="6" spans="1:53" ht="52.5" customHeight="1" x14ac:dyDescent="0.3">
      <c r="A6" s="133" t="s">
        <v>166</v>
      </c>
      <c r="B6" s="34">
        <v>814.06924421000008</v>
      </c>
      <c r="C6" s="34">
        <v>1334.7686670200001</v>
      </c>
      <c r="D6" s="34">
        <v>1606.3620389600001</v>
      </c>
      <c r="E6" s="34">
        <v>2059.9873684600002</v>
      </c>
      <c r="F6" s="34">
        <v>1532.2292152099999</v>
      </c>
      <c r="G6" s="34">
        <v>2787.2709622900002</v>
      </c>
      <c r="H6" s="34">
        <v>3436.8373112600002</v>
      </c>
      <c r="I6" s="34">
        <v>4751.3450329800007</v>
      </c>
      <c r="J6" s="34">
        <v>1748.5210195499999</v>
      </c>
      <c r="K6" s="40">
        <v>1979.8916584900001</v>
      </c>
      <c r="L6" s="40">
        <v>2005.68209798</v>
      </c>
      <c r="M6" s="40">
        <v>2713.09112757</v>
      </c>
      <c r="N6" s="40">
        <v>1455.4634681099999</v>
      </c>
      <c r="O6" s="40">
        <v>2358.1514273500002</v>
      </c>
      <c r="P6" s="40">
        <v>2403.9927246799998</v>
      </c>
      <c r="Q6" s="40">
        <v>3051.1866099200001</v>
      </c>
      <c r="R6" s="40">
        <v>2887.47474384</v>
      </c>
      <c r="S6" s="40">
        <v>2566.0700995500001</v>
      </c>
      <c r="T6" s="40">
        <v>2260.5505495299999</v>
      </c>
      <c r="U6" s="40">
        <v>5907.5229735200001</v>
      </c>
      <c r="V6" s="40">
        <v>2465.16920291</v>
      </c>
      <c r="W6" s="34">
        <v>4329.9503111499998</v>
      </c>
      <c r="X6" s="34">
        <v>4646.9381585399997</v>
      </c>
      <c r="Y6" s="34">
        <v>9439.5116885000007</v>
      </c>
      <c r="Z6" s="34">
        <v>3694.6763252000001</v>
      </c>
      <c r="AA6" s="34">
        <v>6793.2007236199997</v>
      </c>
      <c r="AB6" s="34">
        <v>7216.9493976200001</v>
      </c>
      <c r="AC6" s="34">
        <v>15771.22505829</v>
      </c>
      <c r="AD6" s="34">
        <v>4714.8373600100003</v>
      </c>
      <c r="AE6" s="34">
        <v>8017.0700839199999</v>
      </c>
      <c r="AF6" s="34">
        <v>12560.355571530001</v>
      </c>
      <c r="AG6" s="34">
        <v>26355.928719809999</v>
      </c>
      <c r="AH6" s="58">
        <v>7068.6826936500001</v>
      </c>
      <c r="AI6" s="58">
        <v>12519.52704866</v>
      </c>
      <c r="AJ6" s="58">
        <v>14153.615796210001</v>
      </c>
      <c r="AK6" s="58">
        <v>50923.483293849997</v>
      </c>
      <c r="AL6" s="58">
        <v>16141.69624711</v>
      </c>
      <c r="AM6" s="58">
        <v>26252.587002600001</v>
      </c>
      <c r="AN6" s="58">
        <v>64142.556503469998</v>
      </c>
      <c r="AO6" s="58">
        <v>71578.757607919993</v>
      </c>
      <c r="AP6" s="58">
        <v>32108.222228099999</v>
      </c>
      <c r="AQ6" s="58">
        <v>50021.505171899997</v>
      </c>
      <c r="AR6" s="169">
        <v>65997.73</v>
      </c>
      <c r="AS6" s="169">
        <v>218772.87653246999</v>
      </c>
      <c r="AT6" s="169">
        <v>74748.467711670004</v>
      </c>
      <c r="AU6" s="169">
        <v>96999.770759089995</v>
      </c>
      <c r="AV6" s="193">
        <v>96140.71989238965</v>
      </c>
      <c r="AW6" s="34">
        <v>190261.6275616411</v>
      </c>
      <c r="AX6" s="168">
        <v>39364.815370910277</v>
      </c>
      <c r="AY6" s="168">
        <v>143829.83072879005</v>
      </c>
      <c r="AZ6" s="173" t="s">
        <v>167</v>
      </c>
    </row>
    <row r="7" spans="1:53" ht="52.5" customHeight="1" x14ac:dyDescent="0.3">
      <c r="A7" s="133" t="s">
        <v>168</v>
      </c>
      <c r="B7" s="42">
        <v>9595.7892442100001</v>
      </c>
      <c r="C7" s="42">
        <v>10054.44866702</v>
      </c>
      <c r="D7" s="42">
        <v>10277.67203896</v>
      </c>
      <c r="E7" s="42">
        <v>11311.607368460001</v>
      </c>
      <c r="F7" s="42">
        <v>10243.55921521</v>
      </c>
      <c r="G7" s="42">
        <v>11670.570962289999</v>
      </c>
      <c r="H7" s="42">
        <v>12214.777311260001</v>
      </c>
      <c r="I7" s="42">
        <v>19341.371375745901</v>
      </c>
      <c r="J7" s="42">
        <v>17301.287027842951</v>
      </c>
      <c r="K7" s="42">
        <v>25163.553875407499</v>
      </c>
      <c r="L7" s="42">
        <v>26974.277571758528</v>
      </c>
      <c r="M7" s="42">
        <v>28856.463975405597</v>
      </c>
      <c r="N7" s="42">
        <v>27813.04435121427</v>
      </c>
      <c r="O7" s="42">
        <v>34721.845252353349</v>
      </c>
      <c r="P7" s="42">
        <v>35143.966680540674</v>
      </c>
      <c r="Q7" s="42">
        <v>36118.107128408221</v>
      </c>
      <c r="R7" s="42">
        <v>38411.005886231738</v>
      </c>
      <c r="S7" s="42">
        <v>45078.167330485368</v>
      </c>
      <c r="T7" s="42">
        <v>52158.216815698863</v>
      </c>
      <c r="U7" s="42">
        <v>53969.19287518537</v>
      </c>
      <c r="V7" s="42">
        <v>57436.301997247203</v>
      </c>
      <c r="W7" s="42">
        <v>61807.524405070901</v>
      </c>
      <c r="X7" s="42">
        <v>74754.60925710127</v>
      </c>
      <c r="Y7" s="42">
        <v>82512.896920442698</v>
      </c>
      <c r="Z7" s="42">
        <v>80568.265416958544</v>
      </c>
      <c r="AA7" s="42">
        <v>88114.501807707595</v>
      </c>
      <c r="AB7" s="42">
        <v>94876.672754353975</v>
      </c>
      <c r="AC7" s="42">
        <v>113857.92866559949</v>
      </c>
      <c r="AD7" s="42">
        <v>110213.2372194096</v>
      </c>
      <c r="AE7" s="42">
        <v>112324.6814903288</v>
      </c>
      <c r="AF7" s="42">
        <v>122062.2078719837</v>
      </c>
      <c r="AG7" s="42">
        <v>144730.9628035193</v>
      </c>
      <c r="AH7" s="42">
        <v>132286.93370824342</v>
      </c>
      <c r="AI7" s="42">
        <v>148808.39178993739</v>
      </c>
      <c r="AJ7" s="42">
        <v>166947.41691268221</v>
      </c>
      <c r="AK7" s="42">
        <v>224667.53603237012</v>
      </c>
      <c r="AL7" s="42">
        <v>200144.47512748229</v>
      </c>
      <c r="AM7" s="42">
        <v>243974.749792491</v>
      </c>
      <c r="AN7" s="42">
        <v>328860.73552911391</v>
      </c>
      <c r="AO7" s="42">
        <v>624321.19893288298</v>
      </c>
      <c r="AP7" s="42">
        <v>635805.70232358947</v>
      </c>
      <c r="AQ7" s="42">
        <v>681595.14379240258</v>
      </c>
      <c r="AR7" s="170">
        <v>686635.54107054789</v>
      </c>
      <c r="AS7" s="170">
        <v>863807.77892004</v>
      </c>
      <c r="AT7" s="170">
        <v>759822.62826909486</v>
      </c>
      <c r="AU7" s="170">
        <v>932005.26352603454</v>
      </c>
      <c r="AV7" s="192">
        <v>970798.28679590113</v>
      </c>
      <c r="AW7" s="192">
        <f t="shared" ref="AW7" si="0">+SUM(AW5:AW6)</f>
        <v>1178496.3160604753</v>
      </c>
      <c r="AX7" s="192">
        <v>930234.49911237694</v>
      </c>
      <c r="AY7" s="192">
        <v>1292993.0647281588</v>
      </c>
      <c r="AZ7" s="160"/>
    </row>
    <row r="8" spans="1:53" ht="52.5" customHeight="1" x14ac:dyDescent="0.3">
      <c r="A8" s="133" t="s">
        <v>193</v>
      </c>
      <c r="B8" s="35">
        <v>251.82564403916916</v>
      </c>
      <c r="C8" s="35">
        <v>231.35033539138246</v>
      </c>
      <c r="D8" s="35">
        <v>217.40812107764833</v>
      </c>
      <c r="E8" s="35">
        <v>205.25864432546595</v>
      </c>
      <c r="F8" s="35">
        <v>195.36644738335119</v>
      </c>
      <c r="G8" s="35">
        <v>184.39113735631767</v>
      </c>
      <c r="H8" s="35">
        <v>174.91005449484223</v>
      </c>
      <c r="I8" s="35">
        <v>163.711721748727</v>
      </c>
      <c r="J8" s="35">
        <v>143.6582789395373</v>
      </c>
      <c r="K8" s="35">
        <v>129.50278148201565</v>
      </c>
      <c r="L8" s="35">
        <v>124.01889073532078</v>
      </c>
      <c r="M8" s="35">
        <v>117.97826994268316</v>
      </c>
      <c r="N8" s="35">
        <v>111.0663798816406</v>
      </c>
      <c r="O8" s="35">
        <v>105.38861703898367</v>
      </c>
      <c r="P8" s="35">
        <v>100.29068869042138</v>
      </c>
      <c r="Q8" s="35">
        <v>94.514393339158133</v>
      </c>
      <c r="R8" s="35">
        <v>88.628741543009426</v>
      </c>
      <c r="S8" s="35">
        <v>81.507888117203706</v>
      </c>
      <c r="T8" s="35">
        <v>71.445654656621201</v>
      </c>
      <c r="U8" s="35">
        <v>64.018891663043391</v>
      </c>
      <c r="V8" s="35">
        <v>57.246473858888884</v>
      </c>
      <c r="W8" s="35">
        <v>52.287646390418701</v>
      </c>
      <c r="X8" s="35">
        <v>46.453548900312377</v>
      </c>
      <c r="Y8" s="35">
        <v>41.577226170064009</v>
      </c>
      <c r="Z8" s="35">
        <v>38.572641861805039</v>
      </c>
      <c r="AA8" s="35">
        <v>36.635017612054369</v>
      </c>
      <c r="AB8" s="35">
        <v>34.053257499355034</v>
      </c>
      <c r="AC8" s="35">
        <v>30.566680133887953</v>
      </c>
      <c r="AD8" s="35">
        <v>27.07035149713084</v>
      </c>
      <c r="AE8" s="35">
        <v>24.392883781450148</v>
      </c>
      <c r="AF8" s="35">
        <v>22.323470190457044</v>
      </c>
      <c r="AG8" s="35">
        <v>20.272165263711308</v>
      </c>
      <c r="AH8" s="35">
        <v>17.465197028592261</v>
      </c>
      <c r="AI8" s="35">
        <v>14.888006059773991</v>
      </c>
      <c r="AJ8" s="35">
        <v>12.198992409992883</v>
      </c>
      <c r="AK8" s="35">
        <v>10.409083499059175</v>
      </c>
      <c r="AL8" s="35">
        <v>8.553300281209923</v>
      </c>
      <c r="AM8" s="35">
        <v>6.9052564273464982</v>
      </c>
      <c r="AN8" s="35">
        <v>5.1280980336179436</v>
      </c>
      <c r="AO8" s="35">
        <v>3.3448376025102968</v>
      </c>
      <c r="AP8" s="35">
        <v>2.2072845500623615</v>
      </c>
      <c r="AQ8" s="35">
        <v>1.8613584902935336</v>
      </c>
      <c r="AR8" s="171">
        <v>1.6595434079097218</v>
      </c>
      <c r="AS8" s="171">
        <v>1.5365538060362787</v>
      </c>
      <c r="AT8" s="171">
        <v>1.4158529951550964</v>
      </c>
      <c r="AU8" s="171">
        <v>1.3355658292860009</v>
      </c>
      <c r="AV8" s="171">
        <v>1.2597697882782075</v>
      </c>
      <c r="AW8" s="171">
        <v>1.1686879741444618</v>
      </c>
      <c r="AX8" s="171">
        <v>1.067449374</v>
      </c>
      <c r="AY8" s="171">
        <v>1</v>
      </c>
      <c r="AZ8" s="194"/>
      <c r="BA8" s="195"/>
    </row>
    <row r="9" spans="1:53" ht="52.5" customHeight="1" x14ac:dyDescent="0.3">
      <c r="A9" s="133" t="s">
        <v>194</v>
      </c>
      <c r="B9" s="134">
        <v>2416465.8064873158</v>
      </c>
      <c r="C9" s="134">
        <v>2326100.0712905154</v>
      </c>
      <c r="D9" s="134">
        <v>2234449.3670425764</v>
      </c>
      <c r="E9" s="134">
        <v>2321805.1935920515</v>
      </c>
      <c r="F9" s="134">
        <v>2001247.7724365667</v>
      </c>
      <c r="G9" s="134">
        <v>2151949.8533342676</v>
      </c>
      <c r="H9" s="134">
        <v>2136487.3651548494</v>
      </c>
      <c r="I9" s="134">
        <v>3166409.2089049062</v>
      </c>
      <c r="J9" s="134">
        <v>2485473.1178588606</v>
      </c>
      <c r="K9" s="134">
        <v>3258750.2188378256</v>
      </c>
      <c r="L9" s="134">
        <v>3345319.9828361347</v>
      </c>
      <c r="M9" s="134">
        <v>3404435.6964817136</v>
      </c>
      <c r="N9" s="134">
        <v>3089094.1495768824</v>
      </c>
      <c r="O9" s="134">
        <v>3659287.2521871203</v>
      </c>
      <c r="P9" s="134">
        <v>3524612.6217046464</v>
      </c>
      <c r="Q9" s="134">
        <v>3413680.9838002259</v>
      </c>
      <c r="R9" s="134">
        <v>3404319.1130978465</v>
      </c>
      <c r="S9" s="134">
        <v>3674226.2193017886</v>
      </c>
      <c r="T9" s="134">
        <v>3726477.9461195939</v>
      </c>
      <c r="U9" s="134">
        <v>3455047.9118183856</v>
      </c>
      <c r="V9" s="134">
        <v>3288025.7608366595</v>
      </c>
      <c r="W9" s="134">
        <v>3231769.9803595212</v>
      </c>
      <c r="X9" s="134">
        <v>3472616.8966484983</v>
      </c>
      <c r="Y9" s="134">
        <v>3430657.3772084243</v>
      </c>
      <c r="Z9" s="134">
        <v>3107730.8473551944</v>
      </c>
      <c r="AA9" s="134">
        <v>3228076.3256027643</v>
      </c>
      <c r="AB9" s="134">
        <v>3230859.7679860578</v>
      </c>
      <c r="AC9" s="134">
        <v>3480258.8862284119</v>
      </c>
      <c r="AD9" s="134">
        <v>2983511.0711660809</v>
      </c>
      <c r="AE9" s="134">
        <v>2739922.9013819951</v>
      </c>
      <c r="AF9" s="134">
        <v>2724852.0588115994</v>
      </c>
      <c r="AG9" s="134">
        <v>2934009.9967289972</v>
      </c>
      <c r="AH9" s="134">
        <v>2310417.3615227942</v>
      </c>
      <c r="AI9" s="134">
        <v>2215460.2387138102</v>
      </c>
      <c r="AJ9" s="134">
        <v>2036590.2717857277</v>
      </c>
      <c r="AK9" s="134">
        <v>2338583.1420888263</v>
      </c>
      <c r="AL9" s="134">
        <v>1711895.7953905067</v>
      </c>
      <c r="AM9" s="134">
        <v>1684708.2091148521</v>
      </c>
      <c r="AN9" s="134">
        <v>1686430.0912009997</v>
      </c>
      <c r="AO9" s="134">
        <v>2088253.0222350184</v>
      </c>
      <c r="AP9" s="134">
        <v>1403404.103580408</v>
      </c>
      <c r="AQ9" s="134">
        <v>1268692.9078408305</v>
      </c>
      <c r="AR9" s="172">
        <v>1139501.4858201528</v>
      </c>
      <c r="AS9" s="172">
        <v>1327287.1303833318</v>
      </c>
      <c r="AT9" s="172">
        <v>1075797.1440214154</v>
      </c>
      <c r="AU9" s="172">
        <v>1244754.3826800662</v>
      </c>
      <c r="AV9" s="172">
        <v>1222982.352217719</v>
      </c>
      <c r="AW9" s="200">
        <f>+AW7*AW8</f>
        <v>1377294.4721534282</v>
      </c>
      <c r="AX9" s="200">
        <v>992978.23375071026</v>
      </c>
      <c r="AY9" s="200">
        <v>1292993.0647281588</v>
      </c>
      <c r="AZ9" s="201"/>
      <c r="BA9" s="195"/>
    </row>
    <row r="10" spans="1:53" ht="52.5" customHeight="1" x14ac:dyDescent="0.3">
      <c r="A10" s="133" t="s">
        <v>169</v>
      </c>
      <c r="B10" s="35">
        <v>8.0098000000000003</v>
      </c>
      <c r="C10" s="35">
        <v>8.1326999999999998</v>
      </c>
      <c r="D10" s="35">
        <v>8.4642999999999997</v>
      </c>
      <c r="E10" s="35">
        <v>8.5519999999999996</v>
      </c>
      <c r="F10" s="35">
        <v>8.8196999999999992</v>
      </c>
      <c r="G10" s="35">
        <v>9.0864999999999991</v>
      </c>
      <c r="H10" s="35">
        <v>9.4192</v>
      </c>
      <c r="I10" s="35">
        <v>13.005000000000001</v>
      </c>
      <c r="J10" s="35">
        <v>14.5817</v>
      </c>
      <c r="K10" s="35">
        <v>14.92</v>
      </c>
      <c r="L10" s="35">
        <v>15.263299999999999</v>
      </c>
      <c r="M10" s="35">
        <v>15.850199999999999</v>
      </c>
      <c r="N10" s="35">
        <v>15.3818</v>
      </c>
      <c r="O10" s="35">
        <v>16.598500000000001</v>
      </c>
      <c r="P10" s="35">
        <v>17.318300000000001</v>
      </c>
      <c r="Q10" s="35">
        <v>18.7742</v>
      </c>
      <c r="R10" s="35">
        <v>20.1433</v>
      </c>
      <c r="S10" s="35">
        <v>28.861699999999999</v>
      </c>
      <c r="T10" s="35">
        <v>40.896700000000003</v>
      </c>
      <c r="U10" s="35">
        <v>37.808300000000003</v>
      </c>
      <c r="V10" s="35">
        <v>43.353299999999997</v>
      </c>
      <c r="W10" s="35">
        <v>42.448300000000003</v>
      </c>
      <c r="X10" s="35">
        <v>57.558300000000003</v>
      </c>
      <c r="Y10" s="35">
        <v>59.895000000000003</v>
      </c>
      <c r="Z10" s="35">
        <v>64.469700000000003</v>
      </c>
      <c r="AA10" s="35">
        <v>70.454999999999998</v>
      </c>
      <c r="AB10" s="35">
        <v>76.174999999999997</v>
      </c>
      <c r="AC10" s="35">
        <v>84.144999999999996</v>
      </c>
      <c r="AD10" s="35">
        <v>91.984999999999999</v>
      </c>
      <c r="AE10" s="35">
        <v>95.726699999999994</v>
      </c>
      <c r="AF10" s="35">
        <v>98.734999999999999</v>
      </c>
      <c r="AG10" s="35">
        <v>102.75</v>
      </c>
      <c r="AH10" s="35">
        <v>110.9783</v>
      </c>
      <c r="AI10" s="35">
        <v>125.215</v>
      </c>
      <c r="AJ10" s="35">
        <v>147.315</v>
      </c>
      <c r="AK10" s="35">
        <v>177.1283</v>
      </c>
      <c r="AL10" s="35">
        <v>208.98830000000001</v>
      </c>
      <c r="AM10" s="35">
        <v>256.67500000000001</v>
      </c>
      <c r="AN10" s="35">
        <v>350.00830000000002</v>
      </c>
      <c r="AO10" s="35">
        <v>808.48329999999999</v>
      </c>
      <c r="AP10" s="35">
        <v>857.41669999999999</v>
      </c>
      <c r="AQ10" s="35">
        <v>911.75</v>
      </c>
      <c r="AR10" s="171">
        <v>970.91669999999999</v>
      </c>
      <c r="AS10" s="171">
        <v>1032.5</v>
      </c>
      <c r="AT10" s="171">
        <v>1073.875</v>
      </c>
      <c r="AU10" s="171">
        <v>1194.0833</v>
      </c>
      <c r="AV10" s="171">
        <v>1366.5833</v>
      </c>
      <c r="AW10" s="171">
        <v>1459.4167</v>
      </c>
      <c r="AX10" s="171">
        <v>1382.7578000000001</v>
      </c>
      <c r="AY10" s="171">
        <v>1483.0198</v>
      </c>
      <c r="AZ10" s="199"/>
    </row>
    <row r="11" spans="1:53" ht="52.5" customHeight="1" x14ac:dyDescent="0.3">
      <c r="A11" s="133" t="s">
        <v>170</v>
      </c>
      <c r="B11" s="134">
        <v>1198.0060980561311</v>
      </c>
      <c r="C11" s="134">
        <v>1236.2989741438882</v>
      </c>
      <c r="D11" s="134">
        <v>1214.2376852143709</v>
      </c>
      <c r="E11" s="134">
        <v>1322.6856137114128</v>
      </c>
      <c r="F11" s="134">
        <v>1161.440776354071</v>
      </c>
      <c r="G11" s="134">
        <v>1284.3857329323723</v>
      </c>
      <c r="H11" s="134">
        <v>1296.7956207809582</v>
      </c>
      <c r="I11" s="134">
        <v>1487.2257882157555</v>
      </c>
      <c r="J11" s="134">
        <v>1186.5068563914324</v>
      </c>
      <c r="K11" s="134">
        <v>1686.5652731506366</v>
      </c>
      <c r="L11" s="134">
        <v>1767.2638008660335</v>
      </c>
      <c r="M11" s="134">
        <v>1820.5741236959532</v>
      </c>
      <c r="N11" s="134">
        <v>1808.1787795455843</v>
      </c>
      <c r="O11" s="134">
        <v>2091.8664489172725</v>
      </c>
      <c r="P11" s="134">
        <v>2029.2965637817033</v>
      </c>
      <c r="Q11" s="134">
        <v>1923.8160416107328</v>
      </c>
      <c r="R11" s="134">
        <v>1906.8874457626971</v>
      </c>
      <c r="S11" s="134">
        <v>1561.8680580314178</v>
      </c>
      <c r="T11" s="134">
        <v>1275.3649271383476</v>
      </c>
      <c r="U11" s="134">
        <v>1427.4429920198836</v>
      </c>
      <c r="V11" s="134">
        <v>1324.8426762725608</v>
      </c>
      <c r="W11" s="134">
        <v>1456.06595329073</v>
      </c>
      <c r="X11" s="134">
        <v>1298.7633279145018</v>
      </c>
      <c r="Y11" s="134">
        <v>1377.625793813218</v>
      </c>
      <c r="Z11" s="134">
        <v>1249.7074659407217</v>
      </c>
      <c r="AA11" s="134">
        <v>1250.6493763069705</v>
      </c>
      <c r="AB11" s="134">
        <v>1245.5093239823298</v>
      </c>
      <c r="AC11" s="134">
        <v>1353.1157961328599</v>
      </c>
      <c r="AD11" s="134">
        <v>1198.165322817955</v>
      </c>
      <c r="AE11" s="134">
        <v>1173.3892580683216</v>
      </c>
      <c r="AF11" s="134">
        <v>1236.2607775559195</v>
      </c>
      <c r="AG11" s="134">
        <v>1408.5738472361975</v>
      </c>
      <c r="AH11" s="134">
        <v>1192.0072095918158</v>
      </c>
      <c r="AI11" s="134">
        <v>1188.4230466792108</v>
      </c>
      <c r="AJ11" s="134">
        <v>1133.268281659588</v>
      </c>
      <c r="AK11" s="134">
        <v>1268.3887105130582</v>
      </c>
      <c r="AL11" s="134">
        <v>957.68267949680569</v>
      </c>
      <c r="AM11" s="134">
        <v>950.52011217489428</v>
      </c>
      <c r="AN11" s="134">
        <v>939.57982004744997</v>
      </c>
      <c r="AO11" s="134">
        <v>772.21285700382805</v>
      </c>
      <c r="AP11" s="134">
        <v>741.53641085319362</v>
      </c>
      <c r="AQ11" s="134">
        <v>747.56802170814649</v>
      </c>
      <c r="AR11" s="172">
        <v>707.20334820747019</v>
      </c>
      <c r="AS11" s="172">
        <v>836.61770355451813</v>
      </c>
      <c r="AT11" s="172">
        <v>707.55220884096832</v>
      </c>
      <c r="AU11" s="172">
        <v>780.51946922466345</v>
      </c>
      <c r="AV11" s="172">
        <v>710.38354324679744</v>
      </c>
      <c r="AW11" s="172">
        <f t="shared" ref="AW11" si="1">+AW7/AW10</f>
        <v>807.51187516250525</v>
      </c>
      <c r="AX11" s="172">
        <v>672.73856572161583</v>
      </c>
      <c r="AY11" s="172">
        <v>871.86500458602018</v>
      </c>
      <c r="AZ11" s="161"/>
    </row>
    <row r="12" spans="1:53" ht="52.5" customHeight="1" x14ac:dyDescent="0.3">
      <c r="A12" s="133" t="s">
        <v>171</v>
      </c>
      <c r="B12" s="34">
        <v>314.46720625</v>
      </c>
      <c r="C12" s="34">
        <v>478.86095884999997</v>
      </c>
      <c r="D12" s="34">
        <v>474.58328738</v>
      </c>
      <c r="E12" s="34">
        <v>778.12609504</v>
      </c>
      <c r="F12" s="34">
        <v>718.73022808000007</v>
      </c>
      <c r="G12" s="34">
        <v>1298.83679237</v>
      </c>
      <c r="H12" s="34">
        <v>1625.11270541</v>
      </c>
      <c r="I12" s="34">
        <v>1674.58950392</v>
      </c>
      <c r="J12" s="34">
        <v>618.91159517999995</v>
      </c>
      <c r="K12" s="40">
        <v>722.13102017999995</v>
      </c>
      <c r="L12" s="34">
        <v>633.77258883000002</v>
      </c>
      <c r="M12" s="40">
        <v>935.87173382000003</v>
      </c>
      <c r="N12" s="34">
        <v>698.34998707</v>
      </c>
      <c r="O12" s="40">
        <v>879.25538699000003</v>
      </c>
      <c r="P12" s="34">
        <v>836.87532364999993</v>
      </c>
      <c r="Q12" s="40">
        <v>898.69213680999997</v>
      </c>
      <c r="R12" s="40">
        <v>1153.66550927</v>
      </c>
      <c r="S12" s="40">
        <v>1117.7619162000001</v>
      </c>
      <c r="T12" s="40">
        <v>973.22907361</v>
      </c>
      <c r="U12" s="40">
        <v>2081.8590620999998</v>
      </c>
      <c r="V12" s="40">
        <v>1166.28844142</v>
      </c>
      <c r="W12" s="34">
        <v>1994.24181458</v>
      </c>
      <c r="X12" s="34">
        <v>1582.17197738</v>
      </c>
      <c r="Y12" s="34">
        <v>3973.4916769800002</v>
      </c>
      <c r="Z12" s="34">
        <v>1829.54825347</v>
      </c>
      <c r="AA12" s="34">
        <v>1967.2654723000001</v>
      </c>
      <c r="AB12" s="34">
        <v>2306.01199004</v>
      </c>
      <c r="AC12" s="34">
        <v>4480.3689031499998</v>
      </c>
      <c r="AD12" s="34">
        <v>1986.7844765499999</v>
      </c>
      <c r="AE12" s="34">
        <v>3455.3547898900001</v>
      </c>
      <c r="AF12" s="34">
        <v>3173.6009410000001</v>
      </c>
      <c r="AG12" s="34">
        <v>5889.6617611600004</v>
      </c>
      <c r="AH12" s="58">
        <v>3272.58093147</v>
      </c>
      <c r="AI12" s="34">
        <v>4502.0658699699998</v>
      </c>
      <c r="AJ12" s="34">
        <v>5201.9054230399997</v>
      </c>
      <c r="AK12" s="34">
        <v>15849.07698921</v>
      </c>
      <c r="AL12" s="34">
        <v>6932.1063246499998</v>
      </c>
      <c r="AM12" s="34">
        <v>9414.13902762</v>
      </c>
      <c r="AN12" s="34">
        <v>7973.2664187500004</v>
      </c>
      <c r="AO12" s="34">
        <v>26319.3699576</v>
      </c>
      <c r="AP12" s="34">
        <v>20209.139166950001</v>
      </c>
      <c r="AQ12" s="34">
        <v>30219.134387059999</v>
      </c>
      <c r="AR12" s="168">
        <v>35409.546910670048</v>
      </c>
      <c r="AS12" s="168">
        <v>93742.170504979993</v>
      </c>
      <c r="AT12" s="168">
        <v>39749.093046549999</v>
      </c>
      <c r="AU12" s="168">
        <v>53262.85471919</v>
      </c>
      <c r="AV12" s="191">
        <v>50311.58528815004</v>
      </c>
      <c r="AW12" s="191">
        <v>130581.6180812104</v>
      </c>
      <c r="AX12" s="168">
        <v>30021.928330009843</v>
      </c>
      <c r="AY12" s="168">
        <v>86390.930092599971</v>
      </c>
      <c r="AZ12" s="198" t="s">
        <v>167</v>
      </c>
    </row>
    <row r="13" spans="1:53" ht="52.5" customHeight="1" x14ac:dyDescent="0.3">
      <c r="A13" s="133" t="s">
        <v>195</v>
      </c>
      <c r="B13" s="42">
        <v>2495656.7132304199</v>
      </c>
      <c r="C13" s="42">
        <v>2436884.7147263018</v>
      </c>
      <c r="D13" s="42">
        <v>2337627.627846716</v>
      </c>
      <c r="E13" s="42">
        <v>2481522.3009742303</v>
      </c>
      <c r="F13" s="42">
        <v>2141663.5437235818</v>
      </c>
      <c r="G13" s="42">
        <v>2391443.8467196035</v>
      </c>
      <c r="H13" s="42">
        <v>2420735.9170183726</v>
      </c>
      <c r="I13" s="42">
        <v>3440559.1398139959</v>
      </c>
      <c r="J13" s="42">
        <v>2574384.8924381435</v>
      </c>
      <c r="K13" s="42">
        <v>3352268.194545581</v>
      </c>
      <c r="L13" s="42">
        <v>3423919.7562812841</v>
      </c>
      <c r="M13" s="42">
        <v>3514848.2245260566</v>
      </c>
      <c r="N13" s="42">
        <v>3166657.3545311377</v>
      </c>
      <c r="O13" s="42">
        <v>3751950.7614460727</v>
      </c>
      <c r="P13" s="42">
        <v>3608543.4242615239</v>
      </c>
      <c r="Q13" s="42">
        <v>3498620.3259094949</v>
      </c>
      <c r="R13" s="42">
        <v>3506567.0353460219</v>
      </c>
      <c r="S13" s="42">
        <v>3765332.6325090891</v>
      </c>
      <c r="T13" s="42">
        <v>3796010.9344145167</v>
      </c>
      <c r="U13" s="42">
        <v>3588326.2215726902</v>
      </c>
      <c r="V13" s="42">
        <v>3354791.6616103337</v>
      </c>
      <c r="W13" s="42">
        <v>3336044.1911772671</v>
      </c>
      <c r="X13" s="42">
        <v>3546114.3999684239</v>
      </c>
      <c r="Y13" s="42">
        <v>3595864.1393470885</v>
      </c>
      <c r="Z13" s="42">
        <v>3178301.3569051833</v>
      </c>
      <c r="AA13" s="42">
        <v>3300147.1308280611</v>
      </c>
      <c r="AB13" s="42">
        <v>3309386.9880794901</v>
      </c>
      <c r="AC13" s="42">
        <v>3617208.8893728163</v>
      </c>
      <c r="AD13" s="42">
        <v>3037294.0252953325</v>
      </c>
      <c r="AE13" s="42">
        <v>2824208.969195459</v>
      </c>
      <c r="AF13" s="42">
        <v>2795697.8448144193</v>
      </c>
      <c r="AG13" s="42">
        <v>3053406.1932985941</v>
      </c>
      <c r="AH13" s="42">
        <v>2367573.6322829318</v>
      </c>
      <c r="AI13" s="42">
        <v>2282487.0226674252</v>
      </c>
      <c r="AJ13" s="42">
        <v>2100048.2765588937</v>
      </c>
      <c r="AK13" s="42">
        <v>2503557.507852531</v>
      </c>
      <c r="AL13" s="42">
        <v>1771188.1823665127</v>
      </c>
      <c r="AM13" s="42">
        <v>1749715.2531432586</v>
      </c>
      <c r="AN13" s="42">
        <v>1727317.7830445035</v>
      </c>
      <c r="AO13" s="42">
        <v>2176287.0405435786</v>
      </c>
      <c r="AP13" s="42">
        <v>1448011.4242336769</v>
      </c>
      <c r="AQ13" s="42">
        <v>1324941.5502015057</v>
      </c>
      <c r="AR13" s="170">
        <v>1198265.1659728251</v>
      </c>
      <c r="AS13" s="170">
        <v>1471327.0192588607</v>
      </c>
      <c r="AT13" s="170">
        <v>1132076.0164660718</v>
      </c>
      <c r="AU13" s="170">
        <v>1315890.431413241</v>
      </c>
      <c r="AV13" s="192">
        <v>1286363.3673641128</v>
      </c>
      <c r="AW13" s="192">
        <f t="shared" ref="AW13" si="2">SUM(AW7,AW12)*AW8</f>
        <v>1529903.6388492638</v>
      </c>
      <c r="AX13" s="192">
        <v>1025025.1223528521</v>
      </c>
      <c r="AY13" s="192">
        <v>1379383.9948207587</v>
      </c>
      <c r="AZ13" s="160"/>
    </row>
    <row r="14" spans="1:53" ht="52.5" customHeight="1" x14ac:dyDescent="0.3">
      <c r="A14" s="133" t="s">
        <v>172</v>
      </c>
      <c r="B14" s="49">
        <v>6.7812631862217074E-2</v>
      </c>
      <c r="C14" s="49">
        <v>7.1053939252114021E-2</v>
      </c>
      <c r="D14" s="49">
        <v>7.2631439961974201E-2</v>
      </c>
      <c r="E14" s="49">
        <v>7.9938173580684072E-2</v>
      </c>
      <c r="F14" s="49">
        <v>5.6063914310185918E-2</v>
      </c>
      <c r="G14" s="49">
        <v>6.3874077030691229E-2</v>
      </c>
      <c r="H14" s="49">
        <v>6.6852566974929611E-2</v>
      </c>
      <c r="I14" s="49">
        <v>0.10585705267766844</v>
      </c>
      <c r="J14" s="49">
        <v>7.2772835703190625E-2</v>
      </c>
      <c r="K14" s="49">
        <v>0.10584317622940012</v>
      </c>
      <c r="L14" s="49">
        <v>0.11345945921727077</v>
      </c>
      <c r="M14" s="49">
        <v>0.12137632931456228</v>
      </c>
      <c r="N14" s="49">
        <v>9.0699015502026969E-2</v>
      </c>
      <c r="O14" s="49">
        <v>0.11322878362521603</v>
      </c>
      <c r="P14" s="49">
        <v>0.11460533189067869</v>
      </c>
      <c r="Q14" s="49">
        <v>0.11778202763338809</v>
      </c>
      <c r="R14" s="49">
        <v>8.7861886198290939E-2</v>
      </c>
      <c r="S14" s="49">
        <v>0.10311244698328249</v>
      </c>
      <c r="T14" s="49">
        <v>0.11930745379957296</v>
      </c>
      <c r="U14" s="49">
        <v>0.12344990643196985</v>
      </c>
      <c r="V14" s="49">
        <v>9.0604641952943918E-2</v>
      </c>
      <c r="W14" s="49">
        <v>9.7500159724553476E-2</v>
      </c>
      <c r="X14" s="49">
        <v>0.11792393260966746</v>
      </c>
      <c r="Y14" s="49">
        <v>0.1301624795122637</v>
      </c>
      <c r="Z14" s="49">
        <v>0.10878370056643007</v>
      </c>
      <c r="AA14" s="49">
        <v>0.11897266908506908</v>
      </c>
      <c r="AB14" s="49">
        <v>0.1281029882700736</v>
      </c>
      <c r="AC14" s="49">
        <v>0.15373158097636624</v>
      </c>
      <c r="AD14" s="49">
        <v>9.0716399438367304E-2</v>
      </c>
      <c r="AE14" s="49">
        <v>9.2454326993214833E-2</v>
      </c>
      <c r="AF14" s="49">
        <v>0.10046927469882744</v>
      </c>
      <c r="AG14" s="49">
        <v>0.11912790299994303</v>
      </c>
      <c r="AH14" s="49">
        <v>5.8959627419568464E-2</v>
      </c>
      <c r="AI14" s="49">
        <v>6.6323158991575815E-2</v>
      </c>
      <c r="AJ14" s="49">
        <v>7.4407632136519408E-2</v>
      </c>
      <c r="AK14" s="49">
        <v>0.10013320171858799</v>
      </c>
      <c r="AL14" s="49">
        <v>3.9120988584597831E-2</v>
      </c>
      <c r="AM14" s="49">
        <v>4.7688218200790951E-2</v>
      </c>
      <c r="AN14" s="49">
        <v>6.4280350843371054E-2</v>
      </c>
      <c r="AO14" s="49">
        <v>0.12203215942393018</v>
      </c>
      <c r="AP14" s="49">
        <v>4.0015231721547084E-2</v>
      </c>
      <c r="AQ14" s="49">
        <v>4.2897047823665414E-2</v>
      </c>
      <c r="AR14" s="49">
        <v>4.3214271567203005E-2</v>
      </c>
      <c r="AS14" s="49">
        <v>5.4364829239559771E-2</v>
      </c>
      <c r="AT14" s="214">
        <v>3.0206824534445537E-2</v>
      </c>
      <c r="AU14" s="214">
        <v>3.7051962409495529E-2</v>
      </c>
      <c r="AV14" s="214">
        <v>3.8594182927122071E-2</v>
      </c>
      <c r="AW14" s="215">
        <v>4.6796221201705394E-2</v>
      </c>
      <c r="AX14" s="196"/>
      <c r="AY14" s="196"/>
      <c r="AZ14" s="197"/>
    </row>
    <row r="15" spans="1:53" ht="21.75" customHeight="1" x14ac:dyDescent="0.3">
      <c r="B15" s="37"/>
      <c r="C15" s="37"/>
      <c r="D15" s="37"/>
      <c r="E15" s="37"/>
      <c r="F15" s="37"/>
      <c r="G15" s="37"/>
      <c r="H15" s="37"/>
      <c r="I15" s="37"/>
      <c r="J15" s="37"/>
      <c r="K15" s="37"/>
      <c r="L15" s="37"/>
      <c r="M15" s="37"/>
      <c r="N15" s="37"/>
      <c r="O15" s="37"/>
      <c r="P15" s="37"/>
      <c r="Q15" s="37"/>
      <c r="R15" s="37"/>
      <c r="S15" s="37"/>
      <c r="T15" s="37"/>
      <c r="U15" s="37"/>
      <c r="V15" s="37"/>
      <c r="W15" s="37"/>
      <c r="X15" s="37"/>
      <c r="Y15" s="37"/>
    </row>
    <row r="16" spans="1:53" ht="99" customHeight="1" x14ac:dyDescent="0.3">
      <c r="A16" s="38" t="s">
        <v>173</v>
      </c>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47"/>
      <c r="AL16" s="86"/>
    </row>
    <row r="17" spans="1:52" x14ac:dyDescent="0.3">
      <c r="A17" s="162" t="s">
        <v>174</v>
      </c>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102"/>
      <c r="AP17" s="157"/>
      <c r="AQ17" s="102"/>
      <c r="AR17" s="102"/>
      <c r="AS17" s="102"/>
      <c r="AT17" s="102"/>
      <c r="AU17" s="102"/>
      <c r="AV17" s="102"/>
      <c r="AZ17" s="102"/>
    </row>
    <row r="18" spans="1:52" x14ac:dyDescent="0.3">
      <c r="A18" s="162" t="s">
        <v>175</v>
      </c>
      <c r="B18" s="37"/>
      <c r="C18" s="37"/>
      <c r="D18" s="37"/>
      <c r="E18" s="37"/>
      <c r="F18" s="37"/>
      <c r="G18" s="37"/>
      <c r="H18" s="37"/>
      <c r="I18" s="37"/>
      <c r="J18" s="37"/>
      <c r="K18" s="37"/>
      <c r="L18" s="37"/>
      <c r="M18" s="37"/>
      <c r="N18" s="37"/>
      <c r="O18" s="37"/>
      <c r="P18" s="37"/>
      <c r="Q18" s="37"/>
      <c r="R18" s="37"/>
      <c r="S18" s="37"/>
      <c r="T18" s="37"/>
      <c r="U18" s="37"/>
      <c r="V18" s="37"/>
      <c r="W18" s="37"/>
      <c r="X18" s="37"/>
      <c r="Y18" s="37"/>
    </row>
    <row r="19" spans="1:52" x14ac:dyDescent="0.3">
      <c r="A19" s="39"/>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52" x14ac:dyDescent="0.3">
      <c r="B20" s="37"/>
      <c r="C20" s="37"/>
      <c r="D20" s="37"/>
      <c r="E20" s="37"/>
      <c r="F20" s="37"/>
      <c r="G20" s="37"/>
      <c r="H20" s="37"/>
      <c r="I20" s="37"/>
      <c r="J20" s="37"/>
      <c r="K20" s="37"/>
      <c r="L20" s="37"/>
      <c r="M20" s="37"/>
      <c r="N20" s="37"/>
      <c r="O20" s="37"/>
      <c r="P20" s="37"/>
      <c r="Q20" s="37"/>
      <c r="R20" s="37"/>
      <c r="S20" s="37"/>
      <c r="T20" s="37"/>
      <c r="U20" s="37"/>
      <c r="V20" s="37"/>
      <c r="W20" s="37"/>
      <c r="X20" s="37"/>
      <c r="Y20" s="37"/>
    </row>
    <row r="21" spans="1:52" x14ac:dyDescent="0.3">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52" x14ac:dyDescent="0.3">
      <c r="B22" s="37"/>
      <c r="C22" s="37"/>
      <c r="D22" s="37"/>
      <c r="E22" s="37"/>
      <c r="F22" s="37"/>
      <c r="G22" s="37"/>
      <c r="H22" s="37"/>
      <c r="I22" s="37"/>
      <c r="J22" s="37"/>
      <c r="K22" s="37"/>
      <c r="L22" s="37"/>
      <c r="M22" s="37"/>
      <c r="N22" s="37"/>
      <c r="O22" s="37"/>
      <c r="P22" s="37"/>
      <c r="Q22" s="37"/>
      <c r="R22" s="37"/>
      <c r="S22" s="37"/>
      <c r="T22" s="37"/>
      <c r="U22" s="37"/>
      <c r="V22" s="37"/>
      <c r="W22" s="37"/>
      <c r="X22" s="37"/>
      <c r="Y22" s="37"/>
    </row>
    <row r="23" spans="1:52" x14ac:dyDescent="0.3">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52" x14ac:dyDescent="0.3">
      <c r="B24" s="37"/>
      <c r="C24" s="37"/>
      <c r="D24" s="37"/>
      <c r="E24" s="37"/>
      <c r="F24" s="37"/>
      <c r="G24" s="37"/>
      <c r="H24" s="37"/>
      <c r="I24" s="37"/>
      <c r="J24" s="37"/>
      <c r="K24" s="37"/>
      <c r="L24" s="37"/>
      <c r="M24" s="37"/>
      <c r="N24" s="37"/>
      <c r="O24" s="37"/>
      <c r="P24" s="37"/>
      <c r="Q24" s="37"/>
      <c r="R24" s="37"/>
      <c r="S24" s="37"/>
      <c r="T24" s="37"/>
      <c r="U24" s="37"/>
      <c r="V24" s="37"/>
      <c r="W24" s="37"/>
      <c r="X24" s="37"/>
      <c r="Y24" s="37"/>
    </row>
    <row r="37" spans="2:34" x14ac:dyDescent="0.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row>
    <row r="38" spans="2:34" x14ac:dyDescent="0.3">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row>
    <row r="39" spans="2:34" x14ac:dyDescent="0.3">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row>
    <row r="40" spans="2:34" x14ac:dyDescent="0.3">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row>
    <row r="42" spans="2:34" x14ac:dyDescent="0.3">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row>
    <row r="43" spans="2:34" x14ac:dyDescent="0.3">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row>
  </sheetData>
  <mergeCells count="1">
    <mergeCell ref="A1:H1"/>
  </mergeCells>
  <pageMargins left="0.7" right="0.7" top="0.75" bottom="0.75" header="0.3" footer="0.3"/>
  <pageSetup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5"/>
  <sheetViews>
    <sheetView showGridLines="0" zoomScale="55" zoomScaleNormal="55" workbookViewId="0"/>
  </sheetViews>
  <sheetFormatPr baseColWidth="10" defaultRowHeight="15" x14ac:dyDescent="0.25"/>
  <sheetData>
    <row r="1" spans="1:22" ht="21" customHeight="1" x14ac:dyDescent="0.35">
      <c r="A1" s="103" t="s">
        <v>176</v>
      </c>
    </row>
    <row r="2" spans="1:22" ht="21" customHeight="1" x14ac:dyDescent="0.35">
      <c r="A2" s="103"/>
    </row>
    <row r="3" spans="1:22" ht="18" customHeight="1" x14ac:dyDescent="0.25">
      <c r="A3" s="174" t="s">
        <v>177</v>
      </c>
      <c r="B3" s="175"/>
      <c r="C3" s="175"/>
      <c r="D3" s="175"/>
      <c r="E3" s="175"/>
      <c r="F3" s="175"/>
      <c r="L3" s="174" t="s">
        <v>178</v>
      </c>
      <c r="M3" s="175"/>
      <c r="N3" s="175"/>
      <c r="O3" s="175"/>
      <c r="P3" s="175"/>
      <c r="V3" s="174" t="s">
        <v>191</v>
      </c>
    </row>
    <row r="4" spans="1:22" ht="15.75" customHeight="1" x14ac:dyDescent="0.25">
      <c r="A4" s="136" t="s">
        <v>179</v>
      </c>
      <c r="L4" s="136" t="s">
        <v>180</v>
      </c>
      <c r="V4" s="136" t="s">
        <v>180</v>
      </c>
    </row>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4" spans="1:14" ht="18" customHeight="1" x14ac:dyDescent="0.25">
      <c r="A34" s="104" t="s">
        <v>181</v>
      </c>
      <c r="N34" s="104" t="s">
        <v>182</v>
      </c>
    </row>
    <row r="35" spans="1:14" ht="15.75" customHeight="1" x14ac:dyDescent="0.25">
      <c r="A35" s="136" t="s">
        <v>183</v>
      </c>
      <c r="N35" s="136" t="s">
        <v>184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Servicios Deuda Anual </vt:lpstr>
      <vt:lpstr>Perfil Int Mensual </vt:lpstr>
      <vt:lpstr>Perfil Amort Mensual </vt:lpstr>
      <vt:lpstr>Ratios 2026</vt:lpstr>
      <vt:lpstr>Avales</vt:lpstr>
      <vt:lpstr>Evolución Deuda Total</vt:lpstr>
      <vt:lpstr>Gráficos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Alvaro Chaves</cp:lastModifiedBy>
  <dcterms:created xsi:type="dcterms:W3CDTF">2020-03-11T14:25:05Z</dcterms:created>
  <dcterms:modified xsi:type="dcterms:W3CDTF">2026-08-18T17:05:07Z</dcterms:modified>
</cp:coreProperties>
</file>