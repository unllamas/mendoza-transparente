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NCFP\Recursos\internet\Publicaciones\NUEVA WEB DNAP\RON_INFORMACIONCONSOLIDADA\"/>
    </mc:Choice>
  </mc:AlternateContent>
  <xr:revisionPtr revIDLastSave="0" documentId="13_ncr:1_{9124B59B-9179-4ADF-80CA-65DFA0C3AEF4}" xr6:coauthVersionLast="47" xr6:coauthVersionMax="47" xr10:uidLastSave="{00000000-0000-0000-0000-000000000000}"/>
  <bookViews>
    <workbookView xWindow="-120" yWindow="-120" windowWidth="29040" windowHeight="15840" activeTab="12" xr2:uid="{00000000-000D-0000-FFFF-FFFF00000000}"/>
  </bookViews>
  <sheets>
    <sheet name="enero" sheetId="25" r:id="rId1"/>
    <sheet name="febrero" sheetId="28" r:id="rId2"/>
    <sheet name="marzo" sheetId="30" r:id="rId3"/>
    <sheet name="abril" sheetId="33" r:id="rId4"/>
    <sheet name="mayo" sheetId="35" r:id="rId5"/>
    <sheet name="junio" sheetId="41" r:id="rId6"/>
    <sheet name="julio" sheetId="42" r:id="rId7"/>
    <sheet name="agosto" sheetId="44" r:id="rId8"/>
    <sheet name="septiembre" sheetId="46" r:id="rId9"/>
    <sheet name="octubre" sheetId="48" r:id="rId10"/>
    <sheet name="noviembre" sheetId="50" r:id="rId11"/>
    <sheet name="diciembre" sheetId="52" r:id="rId12"/>
    <sheet name="CONS" sheetId="5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8" i="53" l="1"/>
  <c r="F38" i="53" s="1"/>
  <c r="W38" i="53" s="1"/>
  <c r="AC38" i="53" s="1"/>
  <c r="D37" i="53"/>
  <c r="F37" i="53" s="1"/>
  <c r="W37" i="53" s="1"/>
  <c r="AC37" i="53" s="1"/>
  <c r="D36" i="53"/>
  <c r="F36" i="53" s="1"/>
  <c r="W36" i="53" s="1"/>
  <c r="AC36" i="53" s="1"/>
  <c r="AC35" i="53"/>
  <c r="D35" i="53"/>
  <c r="F35" i="53" s="1"/>
  <c r="F34" i="53"/>
  <c r="W34" i="53" s="1"/>
  <c r="AC34" i="53" s="1"/>
  <c r="D34" i="53"/>
  <c r="H33" i="53"/>
  <c r="H39" i="53" s="1"/>
  <c r="D32" i="53"/>
  <c r="F32" i="53" s="1"/>
  <c r="W32" i="53" s="1"/>
  <c r="AC32" i="53" s="1"/>
  <c r="D31" i="53"/>
  <c r="F31" i="53" s="1"/>
  <c r="W31" i="53" s="1"/>
  <c r="AC31" i="53" s="1"/>
  <c r="D30" i="53"/>
  <c r="F30" i="53" s="1"/>
  <c r="W30" i="53" s="1"/>
  <c r="D29" i="53"/>
  <c r="F29" i="53" s="1"/>
  <c r="W29" i="53" s="1"/>
  <c r="AC29" i="53" s="1"/>
  <c r="D28" i="53"/>
  <c r="F28" i="53" s="1"/>
  <c r="W28" i="53" s="1"/>
  <c r="AC28" i="53" s="1"/>
  <c r="D27" i="53"/>
  <c r="F27" i="53" s="1"/>
  <c r="W27" i="53" s="1"/>
  <c r="AC27" i="53" s="1"/>
  <c r="D26" i="53"/>
  <c r="F26" i="53" s="1"/>
  <c r="W26" i="53" s="1"/>
  <c r="AC26" i="53" s="1"/>
  <c r="D25" i="53"/>
  <c r="F25" i="53" s="1"/>
  <c r="W25" i="53" s="1"/>
  <c r="AC25" i="53" s="1"/>
  <c r="D24" i="53"/>
  <c r="F24" i="53" s="1"/>
  <c r="W24" i="53" s="1"/>
  <c r="AC24" i="53" s="1"/>
  <c r="D23" i="53"/>
  <c r="F23" i="53" s="1"/>
  <c r="W23" i="53" s="1"/>
  <c r="F22" i="53"/>
  <c r="W22" i="53" s="1"/>
  <c r="AC22" i="53" s="1"/>
  <c r="D22" i="53"/>
  <c r="W21" i="53"/>
  <c r="AC21" i="53" s="1"/>
  <c r="F21" i="53"/>
  <c r="D21" i="53"/>
  <c r="J33" i="53"/>
  <c r="J39" i="53" s="1"/>
  <c r="I33" i="53"/>
  <c r="I39" i="53" s="1"/>
  <c r="D20" i="53"/>
  <c r="F20" i="53" s="1"/>
  <c r="W20" i="53" s="1"/>
  <c r="AC20" i="53" s="1"/>
  <c r="L33" i="53"/>
  <c r="L39" i="53" s="1"/>
  <c r="K33" i="53"/>
  <c r="K39" i="53" s="1"/>
  <c r="D19" i="53"/>
  <c r="F19" i="53" s="1"/>
  <c r="W19" i="53" s="1"/>
  <c r="AC19" i="53" s="1"/>
  <c r="N33" i="53"/>
  <c r="N39" i="53" s="1"/>
  <c r="M33" i="53"/>
  <c r="M39" i="53" s="1"/>
  <c r="D18" i="53"/>
  <c r="F18" i="53" s="1"/>
  <c r="W18" i="53" s="1"/>
  <c r="AC18" i="53" s="1"/>
  <c r="P33" i="53"/>
  <c r="P39" i="53" s="1"/>
  <c r="O33" i="53"/>
  <c r="O39" i="53" s="1"/>
  <c r="D17" i="53"/>
  <c r="F17" i="53" s="1"/>
  <c r="W17" i="53" s="1"/>
  <c r="AC17" i="53" s="1"/>
  <c r="Q33" i="53"/>
  <c r="Q39" i="53" s="1"/>
  <c r="D16" i="53"/>
  <c r="F16" i="53" s="1"/>
  <c r="W16" i="53" s="1"/>
  <c r="AC16" i="53" s="1"/>
  <c r="D15" i="53"/>
  <c r="F15" i="53" s="1"/>
  <c r="W15" i="53" s="1"/>
  <c r="AC15" i="53" s="1"/>
  <c r="V33" i="53"/>
  <c r="V39" i="53" s="1"/>
  <c r="D14" i="53"/>
  <c r="F14" i="53" s="1"/>
  <c r="W14" i="53" s="1"/>
  <c r="AC14" i="53" s="1"/>
  <c r="D13" i="53"/>
  <c r="F13" i="53" s="1"/>
  <c r="W13" i="53" s="1"/>
  <c r="AC13" i="53" s="1"/>
  <c r="D12" i="53"/>
  <c r="F12" i="53" s="1"/>
  <c r="W12" i="53" s="1"/>
  <c r="AC12" i="53" s="1"/>
  <c r="R33" i="53"/>
  <c r="R39" i="53" s="1"/>
  <c r="D11" i="53"/>
  <c r="F11" i="53" s="1"/>
  <c r="W11" i="53" s="1"/>
  <c r="Y33" i="53"/>
  <c r="U33" i="53"/>
  <c r="U39" i="53" s="1"/>
  <c r="T33" i="53"/>
  <c r="T39" i="53" s="1"/>
  <c r="S33" i="53"/>
  <c r="S39" i="53" s="1"/>
  <c r="E33" i="53"/>
  <c r="E39" i="53" s="1"/>
  <c r="D10" i="53"/>
  <c r="C33" i="53"/>
  <c r="C39" i="53" s="1"/>
  <c r="B33" i="53"/>
  <c r="B39" i="53" s="1"/>
  <c r="E52" i="52"/>
  <c r="E55" i="52" s="1"/>
  <c r="Y39" i="52"/>
  <c r="V39" i="52"/>
  <c r="U39" i="52"/>
  <c r="T39" i="52"/>
  <c r="S39" i="52"/>
  <c r="R39" i="52"/>
  <c r="Q39" i="52"/>
  <c r="P39" i="52"/>
  <c r="E39" i="52"/>
  <c r="C39" i="52"/>
  <c r="B39" i="52"/>
  <c r="D38" i="52"/>
  <c r="F38" i="52" s="1"/>
  <c r="W38" i="52" s="1"/>
  <c r="AC38" i="52" s="1"/>
  <c r="D37" i="52"/>
  <c r="F37" i="52" s="1"/>
  <c r="W37" i="52" s="1"/>
  <c r="AC37" i="52" s="1"/>
  <c r="Y36" i="52"/>
  <c r="D36" i="52"/>
  <c r="F36" i="52" s="1"/>
  <c r="W36" i="52" s="1"/>
  <c r="AC36" i="52" s="1"/>
  <c r="AC35" i="52"/>
  <c r="D35" i="52"/>
  <c r="F35" i="52" s="1"/>
  <c r="F34" i="52"/>
  <c r="W34" i="52" s="1"/>
  <c r="AC34" i="52" s="1"/>
  <c r="D34" i="52"/>
  <c r="AA33" i="52"/>
  <c r="AA36" i="52" s="1"/>
  <c r="Y33" i="52"/>
  <c r="V33" i="52"/>
  <c r="U33" i="52"/>
  <c r="T33" i="52"/>
  <c r="S33" i="52"/>
  <c r="R33" i="52"/>
  <c r="Q33" i="52"/>
  <c r="P33" i="52"/>
  <c r="O33" i="52"/>
  <c r="O39" i="52" s="1"/>
  <c r="N33" i="52"/>
  <c r="N39" i="52" s="1"/>
  <c r="M33" i="52"/>
  <c r="M39" i="52" s="1"/>
  <c r="L33" i="52"/>
  <c r="L39" i="52" s="1"/>
  <c r="K33" i="52"/>
  <c r="K39" i="52" s="1"/>
  <c r="J33" i="52"/>
  <c r="J39" i="52" s="1"/>
  <c r="I33" i="52"/>
  <c r="I39" i="52" s="1"/>
  <c r="H33" i="52"/>
  <c r="H39" i="52" s="1"/>
  <c r="G33" i="52"/>
  <c r="G39" i="52" s="1"/>
  <c r="E33" i="52"/>
  <c r="C33" i="52"/>
  <c r="B33" i="52"/>
  <c r="D32" i="52"/>
  <c r="F32" i="52" s="1"/>
  <c r="W32" i="52" s="1"/>
  <c r="AC32" i="52" s="1"/>
  <c r="D31" i="52"/>
  <c r="F31" i="52" s="1"/>
  <c r="W31" i="52" s="1"/>
  <c r="AC31" i="52" s="1"/>
  <c r="D30" i="52"/>
  <c r="F30" i="52" s="1"/>
  <c r="W30" i="52" s="1"/>
  <c r="AC30" i="52" s="1"/>
  <c r="D29" i="52"/>
  <c r="F29" i="52" s="1"/>
  <c r="W29" i="52" s="1"/>
  <c r="AC29" i="52" s="1"/>
  <c r="D28" i="52"/>
  <c r="F28" i="52" s="1"/>
  <c r="W28" i="52" s="1"/>
  <c r="AC28" i="52" s="1"/>
  <c r="D27" i="52"/>
  <c r="F27" i="52" s="1"/>
  <c r="W27" i="52" s="1"/>
  <c r="AC27" i="52" s="1"/>
  <c r="D26" i="52"/>
  <c r="F26" i="52" s="1"/>
  <c r="W26" i="52" s="1"/>
  <c r="AC26" i="52" s="1"/>
  <c r="D25" i="52"/>
  <c r="F25" i="52" s="1"/>
  <c r="W25" i="52" s="1"/>
  <c r="AC25" i="52" s="1"/>
  <c r="D24" i="52"/>
  <c r="F24" i="52" s="1"/>
  <c r="W24" i="52" s="1"/>
  <c r="AC24" i="52" s="1"/>
  <c r="D23" i="52"/>
  <c r="F23" i="52" s="1"/>
  <c r="W23" i="52" s="1"/>
  <c r="AC23" i="52" s="1"/>
  <c r="D22" i="52"/>
  <c r="F22" i="52" s="1"/>
  <c r="W22" i="52" s="1"/>
  <c r="AC22" i="52" s="1"/>
  <c r="D21" i="52"/>
  <c r="F21" i="52" s="1"/>
  <c r="W21" i="52" s="1"/>
  <c r="AC21" i="52" s="1"/>
  <c r="D20" i="52"/>
  <c r="F20" i="52" s="1"/>
  <c r="W20" i="52" s="1"/>
  <c r="AC20" i="52" s="1"/>
  <c r="D19" i="52"/>
  <c r="F19" i="52" s="1"/>
  <c r="W19" i="52" s="1"/>
  <c r="AC19" i="52" s="1"/>
  <c r="D18" i="52"/>
  <c r="F18" i="52" s="1"/>
  <c r="W18" i="52" s="1"/>
  <c r="AC18" i="52" s="1"/>
  <c r="D17" i="52"/>
  <c r="F17" i="52" s="1"/>
  <c r="W17" i="52" s="1"/>
  <c r="AC17" i="52" s="1"/>
  <c r="D16" i="52"/>
  <c r="F16" i="52" s="1"/>
  <c r="W16" i="52" s="1"/>
  <c r="AC16" i="52" s="1"/>
  <c r="D15" i="52"/>
  <c r="F15" i="52" s="1"/>
  <c r="W15" i="52" s="1"/>
  <c r="AC15" i="52" s="1"/>
  <c r="D14" i="52"/>
  <c r="F14" i="52" s="1"/>
  <c r="W14" i="52" s="1"/>
  <c r="AC14" i="52" s="1"/>
  <c r="F13" i="52"/>
  <c r="W13" i="52" s="1"/>
  <c r="AC13" i="52" s="1"/>
  <c r="D13" i="52"/>
  <c r="F12" i="52"/>
  <c r="W12" i="52" s="1"/>
  <c r="AC12" i="52" s="1"/>
  <c r="D12" i="52"/>
  <c r="D11" i="52"/>
  <c r="F11" i="52" s="1"/>
  <c r="W11" i="52" s="1"/>
  <c r="AC11" i="52" s="1"/>
  <c r="D10" i="52"/>
  <c r="D33" i="52" s="1"/>
  <c r="D39" i="52" s="1"/>
  <c r="E52" i="50"/>
  <c r="E55" i="50" s="1"/>
  <c r="V39" i="50"/>
  <c r="U39" i="50"/>
  <c r="T39" i="50"/>
  <c r="S39" i="50"/>
  <c r="R39" i="50"/>
  <c r="Q39" i="50"/>
  <c r="P39" i="50"/>
  <c r="E39" i="50"/>
  <c r="C39" i="50"/>
  <c r="B39" i="50"/>
  <c r="D38" i="50"/>
  <c r="F38" i="50" s="1"/>
  <c r="W38" i="50" s="1"/>
  <c r="AC38" i="50" s="1"/>
  <c r="D37" i="50"/>
  <c r="F37" i="50" s="1"/>
  <c r="W37" i="50" s="1"/>
  <c r="AC37" i="50" s="1"/>
  <c r="D36" i="50"/>
  <c r="F36" i="50" s="1"/>
  <c r="W36" i="50" s="1"/>
  <c r="AC36" i="50" s="1"/>
  <c r="AC35" i="50"/>
  <c r="D35" i="50"/>
  <c r="F35" i="50" s="1"/>
  <c r="F34" i="50"/>
  <c r="W34" i="50" s="1"/>
  <c r="AC34" i="50" s="1"/>
  <c r="D34" i="50"/>
  <c r="AA33" i="50"/>
  <c r="AA36" i="50" s="1"/>
  <c r="Y33" i="50"/>
  <c r="Y36" i="50" s="1"/>
  <c r="Y39" i="50" s="1"/>
  <c r="V33" i="50"/>
  <c r="U33" i="50"/>
  <c r="T33" i="50"/>
  <c r="S33" i="50"/>
  <c r="R33" i="50"/>
  <c r="Q33" i="50"/>
  <c r="P33" i="50"/>
  <c r="O33" i="50"/>
  <c r="O39" i="50" s="1"/>
  <c r="N33" i="50"/>
  <c r="N39" i="50" s="1"/>
  <c r="M33" i="50"/>
  <c r="M39" i="50" s="1"/>
  <c r="L33" i="50"/>
  <c r="L39" i="50" s="1"/>
  <c r="K33" i="50"/>
  <c r="K39" i="50" s="1"/>
  <c r="J33" i="50"/>
  <c r="J39" i="50" s="1"/>
  <c r="I33" i="50"/>
  <c r="I39" i="50" s="1"/>
  <c r="H33" i="50"/>
  <c r="H39" i="50" s="1"/>
  <c r="G33" i="50"/>
  <c r="G39" i="50" s="1"/>
  <c r="E33" i="50"/>
  <c r="C33" i="50"/>
  <c r="B33" i="50"/>
  <c r="D32" i="50"/>
  <c r="F32" i="50" s="1"/>
  <c r="W32" i="50" s="1"/>
  <c r="AC32" i="50" s="1"/>
  <c r="D31" i="50"/>
  <c r="F31" i="50" s="1"/>
  <c r="W31" i="50" s="1"/>
  <c r="AC31" i="50" s="1"/>
  <c r="D30" i="50"/>
  <c r="F30" i="50" s="1"/>
  <c r="W30" i="50" s="1"/>
  <c r="AC30" i="50" s="1"/>
  <c r="D29" i="50"/>
  <c r="F29" i="50" s="1"/>
  <c r="W29" i="50" s="1"/>
  <c r="AC29" i="50" s="1"/>
  <c r="D28" i="50"/>
  <c r="F28" i="50" s="1"/>
  <c r="W28" i="50" s="1"/>
  <c r="AC28" i="50" s="1"/>
  <c r="D27" i="50"/>
  <c r="F27" i="50" s="1"/>
  <c r="W27" i="50" s="1"/>
  <c r="AC27" i="50" s="1"/>
  <c r="D26" i="50"/>
  <c r="F26" i="50" s="1"/>
  <c r="W26" i="50" s="1"/>
  <c r="AC26" i="50" s="1"/>
  <c r="D25" i="50"/>
  <c r="F25" i="50" s="1"/>
  <c r="W25" i="50" s="1"/>
  <c r="AC25" i="50" s="1"/>
  <c r="D24" i="50"/>
  <c r="F24" i="50" s="1"/>
  <c r="W24" i="50" s="1"/>
  <c r="AC24" i="50" s="1"/>
  <c r="F23" i="50"/>
  <c r="W23" i="50" s="1"/>
  <c r="AC23" i="50" s="1"/>
  <c r="D23" i="50"/>
  <c r="D22" i="50"/>
  <c r="F22" i="50" s="1"/>
  <c r="W22" i="50" s="1"/>
  <c r="AC22" i="50" s="1"/>
  <c r="D21" i="50"/>
  <c r="F21" i="50" s="1"/>
  <c r="W21" i="50" s="1"/>
  <c r="AC21" i="50" s="1"/>
  <c r="D20" i="50"/>
  <c r="F20" i="50" s="1"/>
  <c r="W20" i="50" s="1"/>
  <c r="AC20" i="50" s="1"/>
  <c r="F19" i="50"/>
  <c r="W19" i="50" s="1"/>
  <c r="AC19" i="50" s="1"/>
  <c r="D19" i="50"/>
  <c r="D18" i="50"/>
  <c r="F18" i="50" s="1"/>
  <c r="W18" i="50" s="1"/>
  <c r="AC18" i="50" s="1"/>
  <c r="D17" i="50"/>
  <c r="F17" i="50" s="1"/>
  <c r="W17" i="50" s="1"/>
  <c r="AC17" i="50" s="1"/>
  <c r="D16" i="50"/>
  <c r="F16" i="50" s="1"/>
  <c r="W16" i="50" s="1"/>
  <c r="AC16" i="50" s="1"/>
  <c r="D15" i="50"/>
  <c r="F15" i="50" s="1"/>
  <c r="W15" i="50" s="1"/>
  <c r="AC15" i="50" s="1"/>
  <c r="D14" i="50"/>
  <c r="F14" i="50" s="1"/>
  <c r="W14" i="50" s="1"/>
  <c r="AC14" i="50" s="1"/>
  <c r="F13" i="50"/>
  <c r="W13" i="50" s="1"/>
  <c r="AC13" i="50" s="1"/>
  <c r="D13" i="50"/>
  <c r="D12" i="50"/>
  <c r="F12" i="50" s="1"/>
  <c r="W12" i="50" s="1"/>
  <c r="AC12" i="50" s="1"/>
  <c r="F11" i="50"/>
  <c r="W11" i="50" s="1"/>
  <c r="AC11" i="50" s="1"/>
  <c r="D11" i="50"/>
  <c r="D10" i="50"/>
  <c r="F10" i="50" s="1"/>
  <c r="E52" i="48"/>
  <c r="E55" i="48" s="1"/>
  <c r="Y39" i="48"/>
  <c r="V39" i="48"/>
  <c r="U39" i="48"/>
  <c r="T39" i="48"/>
  <c r="S39" i="48"/>
  <c r="R39" i="48"/>
  <c r="Q39" i="48"/>
  <c r="P39" i="48"/>
  <c r="E39" i="48"/>
  <c r="C39" i="48"/>
  <c r="B39" i="48"/>
  <c r="D38" i="48"/>
  <c r="F38" i="48" s="1"/>
  <c r="W38" i="48" s="1"/>
  <c r="AC38" i="48" s="1"/>
  <c r="D37" i="48"/>
  <c r="F37" i="48" s="1"/>
  <c r="W37" i="48" s="1"/>
  <c r="AC37" i="48" s="1"/>
  <c r="AA36" i="48"/>
  <c r="Y36" i="48"/>
  <c r="D36" i="48"/>
  <c r="F36" i="48" s="1"/>
  <c r="W36" i="48" s="1"/>
  <c r="AC36" i="48" s="1"/>
  <c r="AC35" i="48"/>
  <c r="D35" i="48"/>
  <c r="F35" i="48" s="1"/>
  <c r="F34" i="48"/>
  <c r="W34" i="48" s="1"/>
  <c r="AC34" i="48" s="1"/>
  <c r="D34" i="48"/>
  <c r="AA33" i="48"/>
  <c r="Y33" i="48"/>
  <c r="V33" i="48"/>
  <c r="U33" i="48"/>
  <c r="T33" i="48"/>
  <c r="S33" i="48"/>
  <c r="R33" i="48"/>
  <c r="Q33" i="48"/>
  <c r="P33" i="48"/>
  <c r="O33" i="48"/>
  <c r="O39" i="48" s="1"/>
  <c r="N33" i="48"/>
  <c r="N39" i="48" s="1"/>
  <c r="M33" i="48"/>
  <c r="M39" i="48" s="1"/>
  <c r="L33" i="48"/>
  <c r="L39" i="48" s="1"/>
  <c r="K33" i="48"/>
  <c r="K39" i="48" s="1"/>
  <c r="J33" i="48"/>
  <c r="J39" i="48" s="1"/>
  <c r="I33" i="48"/>
  <c r="I39" i="48" s="1"/>
  <c r="H33" i="48"/>
  <c r="H39" i="48" s="1"/>
  <c r="G33" i="48"/>
  <c r="G39" i="48" s="1"/>
  <c r="E33" i="48"/>
  <c r="C33" i="48"/>
  <c r="B33" i="48"/>
  <c r="D32" i="48"/>
  <c r="F32" i="48" s="1"/>
  <c r="W32" i="48" s="1"/>
  <c r="AC32" i="48" s="1"/>
  <c r="D31" i="48"/>
  <c r="F31" i="48" s="1"/>
  <c r="W31" i="48" s="1"/>
  <c r="AC31" i="48" s="1"/>
  <c r="D30" i="48"/>
  <c r="F30" i="48" s="1"/>
  <c r="W30" i="48" s="1"/>
  <c r="AC30" i="48" s="1"/>
  <c r="D29" i="48"/>
  <c r="F29" i="48" s="1"/>
  <c r="W29" i="48" s="1"/>
  <c r="AC29" i="48" s="1"/>
  <c r="D28" i="48"/>
  <c r="F28" i="48" s="1"/>
  <c r="W28" i="48" s="1"/>
  <c r="AC28" i="48" s="1"/>
  <c r="D27" i="48"/>
  <c r="F27" i="48" s="1"/>
  <c r="W27" i="48" s="1"/>
  <c r="AC27" i="48" s="1"/>
  <c r="F26" i="48"/>
  <c r="W26" i="48" s="1"/>
  <c r="AC26" i="48" s="1"/>
  <c r="D26" i="48"/>
  <c r="D25" i="48"/>
  <c r="F25" i="48" s="1"/>
  <c r="W25" i="48" s="1"/>
  <c r="AC25" i="48" s="1"/>
  <c r="D24" i="48"/>
  <c r="F24" i="48" s="1"/>
  <c r="W24" i="48" s="1"/>
  <c r="AC24" i="48" s="1"/>
  <c r="F23" i="48"/>
  <c r="W23" i="48" s="1"/>
  <c r="AC23" i="48" s="1"/>
  <c r="D23" i="48"/>
  <c r="D22" i="48"/>
  <c r="F22" i="48" s="1"/>
  <c r="W22" i="48" s="1"/>
  <c r="AC22" i="48" s="1"/>
  <c r="D21" i="48"/>
  <c r="F21" i="48" s="1"/>
  <c r="W21" i="48" s="1"/>
  <c r="AC21" i="48" s="1"/>
  <c r="D20" i="48"/>
  <c r="F20" i="48" s="1"/>
  <c r="W20" i="48" s="1"/>
  <c r="AC20" i="48" s="1"/>
  <c r="D19" i="48"/>
  <c r="F19" i="48" s="1"/>
  <c r="W19" i="48" s="1"/>
  <c r="AC19" i="48" s="1"/>
  <c r="D18" i="48"/>
  <c r="F18" i="48" s="1"/>
  <c r="W18" i="48" s="1"/>
  <c r="AC18" i="48" s="1"/>
  <c r="D17" i="48"/>
  <c r="F17" i="48" s="1"/>
  <c r="W17" i="48" s="1"/>
  <c r="AC17" i="48" s="1"/>
  <c r="D16" i="48"/>
  <c r="F16" i="48" s="1"/>
  <c r="W16" i="48" s="1"/>
  <c r="AC16" i="48" s="1"/>
  <c r="D15" i="48"/>
  <c r="F15" i="48" s="1"/>
  <c r="W15" i="48" s="1"/>
  <c r="AC15" i="48" s="1"/>
  <c r="D14" i="48"/>
  <c r="F14" i="48" s="1"/>
  <c r="W14" i="48" s="1"/>
  <c r="AC14" i="48" s="1"/>
  <c r="F13" i="48"/>
  <c r="W13" i="48" s="1"/>
  <c r="AC13" i="48" s="1"/>
  <c r="D13" i="48"/>
  <c r="D12" i="48"/>
  <c r="F12" i="48" s="1"/>
  <c r="W12" i="48" s="1"/>
  <c r="AC12" i="48" s="1"/>
  <c r="D11" i="48"/>
  <c r="F11" i="48" s="1"/>
  <c r="W11" i="48" s="1"/>
  <c r="AC11" i="48" s="1"/>
  <c r="D10" i="48"/>
  <c r="D33" i="48" s="1"/>
  <c r="D39" i="48" s="1"/>
  <c r="D38" i="46"/>
  <c r="F38" i="46" s="1"/>
  <c r="W38" i="46" s="1"/>
  <c r="AC38" i="46" s="1"/>
  <c r="D37" i="46"/>
  <c r="F37" i="46" s="1"/>
  <c r="W37" i="46" s="1"/>
  <c r="AC37" i="46" s="1"/>
  <c r="D36" i="46"/>
  <c r="F36" i="46" s="1"/>
  <c r="W36" i="46" s="1"/>
  <c r="AC35" i="46"/>
  <c r="D35" i="46"/>
  <c r="F35" i="46" s="1"/>
  <c r="D34" i="46"/>
  <c r="F34" i="46" s="1"/>
  <c r="W34" i="46" s="1"/>
  <c r="AC34" i="46" s="1"/>
  <c r="O33" i="46"/>
  <c r="O39" i="46" s="1"/>
  <c r="D32" i="46"/>
  <c r="F32" i="46" s="1"/>
  <c r="W32" i="46" s="1"/>
  <c r="AC32" i="46" s="1"/>
  <c r="D31" i="46"/>
  <c r="F31" i="46" s="1"/>
  <c r="W31" i="46" s="1"/>
  <c r="AC31" i="46" s="1"/>
  <c r="F30" i="46"/>
  <c r="W30" i="46" s="1"/>
  <c r="AC30" i="46" s="1"/>
  <c r="D30" i="46"/>
  <c r="D29" i="46"/>
  <c r="F29" i="46" s="1"/>
  <c r="W29" i="46" s="1"/>
  <c r="AC29" i="46" s="1"/>
  <c r="P33" i="46"/>
  <c r="P39" i="46" s="1"/>
  <c r="D28" i="46"/>
  <c r="F28" i="46" s="1"/>
  <c r="W28" i="46" s="1"/>
  <c r="AC28" i="46" s="1"/>
  <c r="D27" i="46"/>
  <c r="F27" i="46" s="1"/>
  <c r="W27" i="46" s="1"/>
  <c r="AC27" i="46" s="1"/>
  <c r="D26" i="46"/>
  <c r="F26" i="46" s="1"/>
  <c r="W26" i="46" s="1"/>
  <c r="AC26" i="46" s="1"/>
  <c r="D25" i="46"/>
  <c r="F25" i="46" s="1"/>
  <c r="W25" i="46" s="1"/>
  <c r="AC25" i="46" s="1"/>
  <c r="D24" i="46"/>
  <c r="F24" i="46" s="1"/>
  <c r="W24" i="46" s="1"/>
  <c r="AC24" i="46" s="1"/>
  <c r="Q33" i="46"/>
  <c r="Q39" i="46" s="1"/>
  <c r="D23" i="46"/>
  <c r="F23" i="46" s="1"/>
  <c r="W23" i="46" s="1"/>
  <c r="AC23" i="46" s="1"/>
  <c r="D22" i="46"/>
  <c r="F22" i="46" s="1"/>
  <c r="W22" i="46" s="1"/>
  <c r="AC22" i="46" s="1"/>
  <c r="D21" i="46"/>
  <c r="F21" i="46" s="1"/>
  <c r="W21" i="46" s="1"/>
  <c r="AC21" i="46" s="1"/>
  <c r="D20" i="46"/>
  <c r="F20" i="46" s="1"/>
  <c r="W20" i="46" s="1"/>
  <c r="AC20" i="46" s="1"/>
  <c r="D19" i="46"/>
  <c r="F19" i="46" s="1"/>
  <c r="W19" i="46" s="1"/>
  <c r="AC19" i="46" s="1"/>
  <c r="R33" i="46"/>
  <c r="D18" i="46"/>
  <c r="F18" i="46" s="1"/>
  <c r="W18" i="46" s="1"/>
  <c r="AC18" i="46" s="1"/>
  <c r="D17" i="46"/>
  <c r="F17" i="46" s="1"/>
  <c r="W17" i="46" s="1"/>
  <c r="AC17" i="46" s="1"/>
  <c r="D16" i="46"/>
  <c r="F16" i="46" s="1"/>
  <c r="W16" i="46" s="1"/>
  <c r="AC16" i="46" s="1"/>
  <c r="D15" i="46"/>
  <c r="F15" i="46" s="1"/>
  <c r="W15" i="46" s="1"/>
  <c r="AC15" i="46" s="1"/>
  <c r="D14" i="46"/>
  <c r="F14" i="46" s="1"/>
  <c r="W14" i="46" s="1"/>
  <c r="AC14" i="46" s="1"/>
  <c r="V33" i="46"/>
  <c r="V39" i="46" s="1"/>
  <c r="U33" i="46"/>
  <c r="U39" i="46" s="1"/>
  <c r="T33" i="46"/>
  <c r="T39" i="46" s="1"/>
  <c r="S33" i="46"/>
  <c r="S39" i="46" s="1"/>
  <c r="D13" i="46"/>
  <c r="F13" i="46" s="1"/>
  <c r="W13" i="46" s="1"/>
  <c r="AC13" i="46" s="1"/>
  <c r="AA33" i="46"/>
  <c r="AA36" i="46" s="1"/>
  <c r="Y33" i="46"/>
  <c r="C33" i="46"/>
  <c r="C39" i="46" s="1"/>
  <c r="B33" i="46"/>
  <c r="B39" i="46" s="1"/>
  <c r="D11" i="46"/>
  <c r="F11" i="46" s="1"/>
  <c r="W11" i="46" s="1"/>
  <c r="AC11" i="46" s="1"/>
  <c r="N33" i="46"/>
  <c r="N39" i="46" s="1"/>
  <c r="M33" i="46"/>
  <c r="M39" i="46" s="1"/>
  <c r="L33" i="46"/>
  <c r="L39" i="46" s="1"/>
  <c r="K33" i="46"/>
  <c r="K39" i="46" s="1"/>
  <c r="J33" i="46"/>
  <c r="J39" i="46" s="1"/>
  <c r="I33" i="46"/>
  <c r="I39" i="46" s="1"/>
  <c r="H33" i="46"/>
  <c r="H39" i="46" s="1"/>
  <c r="G33" i="46"/>
  <c r="G39" i="46" s="1"/>
  <c r="E33" i="46"/>
  <c r="E39" i="46" s="1"/>
  <c r="D10" i="46"/>
  <c r="E52" i="44"/>
  <c r="E55" i="44" s="1"/>
  <c r="Q39" i="44"/>
  <c r="P39" i="44"/>
  <c r="O39" i="44"/>
  <c r="D38" i="44"/>
  <c r="F38" i="44" s="1"/>
  <c r="W38" i="44" s="1"/>
  <c r="AC38" i="44" s="1"/>
  <c r="D37" i="44"/>
  <c r="F37" i="44" s="1"/>
  <c r="W37" i="44" s="1"/>
  <c r="AC37" i="44" s="1"/>
  <c r="D36" i="44"/>
  <c r="F36" i="44" s="1"/>
  <c r="W36" i="44" s="1"/>
  <c r="AC35" i="44"/>
  <c r="D35" i="44"/>
  <c r="F35" i="44" s="1"/>
  <c r="D34" i="44"/>
  <c r="F34" i="44" s="1"/>
  <c r="W34" i="44" s="1"/>
  <c r="AC34" i="44" s="1"/>
  <c r="AA33" i="44"/>
  <c r="AA36" i="44" s="1"/>
  <c r="Y33" i="44"/>
  <c r="V33" i="44"/>
  <c r="V39" i="44" s="1"/>
  <c r="U33" i="44"/>
  <c r="U39" i="44" s="1"/>
  <c r="T33" i="44"/>
  <c r="T39" i="44" s="1"/>
  <c r="S33" i="44"/>
  <c r="S39" i="44" s="1"/>
  <c r="R33" i="44"/>
  <c r="R39" i="44" s="1"/>
  <c r="Q33" i="44"/>
  <c r="P33" i="44"/>
  <c r="O33" i="44"/>
  <c r="N33" i="44"/>
  <c r="N39" i="44" s="1"/>
  <c r="M33" i="44"/>
  <c r="M39" i="44" s="1"/>
  <c r="L33" i="44"/>
  <c r="L39" i="44" s="1"/>
  <c r="K33" i="44"/>
  <c r="K39" i="44" s="1"/>
  <c r="J33" i="44"/>
  <c r="J39" i="44" s="1"/>
  <c r="I33" i="44"/>
  <c r="I39" i="44" s="1"/>
  <c r="H33" i="44"/>
  <c r="H39" i="44" s="1"/>
  <c r="G33" i="44"/>
  <c r="G39" i="44" s="1"/>
  <c r="E33" i="44"/>
  <c r="E39" i="44" s="1"/>
  <c r="C33" i="44"/>
  <c r="C39" i="44" s="1"/>
  <c r="B33" i="44"/>
  <c r="B39" i="44" s="1"/>
  <c r="D32" i="44"/>
  <c r="F32" i="44" s="1"/>
  <c r="W32" i="44" s="1"/>
  <c r="AC32" i="44" s="1"/>
  <c r="D31" i="44"/>
  <c r="F31" i="44" s="1"/>
  <c r="W31" i="44" s="1"/>
  <c r="AC31" i="44" s="1"/>
  <c r="D30" i="44"/>
  <c r="F30" i="44" s="1"/>
  <c r="W30" i="44" s="1"/>
  <c r="AC30" i="44" s="1"/>
  <c r="D29" i="44"/>
  <c r="F29" i="44" s="1"/>
  <c r="W29" i="44" s="1"/>
  <c r="AC29" i="44" s="1"/>
  <c r="D28" i="44"/>
  <c r="F28" i="44" s="1"/>
  <c r="W28" i="44" s="1"/>
  <c r="AC28" i="44" s="1"/>
  <c r="D27" i="44"/>
  <c r="F27" i="44" s="1"/>
  <c r="W27" i="44" s="1"/>
  <c r="AC27" i="44" s="1"/>
  <c r="D26" i="44"/>
  <c r="F26" i="44" s="1"/>
  <c r="W26" i="44" s="1"/>
  <c r="AC26" i="44" s="1"/>
  <c r="D25" i="44"/>
  <c r="F25" i="44" s="1"/>
  <c r="W25" i="44" s="1"/>
  <c r="AC25" i="44" s="1"/>
  <c r="D24" i="44"/>
  <c r="F24" i="44" s="1"/>
  <c r="W24" i="44" s="1"/>
  <c r="AC24" i="44" s="1"/>
  <c r="D23" i="44"/>
  <c r="F23" i="44" s="1"/>
  <c r="W23" i="44" s="1"/>
  <c r="AC23" i="44" s="1"/>
  <c r="D22" i="44"/>
  <c r="F22" i="44" s="1"/>
  <c r="W22" i="44" s="1"/>
  <c r="AC22" i="44" s="1"/>
  <c r="D21" i="44"/>
  <c r="F21" i="44" s="1"/>
  <c r="W21" i="44" s="1"/>
  <c r="AC21" i="44" s="1"/>
  <c r="D20" i="44"/>
  <c r="F20" i="44" s="1"/>
  <c r="W20" i="44" s="1"/>
  <c r="AC20" i="44" s="1"/>
  <c r="D19" i="44"/>
  <c r="F19" i="44" s="1"/>
  <c r="W19" i="44" s="1"/>
  <c r="AC19" i="44" s="1"/>
  <c r="D18" i="44"/>
  <c r="F18" i="44" s="1"/>
  <c r="W18" i="44" s="1"/>
  <c r="AC18" i="44" s="1"/>
  <c r="D17" i="44"/>
  <c r="F17" i="44" s="1"/>
  <c r="W17" i="44" s="1"/>
  <c r="AC17" i="44" s="1"/>
  <c r="D16" i="44"/>
  <c r="F16" i="44" s="1"/>
  <c r="W16" i="44" s="1"/>
  <c r="AC16" i="44" s="1"/>
  <c r="D15" i="44"/>
  <c r="F15" i="44" s="1"/>
  <c r="W15" i="44" s="1"/>
  <c r="AC15" i="44" s="1"/>
  <c r="D14" i="44"/>
  <c r="F14" i="44" s="1"/>
  <c r="W14" i="44" s="1"/>
  <c r="AC14" i="44" s="1"/>
  <c r="D13" i="44"/>
  <c r="F13" i="44" s="1"/>
  <c r="W13" i="44" s="1"/>
  <c r="AC13" i="44" s="1"/>
  <c r="D12" i="44"/>
  <c r="F12" i="44" s="1"/>
  <c r="W12" i="44" s="1"/>
  <c r="AC12" i="44" s="1"/>
  <c r="D11" i="44"/>
  <c r="F11" i="44" s="1"/>
  <c r="W11" i="44" s="1"/>
  <c r="AC11" i="44" s="1"/>
  <c r="D10" i="44"/>
  <c r="F10" i="44" s="1"/>
  <c r="AC30" i="53" l="1"/>
  <c r="AC11" i="53"/>
  <c r="D33" i="53"/>
  <c r="D39" i="53" s="1"/>
  <c r="Y39" i="53"/>
  <c r="AC23" i="53"/>
  <c r="F10" i="53"/>
  <c r="G33" i="53"/>
  <c r="G39" i="53" s="1"/>
  <c r="F10" i="52"/>
  <c r="F33" i="50"/>
  <c r="F39" i="50" s="1"/>
  <c r="W10" i="50"/>
  <c r="D33" i="50"/>
  <c r="D39" i="50" s="1"/>
  <c r="F10" i="48"/>
  <c r="AH28" i="46"/>
  <c r="AH13" i="46"/>
  <c r="AH26" i="46"/>
  <c r="AH25" i="46"/>
  <c r="AH11" i="46"/>
  <c r="AH24" i="46"/>
  <c r="AH38" i="46"/>
  <c r="AH29" i="46"/>
  <c r="AH15" i="46"/>
  <c r="AH30" i="46"/>
  <c r="R39" i="46"/>
  <c r="AH22" i="46"/>
  <c r="AH37" i="46"/>
  <c r="AH27" i="46"/>
  <c r="AH21" i="46"/>
  <c r="AH20" i="46"/>
  <c r="Y36" i="46"/>
  <c r="Y39" i="46" s="1"/>
  <c r="AH19" i="46"/>
  <c r="AC36" i="46"/>
  <c r="AH14" i="46"/>
  <c r="AH18" i="46"/>
  <c r="AH32" i="46"/>
  <c r="AH16" i="46"/>
  <c r="F10" i="46"/>
  <c r="AH23" i="46"/>
  <c r="AH34" i="46"/>
  <c r="AH17" i="46"/>
  <c r="AH31" i="46"/>
  <c r="E52" i="46"/>
  <c r="D12" i="46"/>
  <c r="F12" i="46" s="1"/>
  <c r="W12" i="46" s="1"/>
  <c r="AC12" i="46" s="1"/>
  <c r="AH35" i="46"/>
  <c r="Y36" i="44"/>
  <c r="AC36" i="44" s="1"/>
  <c r="W10" i="44"/>
  <c r="F33" i="44"/>
  <c r="F39" i="44" s="1"/>
  <c r="D33" i="44"/>
  <c r="D39" i="44" s="1"/>
  <c r="E52" i="42"/>
  <c r="E55" i="42" s="1"/>
  <c r="V39" i="42"/>
  <c r="U39" i="42"/>
  <c r="S39" i="42"/>
  <c r="R39" i="42"/>
  <c r="Q39" i="42"/>
  <c r="P39" i="42"/>
  <c r="E39" i="42"/>
  <c r="C39" i="42"/>
  <c r="B39" i="42"/>
  <c r="D38" i="42"/>
  <c r="F38" i="42" s="1"/>
  <c r="W38" i="42" s="1"/>
  <c r="AC38" i="42" s="1"/>
  <c r="D37" i="42"/>
  <c r="F37" i="42" s="1"/>
  <c r="W37" i="42" s="1"/>
  <c r="AC37" i="42" s="1"/>
  <c r="D36" i="42"/>
  <c r="F36" i="42" s="1"/>
  <c r="W36" i="42" s="1"/>
  <c r="AC35" i="42"/>
  <c r="D35" i="42"/>
  <c r="F35" i="42" s="1"/>
  <c r="D34" i="42"/>
  <c r="F34" i="42" s="1"/>
  <c r="W34" i="42" s="1"/>
  <c r="AC34" i="42" s="1"/>
  <c r="AA33" i="42"/>
  <c r="AA36" i="42" s="1"/>
  <c r="Y33" i="42"/>
  <c r="Y36" i="42" s="1"/>
  <c r="Y39" i="42" s="1"/>
  <c r="V33" i="42"/>
  <c r="U33" i="42"/>
  <c r="T33" i="42"/>
  <c r="T39" i="42" s="1"/>
  <c r="S33" i="42"/>
  <c r="R33" i="42"/>
  <c r="Q33" i="42"/>
  <c r="P33" i="42"/>
  <c r="O33" i="42"/>
  <c r="O39" i="42" s="1"/>
  <c r="N33" i="42"/>
  <c r="N39" i="42" s="1"/>
  <c r="M33" i="42"/>
  <c r="M39" i="42" s="1"/>
  <c r="L33" i="42"/>
  <c r="L39" i="42" s="1"/>
  <c r="K33" i="42"/>
  <c r="K39" i="42" s="1"/>
  <c r="J33" i="42"/>
  <c r="J39" i="42" s="1"/>
  <c r="I33" i="42"/>
  <c r="I39" i="42" s="1"/>
  <c r="H33" i="42"/>
  <c r="H39" i="42" s="1"/>
  <c r="G33" i="42"/>
  <c r="G39" i="42" s="1"/>
  <c r="E33" i="42"/>
  <c r="C33" i="42"/>
  <c r="B33" i="42"/>
  <c r="D32" i="42"/>
  <c r="F32" i="42" s="1"/>
  <c r="W32" i="42" s="1"/>
  <c r="AC32" i="42" s="1"/>
  <c r="D31" i="42"/>
  <c r="F31" i="42" s="1"/>
  <c r="W31" i="42" s="1"/>
  <c r="AC31" i="42" s="1"/>
  <c r="D30" i="42"/>
  <c r="F30" i="42" s="1"/>
  <c r="W30" i="42" s="1"/>
  <c r="AC30" i="42" s="1"/>
  <c r="D29" i="42"/>
  <c r="F29" i="42" s="1"/>
  <c r="W29" i="42" s="1"/>
  <c r="AC29" i="42" s="1"/>
  <c r="D28" i="42"/>
  <c r="F28" i="42" s="1"/>
  <c r="W28" i="42" s="1"/>
  <c r="AC28" i="42" s="1"/>
  <c r="D27" i="42"/>
  <c r="F27" i="42" s="1"/>
  <c r="W27" i="42" s="1"/>
  <c r="AC27" i="42" s="1"/>
  <c r="D26" i="42"/>
  <c r="F26" i="42" s="1"/>
  <c r="W26" i="42" s="1"/>
  <c r="AC26" i="42" s="1"/>
  <c r="D25" i="42"/>
  <c r="F25" i="42" s="1"/>
  <c r="W25" i="42" s="1"/>
  <c r="AC25" i="42" s="1"/>
  <c r="D24" i="42"/>
  <c r="F24" i="42" s="1"/>
  <c r="W24" i="42" s="1"/>
  <c r="AC24" i="42" s="1"/>
  <c r="D23" i="42"/>
  <c r="F23" i="42" s="1"/>
  <c r="W23" i="42" s="1"/>
  <c r="AC23" i="42" s="1"/>
  <c r="D22" i="42"/>
  <c r="F22" i="42" s="1"/>
  <c r="W22" i="42" s="1"/>
  <c r="AC22" i="42" s="1"/>
  <c r="D21" i="42"/>
  <c r="F21" i="42" s="1"/>
  <c r="W21" i="42" s="1"/>
  <c r="AC21" i="42" s="1"/>
  <c r="D20" i="42"/>
  <c r="F20" i="42" s="1"/>
  <c r="W20" i="42" s="1"/>
  <c r="AC20" i="42" s="1"/>
  <c r="D19" i="42"/>
  <c r="F19" i="42" s="1"/>
  <c r="W19" i="42" s="1"/>
  <c r="AC19" i="42" s="1"/>
  <c r="D18" i="42"/>
  <c r="F18" i="42" s="1"/>
  <c r="W18" i="42" s="1"/>
  <c r="AC18" i="42" s="1"/>
  <c r="D17" i="42"/>
  <c r="F17" i="42" s="1"/>
  <c r="W17" i="42" s="1"/>
  <c r="AC17" i="42" s="1"/>
  <c r="D16" i="42"/>
  <c r="F16" i="42" s="1"/>
  <c r="W16" i="42" s="1"/>
  <c r="AC16" i="42" s="1"/>
  <c r="D15" i="42"/>
  <c r="F15" i="42" s="1"/>
  <c r="W15" i="42" s="1"/>
  <c r="AC15" i="42" s="1"/>
  <c r="D14" i="42"/>
  <c r="F14" i="42" s="1"/>
  <c r="W14" i="42" s="1"/>
  <c r="AC14" i="42" s="1"/>
  <c r="F13" i="42"/>
  <c r="W13" i="42" s="1"/>
  <c r="AC13" i="42" s="1"/>
  <c r="D13" i="42"/>
  <c r="D12" i="42"/>
  <c r="F12" i="42" s="1"/>
  <c r="W12" i="42" s="1"/>
  <c r="AC12" i="42" s="1"/>
  <c r="D11" i="42"/>
  <c r="F11" i="42" s="1"/>
  <c r="W11" i="42" s="1"/>
  <c r="AC11" i="42" s="1"/>
  <c r="D10" i="42"/>
  <c r="F39" i="53" l="1"/>
  <c r="F33" i="53"/>
  <c r="W10" i="53"/>
  <c r="F33" i="52"/>
  <c r="F39" i="52" s="1"/>
  <c r="W10" i="52"/>
  <c r="AC10" i="50"/>
  <c r="W33" i="50"/>
  <c r="W39" i="50" s="1"/>
  <c r="F33" i="48"/>
  <c r="F39" i="48" s="1"/>
  <c r="W10" i="48"/>
  <c r="AH12" i="46"/>
  <c r="AH36" i="46"/>
  <c r="E55" i="46"/>
  <c r="D33" i="46"/>
  <c r="F33" i="46"/>
  <c r="F39" i="46" s="1"/>
  <c r="W10" i="46"/>
  <c r="D33" i="42"/>
  <c r="D39" i="42" s="1"/>
  <c r="AC36" i="42"/>
  <c r="Y39" i="44"/>
  <c r="W33" i="44"/>
  <c r="W39" i="44" s="1"/>
  <c r="AC10" i="44"/>
  <c r="AC33" i="44" s="1"/>
  <c r="AC39" i="44" s="1"/>
  <c r="F10" i="42"/>
  <c r="D10" i="41"/>
  <c r="F10" i="41" s="1"/>
  <c r="D11" i="41"/>
  <c r="F11" i="41" s="1"/>
  <c r="W11" i="41" s="1"/>
  <c r="AC11" i="41" s="1"/>
  <c r="D12" i="41"/>
  <c r="F12" i="41"/>
  <c r="W12" i="41"/>
  <c r="AC12" i="41"/>
  <c r="D13" i="41"/>
  <c r="F13" i="41"/>
  <c r="W13" i="41"/>
  <c r="AC13" i="41" s="1"/>
  <c r="D14" i="41"/>
  <c r="D33" i="41" s="1"/>
  <c r="D39" i="41" s="1"/>
  <c r="F14" i="41"/>
  <c r="W14" i="41"/>
  <c r="AC14" i="41"/>
  <c r="D15" i="41"/>
  <c r="F15" i="41"/>
  <c r="W15" i="41" s="1"/>
  <c r="AC15" i="41" s="1"/>
  <c r="D16" i="41"/>
  <c r="F16" i="41" s="1"/>
  <c r="W16" i="41" s="1"/>
  <c r="AC16" i="41" s="1"/>
  <c r="D17" i="41"/>
  <c r="F17" i="41"/>
  <c r="W17" i="41" s="1"/>
  <c r="AC17" i="41" s="1"/>
  <c r="D18" i="41"/>
  <c r="F18" i="41"/>
  <c r="W18" i="41" s="1"/>
  <c r="AC18" i="41" s="1"/>
  <c r="D19" i="41"/>
  <c r="F19" i="41"/>
  <c r="W19" i="41"/>
  <c r="AC19" i="41"/>
  <c r="D20" i="41"/>
  <c r="F20" i="41"/>
  <c r="W20" i="41"/>
  <c r="AC20" i="41"/>
  <c r="D21" i="41"/>
  <c r="F21" i="41"/>
  <c r="W21" i="41"/>
  <c r="AC21" i="41"/>
  <c r="D22" i="41"/>
  <c r="F22" i="41" s="1"/>
  <c r="W22" i="41" s="1"/>
  <c r="AC22" i="41" s="1"/>
  <c r="D23" i="41"/>
  <c r="F23" i="41"/>
  <c r="W23" i="41"/>
  <c r="AC23" i="41"/>
  <c r="D24" i="41"/>
  <c r="F24" i="41"/>
  <c r="W24" i="41" s="1"/>
  <c r="AC24" i="41" s="1"/>
  <c r="D25" i="41"/>
  <c r="F25" i="41" s="1"/>
  <c r="W25" i="41" s="1"/>
  <c r="AC25" i="41" s="1"/>
  <c r="D26" i="41"/>
  <c r="F26" i="41"/>
  <c r="W26" i="41"/>
  <c r="AC26" i="41"/>
  <c r="D27" i="41"/>
  <c r="F27" i="41"/>
  <c r="W27" i="41"/>
  <c r="AC27" i="41"/>
  <c r="D28" i="41"/>
  <c r="F28" i="41"/>
  <c r="W28" i="41"/>
  <c r="AC28" i="41" s="1"/>
  <c r="D29" i="41"/>
  <c r="F29" i="41"/>
  <c r="W29" i="41"/>
  <c r="AC29" i="41"/>
  <c r="D30" i="41"/>
  <c r="F30" i="41"/>
  <c r="W30" i="41"/>
  <c r="AC30" i="41" s="1"/>
  <c r="D31" i="41"/>
  <c r="F31" i="41" s="1"/>
  <c r="W31" i="41" s="1"/>
  <c r="AC31" i="41" s="1"/>
  <c r="D32" i="41"/>
  <c r="F32" i="41"/>
  <c r="W32" i="41"/>
  <c r="AC32" i="41"/>
  <c r="B33" i="41"/>
  <c r="B39" i="41" s="1"/>
  <c r="C33" i="41"/>
  <c r="C39" i="41" s="1"/>
  <c r="E33" i="41"/>
  <c r="E39" i="41" s="1"/>
  <c r="G33" i="41"/>
  <c r="G39" i="41" s="1"/>
  <c r="H33" i="41"/>
  <c r="H39" i="41" s="1"/>
  <c r="I33" i="41"/>
  <c r="I39" i="41" s="1"/>
  <c r="J33" i="41"/>
  <c r="J39" i="41" s="1"/>
  <c r="K33" i="41"/>
  <c r="L33" i="41"/>
  <c r="M33" i="41"/>
  <c r="M39" i="41" s="1"/>
  <c r="N33" i="41"/>
  <c r="N39" i="41" s="1"/>
  <c r="O33" i="41"/>
  <c r="O39" i="41" s="1"/>
  <c r="P33" i="41"/>
  <c r="P39" i="41" s="1"/>
  <c r="Q33" i="41"/>
  <c r="Q39" i="41" s="1"/>
  <c r="R33" i="41"/>
  <c r="R39" i="41" s="1"/>
  <c r="S33" i="41"/>
  <c r="S39" i="41" s="1"/>
  <c r="T33" i="41"/>
  <c r="T39" i="41" s="1"/>
  <c r="U33" i="41"/>
  <c r="U39" i="41" s="1"/>
  <c r="V33" i="41"/>
  <c r="V39" i="41" s="1"/>
  <c r="Y33" i="41"/>
  <c r="AA33" i="41"/>
  <c r="AA36" i="41" s="1"/>
  <c r="D34" i="41"/>
  <c r="F34" i="41"/>
  <c r="W34" i="41"/>
  <c r="AC34" i="41" s="1"/>
  <c r="D35" i="41"/>
  <c r="F35" i="41" s="1"/>
  <c r="AC35" i="41"/>
  <c r="D36" i="41"/>
  <c r="F36" i="41"/>
  <c r="W36" i="41"/>
  <c r="D37" i="41"/>
  <c r="F37" i="41"/>
  <c r="W37" i="41" s="1"/>
  <c r="AC37" i="41" s="1"/>
  <c r="D38" i="41"/>
  <c r="F38" i="41"/>
  <c r="W38" i="41"/>
  <c r="AC38" i="41"/>
  <c r="K39" i="41"/>
  <c r="L39" i="41"/>
  <c r="E52" i="41"/>
  <c r="E55" i="41"/>
  <c r="AC10" i="53" l="1"/>
  <c r="AC33" i="53" s="1"/>
  <c r="AC39" i="53" s="1"/>
  <c r="W33" i="53"/>
  <c r="W33" i="52"/>
  <c r="W39" i="52" s="1"/>
  <c r="AC10" i="52"/>
  <c r="AC33" i="50"/>
  <c r="AC10" i="48"/>
  <c r="W33" i="48"/>
  <c r="W39" i="48" s="1"/>
  <c r="W33" i="46"/>
  <c r="W39" i="46" s="1"/>
  <c r="AC10" i="46"/>
  <c r="D39" i="46"/>
  <c r="F33" i="42"/>
  <c r="F39" i="42" s="1"/>
  <c r="W10" i="42"/>
  <c r="F33" i="41"/>
  <c r="F39" i="41" s="1"/>
  <c r="W10" i="41"/>
  <c r="Y36" i="41"/>
  <c r="AC36" i="41" s="1"/>
  <c r="W39" i="53" l="1"/>
  <c r="AC33" i="52"/>
  <c r="AC39" i="50"/>
  <c r="AC33" i="48"/>
  <c r="AC33" i="46"/>
  <c r="W33" i="42"/>
  <c r="W39" i="42" s="1"/>
  <c r="AC10" i="42"/>
  <c r="W33" i="41"/>
  <c r="W39" i="41" s="1"/>
  <c r="AC10" i="41"/>
  <c r="AC33" i="41" s="1"/>
  <c r="AC39" i="41" s="1"/>
  <c r="Y39" i="41"/>
  <c r="E52" i="35"/>
  <c r="E55" i="35" s="1"/>
  <c r="D38" i="35"/>
  <c r="F38" i="35" s="1"/>
  <c r="W38" i="35" s="1"/>
  <c r="AC38" i="35" s="1"/>
  <c r="D37" i="35"/>
  <c r="F37" i="35" s="1"/>
  <c r="W37" i="35" s="1"/>
  <c r="AC37" i="35" s="1"/>
  <c r="AA36" i="35"/>
  <c r="D36" i="35"/>
  <c r="F36" i="35" s="1"/>
  <c r="W36" i="35" s="1"/>
  <c r="AC35" i="35"/>
  <c r="D35" i="35"/>
  <c r="F35" i="35" s="1"/>
  <c r="D34" i="35"/>
  <c r="F34" i="35" s="1"/>
  <c r="W34" i="35" s="1"/>
  <c r="AC34" i="35" s="1"/>
  <c r="AA33" i="35"/>
  <c r="Y33" i="35"/>
  <c r="V33" i="35"/>
  <c r="V39" i="35" s="1"/>
  <c r="U33" i="35"/>
  <c r="U39" i="35" s="1"/>
  <c r="T33" i="35"/>
  <c r="T39" i="35" s="1"/>
  <c r="S33" i="35"/>
  <c r="S39" i="35" s="1"/>
  <c r="R33" i="35"/>
  <c r="R39" i="35" s="1"/>
  <c r="Q33" i="35"/>
  <c r="Q39" i="35" s="1"/>
  <c r="P33" i="35"/>
  <c r="P39" i="35" s="1"/>
  <c r="O33" i="35"/>
  <c r="O39" i="35" s="1"/>
  <c r="N33" i="35"/>
  <c r="N39" i="35" s="1"/>
  <c r="M33" i="35"/>
  <c r="M39" i="35" s="1"/>
  <c r="L33" i="35"/>
  <c r="L39" i="35" s="1"/>
  <c r="K33" i="35"/>
  <c r="K39" i="35" s="1"/>
  <c r="J33" i="35"/>
  <c r="J39" i="35" s="1"/>
  <c r="I33" i="35"/>
  <c r="I39" i="35" s="1"/>
  <c r="H33" i="35"/>
  <c r="H39" i="35" s="1"/>
  <c r="G33" i="35"/>
  <c r="G39" i="35" s="1"/>
  <c r="E33" i="35"/>
  <c r="E39" i="35" s="1"/>
  <c r="C33" i="35"/>
  <c r="C39" i="35" s="1"/>
  <c r="B33" i="35"/>
  <c r="B39" i="35" s="1"/>
  <c r="D32" i="35"/>
  <c r="F32" i="35" s="1"/>
  <c r="W32" i="35" s="1"/>
  <c r="AC32" i="35" s="1"/>
  <c r="D31" i="35"/>
  <c r="F31" i="35" s="1"/>
  <c r="W31" i="35" s="1"/>
  <c r="AC31" i="35" s="1"/>
  <c r="D30" i="35"/>
  <c r="F30" i="35" s="1"/>
  <c r="W30" i="35" s="1"/>
  <c r="AC30" i="35" s="1"/>
  <c r="D29" i="35"/>
  <c r="F29" i="35" s="1"/>
  <c r="W29" i="35" s="1"/>
  <c r="AC29" i="35" s="1"/>
  <c r="D28" i="35"/>
  <c r="F28" i="35" s="1"/>
  <c r="W28" i="35" s="1"/>
  <c r="AC28" i="35" s="1"/>
  <c r="D27" i="35"/>
  <c r="F27" i="35" s="1"/>
  <c r="W27" i="35" s="1"/>
  <c r="AC27" i="35" s="1"/>
  <c r="D26" i="35"/>
  <c r="F26" i="35" s="1"/>
  <c r="W26" i="35" s="1"/>
  <c r="AC26" i="35" s="1"/>
  <c r="D25" i="35"/>
  <c r="F25" i="35" s="1"/>
  <c r="W25" i="35" s="1"/>
  <c r="AC25" i="35" s="1"/>
  <c r="D24" i="35"/>
  <c r="F24" i="35" s="1"/>
  <c r="W24" i="35" s="1"/>
  <c r="AC24" i="35" s="1"/>
  <c r="D23" i="35"/>
  <c r="F23" i="35" s="1"/>
  <c r="W23" i="35" s="1"/>
  <c r="AC23" i="35" s="1"/>
  <c r="D22" i="35"/>
  <c r="F22" i="35" s="1"/>
  <c r="W22" i="35" s="1"/>
  <c r="AC22" i="35" s="1"/>
  <c r="D21" i="35"/>
  <c r="F21" i="35" s="1"/>
  <c r="W21" i="35" s="1"/>
  <c r="AC21" i="35" s="1"/>
  <c r="D20" i="35"/>
  <c r="F20" i="35" s="1"/>
  <c r="W20" i="35" s="1"/>
  <c r="AC20" i="35" s="1"/>
  <c r="D19" i="35"/>
  <c r="F19" i="35" s="1"/>
  <c r="W19" i="35" s="1"/>
  <c r="AC19" i="35" s="1"/>
  <c r="D18" i="35"/>
  <c r="F18" i="35" s="1"/>
  <c r="W18" i="35" s="1"/>
  <c r="AC18" i="35" s="1"/>
  <c r="D17" i="35"/>
  <c r="F17" i="35" s="1"/>
  <c r="W17" i="35" s="1"/>
  <c r="AC17" i="35" s="1"/>
  <c r="D16" i="35"/>
  <c r="F16" i="35" s="1"/>
  <c r="W16" i="35" s="1"/>
  <c r="AC16" i="35" s="1"/>
  <c r="D15" i="35"/>
  <c r="D14" i="35"/>
  <c r="F14" i="35" s="1"/>
  <c r="W14" i="35" s="1"/>
  <c r="AC14" i="35" s="1"/>
  <c r="D13" i="35"/>
  <c r="F13" i="35" s="1"/>
  <c r="W13" i="35" s="1"/>
  <c r="AC13" i="35" s="1"/>
  <c r="D12" i="35"/>
  <c r="F12" i="35" s="1"/>
  <c r="W12" i="35" s="1"/>
  <c r="AC12" i="35" s="1"/>
  <c r="D11" i="35"/>
  <c r="F11" i="35" s="1"/>
  <c r="W11" i="35" s="1"/>
  <c r="AC11" i="35" s="1"/>
  <c r="D10" i="35"/>
  <c r="F10" i="35" s="1"/>
  <c r="AC39" i="52" l="1"/>
  <c r="AC39" i="48"/>
  <c r="AC39" i="46"/>
  <c r="AH33" i="46"/>
  <c r="D33" i="35"/>
  <c r="D39" i="35" s="1"/>
  <c r="Y36" i="35"/>
  <c r="Y39" i="35" s="1"/>
  <c r="AC33" i="42"/>
  <c r="W10" i="35"/>
  <c r="F15" i="35"/>
  <c r="W15" i="35" s="1"/>
  <c r="AC15" i="35" s="1"/>
  <c r="E52" i="33"/>
  <c r="E55" i="33" s="1"/>
  <c r="AB41" i="33"/>
  <c r="AB42" i="33" s="1"/>
  <c r="AA41" i="33"/>
  <c r="AA42" i="33" s="1"/>
  <c r="Z41" i="33"/>
  <c r="J39" i="33"/>
  <c r="I39" i="33"/>
  <c r="E39" i="33"/>
  <c r="D38" i="33"/>
  <c r="F38" i="33" s="1"/>
  <c r="W38" i="33" s="1"/>
  <c r="AC38" i="33" s="1"/>
  <c r="D37" i="33"/>
  <c r="F37" i="33" s="1"/>
  <c r="W37" i="33" s="1"/>
  <c r="AC37" i="33" s="1"/>
  <c r="D36" i="33"/>
  <c r="F36" i="33" s="1"/>
  <c r="W36" i="33" s="1"/>
  <c r="AC35" i="33"/>
  <c r="D35" i="33"/>
  <c r="F35" i="33" s="1"/>
  <c r="D34" i="33"/>
  <c r="F34" i="33" s="1"/>
  <c r="W34" i="33" s="1"/>
  <c r="AC34" i="33" s="1"/>
  <c r="AA33" i="33"/>
  <c r="AA36" i="33" s="1"/>
  <c r="Y33" i="33"/>
  <c r="Y36" i="33" s="1"/>
  <c r="Y39" i="33" s="1"/>
  <c r="V33" i="33"/>
  <c r="V39" i="33" s="1"/>
  <c r="U33" i="33"/>
  <c r="U39" i="33" s="1"/>
  <c r="T33" i="33"/>
  <c r="T39" i="33" s="1"/>
  <c r="S33" i="33"/>
  <c r="S39" i="33" s="1"/>
  <c r="R33" i="33"/>
  <c r="R39" i="33" s="1"/>
  <c r="Q33" i="33"/>
  <c r="Q39" i="33" s="1"/>
  <c r="P33" i="33"/>
  <c r="P39" i="33" s="1"/>
  <c r="O33" i="33"/>
  <c r="O39" i="33" s="1"/>
  <c r="N33" i="33"/>
  <c r="N39" i="33" s="1"/>
  <c r="M33" i="33"/>
  <c r="M39" i="33" s="1"/>
  <c r="L33" i="33"/>
  <c r="L39" i="33" s="1"/>
  <c r="K33" i="33"/>
  <c r="K39" i="33" s="1"/>
  <c r="J33" i="33"/>
  <c r="I33" i="33"/>
  <c r="H33" i="33"/>
  <c r="H39" i="33" s="1"/>
  <c r="G33" i="33"/>
  <c r="G39" i="33" s="1"/>
  <c r="E33" i="33"/>
  <c r="C33" i="33"/>
  <c r="C39" i="33" s="1"/>
  <c r="B33" i="33"/>
  <c r="B39" i="33" s="1"/>
  <c r="D32" i="33"/>
  <c r="F32" i="33" s="1"/>
  <c r="W32" i="33" s="1"/>
  <c r="AC32" i="33" s="1"/>
  <c r="D31" i="33"/>
  <c r="F31" i="33" s="1"/>
  <c r="W31" i="33" s="1"/>
  <c r="AC31" i="33" s="1"/>
  <c r="D30" i="33"/>
  <c r="F30" i="33" s="1"/>
  <c r="W30" i="33" s="1"/>
  <c r="AC30" i="33" s="1"/>
  <c r="D29" i="33"/>
  <c r="F29" i="33" s="1"/>
  <c r="W29" i="33" s="1"/>
  <c r="AC29" i="33" s="1"/>
  <c r="D28" i="33"/>
  <c r="F28" i="33" s="1"/>
  <c r="W28" i="33" s="1"/>
  <c r="AC28" i="33" s="1"/>
  <c r="D27" i="33"/>
  <c r="F27" i="33" s="1"/>
  <c r="W27" i="33" s="1"/>
  <c r="AC27" i="33" s="1"/>
  <c r="D26" i="33"/>
  <c r="F26" i="33" s="1"/>
  <c r="W26" i="33" s="1"/>
  <c r="AC26" i="33" s="1"/>
  <c r="D25" i="33"/>
  <c r="F25" i="33" s="1"/>
  <c r="W25" i="33" s="1"/>
  <c r="AC25" i="33" s="1"/>
  <c r="D24" i="33"/>
  <c r="F24" i="33" s="1"/>
  <c r="W24" i="33" s="1"/>
  <c r="AC24" i="33" s="1"/>
  <c r="D23" i="33"/>
  <c r="F23" i="33" s="1"/>
  <c r="W23" i="33" s="1"/>
  <c r="AC23" i="33" s="1"/>
  <c r="D22" i="33"/>
  <c r="F22" i="33" s="1"/>
  <c r="W22" i="33" s="1"/>
  <c r="AC22" i="33" s="1"/>
  <c r="D21" i="33"/>
  <c r="F21" i="33" s="1"/>
  <c r="W21" i="33" s="1"/>
  <c r="AC21" i="33" s="1"/>
  <c r="D20" i="33"/>
  <c r="F20" i="33" s="1"/>
  <c r="W20" i="33" s="1"/>
  <c r="AC20" i="33" s="1"/>
  <c r="D19" i="33"/>
  <c r="F19" i="33" s="1"/>
  <c r="W19" i="33" s="1"/>
  <c r="AC19" i="33" s="1"/>
  <c r="D18" i="33"/>
  <c r="F18" i="33" s="1"/>
  <c r="W18" i="33" s="1"/>
  <c r="AC18" i="33" s="1"/>
  <c r="D17" i="33"/>
  <c r="F17" i="33" s="1"/>
  <c r="W17" i="33" s="1"/>
  <c r="AC17" i="33" s="1"/>
  <c r="D16" i="33"/>
  <c r="F16" i="33" s="1"/>
  <c r="W16" i="33" s="1"/>
  <c r="AC16" i="33" s="1"/>
  <c r="D15" i="33"/>
  <c r="F15" i="33" s="1"/>
  <c r="W15" i="33" s="1"/>
  <c r="AC15" i="33" s="1"/>
  <c r="D14" i="33"/>
  <c r="F14" i="33" s="1"/>
  <c r="W14" i="33" s="1"/>
  <c r="AC14" i="33" s="1"/>
  <c r="D13" i="33"/>
  <c r="F13" i="33" s="1"/>
  <c r="W13" i="33" s="1"/>
  <c r="AC13" i="33" s="1"/>
  <c r="D12" i="33"/>
  <c r="F12" i="33" s="1"/>
  <c r="W12" i="33" s="1"/>
  <c r="AC12" i="33" s="1"/>
  <c r="D11" i="33"/>
  <c r="F11" i="33" s="1"/>
  <c r="W11" i="33" s="1"/>
  <c r="AC11" i="33" s="1"/>
  <c r="D10" i="33"/>
  <c r="D33" i="33" l="1"/>
  <c r="D39" i="33" s="1"/>
  <c r="F10" i="33"/>
  <c r="AC36" i="33"/>
  <c r="AC36" i="35"/>
  <c r="AC39" i="42"/>
  <c r="AC10" i="35"/>
  <c r="AC33" i="35" s="1"/>
  <c r="AC39" i="35" s="1"/>
  <c r="W33" i="35"/>
  <c r="W39" i="35" s="1"/>
  <c r="F33" i="35"/>
  <c r="F39" i="35" s="1"/>
  <c r="F33" i="33"/>
  <c r="F39" i="33" s="1"/>
  <c r="W10" i="33"/>
  <c r="E52" i="30"/>
  <c r="E55" i="30" s="1"/>
  <c r="M39" i="30"/>
  <c r="L39" i="30"/>
  <c r="K39" i="30"/>
  <c r="D38" i="30"/>
  <c r="F38" i="30" s="1"/>
  <c r="W38" i="30" s="1"/>
  <c r="AC38" i="30" s="1"/>
  <c r="D37" i="30"/>
  <c r="F37" i="30" s="1"/>
  <c r="W37" i="30" s="1"/>
  <c r="AC37" i="30" s="1"/>
  <c r="D36" i="30"/>
  <c r="F36" i="30" s="1"/>
  <c r="W36" i="30" s="1"/>
  <c r="AC35" i="30"/>
  <c r="D35" i="30"/>
  <c r="F35" i="30" s="1"/>
  <c r="D34" i="30"/>
  <c r="F34" i="30" s="1"/>
  <c r="W34" i="30" s="1"/>
  <c r="AC34" i="30" s="1"/>
  <c r="AA33" i="30"/>
  <c r="AA36" i="30" s="1"/>
  <c r="Y33" i="30"/>
  <c r="Y36" i="30" s="1"/>
  <c r="V33" i="30"/>
  <c r="V39" i="30" s="1"/>
  <c r="U33" i="30"/>
  <c r="U39" i="30" s="1"/>
  <c r="T33" i="30"/>
  <c r="T39" i="30" s="1"/>
  <c r="S33" i="30"/>
  <c r="S39" i="30" s="1"/>
  <c r="R33" i="30"/>
  <c r="R39" i="30" s="1"/>
  <c r="Q33" i="30"/>
  <c r="Q39" i="30" s="1"/>
  <c r="P33" i="30"/>
  <c r="P39" i="30" s="1"/>
  <c r="O33" i="30"/>
  <c r="O39" i="30" s="1"/>
  <c r="N33" i="30"/>
  <c r="N39" i="30" s="1"/>
  <c r="M33" i="30"/>
  <c r="L33" i="30"/>
  <c r="K33" i="30"/>
  <c r="J33" i="30"/>
  <c r="J39" i="30" s="1"/>
  <c r="I33" i="30"/>
  <c r="I39" i="30" s="1"/>
  <c r="H33" i="30"/>
  <c r="H39" i="30" s="1"/>
  <c r="G33" i="30"/>
  <c r="G39" i="30" s="1"/>
  <c r="E33" i="30"/>
  <c r="E39" i="30" s="1"/>
  <c r="C33" i="30"/>
  <c r="C39" i="30" s="1"/>
  <c r="B33" i="30"/>
  <c r="B39" i="30" s="1"/>
  <c r="D32" i="30"/>
  <c r="F32" i="30" s="1"/>
  <c r="W32" i="30" s="1"/>
  <c r="AC32" i="30" s="1"/>
  <c r="D31" i="30"/>
  <c r="F31" i="30" s="1"/>
  <c r="W31" i="30" s="1"/>
  <c r="AC31" i="30" s="1"/>
  <c r="D30" i="30"/>
  <c r="F30" i="30" s="1"/>
  <c r="W30" i="30" s="1"/>
  <c r="AC30" i="30" s="1"/>
  <c r="D29" i="30"/>
  <c r="F29" i="30" s="1"/>
  <c r="W29" i="30" s="1"/>
  <c r="AC29" i="30" s="1"/>
  <c r="D28" i="30"/>
  <c r="F28" i="30" s="1"/>
  <c r="W28" i="30" s="1"/>
  <c r="AC28" i="30" s="1"/>
  <c r="D27" i="30"/>
  <c r="F27" i="30" s="1"/>
  <c r="W27" i="30" s="1"/>
  <c r="AC27" i="30" s="1"/>
  <c r="D26" i="30"/>
  <c r="F26" i="30" s="1"/>
  <c r="W26" i="30" s="1"/>
  <c r="AC26" i="30" s="1"/>
  <c r="D25" i="30"/>
  <c r="F25" i="30" s="1"/>
  <c r="W25" i="30" s="1"/>
  <c r="AC25" i="30" s="1"/>
  <c r="D24" i="30"/>
  <c r="F24" i="30" s="1"/>
  <c r="W24" i="30" s="1"/>
  <c r="AC24" i="30" s="1"/>
  <c r="D23" i="30"/>
  <c r="F23" i="30" s="1"/>
  <c r="W23" i="30" s="1"/>
  <c r="AC23" i="30" s="1"/>
  <c r="D22" i="30"/>
  <c r="F22" i="30" s="1"/>
  <c r="W22" i="30" s="1"/>
  <c r="AC22" i="30" s="1"/>
  <c r="D21" i="30"/>
  <c r="F21" i="30" s="1"/>
  <c r="W21" i="30" s="1"/>
  <c r="AC21" i="30" s="1"/>
  <c r="D20" i="30"/>
  <c r="F20" i="30" s="1"/>
  <c r="W20" i="30" s="1"/>
  <c r="AC20" i="30" s="1"/>
  <c r="D19" i="30"/>
  <c r="F19" i="30" s="1"/>
  <c r="W19" i="30" s="1"/>
  <c r="AC19" i="30" s="1"/>
  <c r="D18" i="30"/>
  <c r="F18" i="30" s="1"/>
  <c r="W18" i="30" s="1"/>
  <c r="AC18" i="30" s="1"/>
  <c r="D17" i="30"/>
  <c r="F17" i="30" s="1"/>
  <c r="W17" i="30" s="1"/>
  <c r="AC17" i="30" s="1"/>
  <c r="D16" i="30"/>
  <c r="F16" i="30" s="1"/>
  <c r="W16" i="30" s="1"/>
  <c r="AC16" i="30" s="1"/>
  <c r="D15" i="30"/>
  <c r="D14" i="30"/>
  <c r="F14" i="30" s="1"/>
  <c r="W14" i="30" s="1"/>
  <c r="AC14" i="30" s="1"/>
  <c r="D13" i="30"/>
  <c r="F13" i="30" s="1"/>
  <c r="W13" i="30" s="1"/>
  <c r="AC13" i="30" s="1"/>
  <c r="D12" i="30"/>
  <c r="F12" i="30" s="1"/>
  <c r="W12" i="30" s="1"/>
  <c r="AC12" i="30" s="1"/>
  <c r="D11" i="30"/>
  <c r="F11" i="30" s="1"/>
  <c r="W11" i="30" s="1"/>
  <c r="AC11" i="30" s="1"/>
  <c r="D10" i="30"/>
  <c r="F10" i="30" s="1"/>
  <c r="AC36" i="30" l="1"/>
  <c r="Y39" i="30"/>
  <c r="D33" i="30"/>
  <c r="D39" i="30" s="1"/>
  <c r="W33" i="33"/>
  <c r="W39" i="33" s="1"/>
  <c r="AC10" i="33"/>
  <c r="AC33" i="33" s="1"/>
  <c r="AC39" i="33" s="1"/>
  <c r="W10" i="30"/>
  <c r="F15" i="30"/>
  <c r="W15" i="30" s="1"/>
  <c r="AC15" i="30" s="1"/>
  <c r="D37" i="28"/>
  <c r="D36" i="28"/>
  <c r="AC35" i="28"/>
  <c r="D35" i="28"/>
  <c r="F35" i="28" s="1"/>
  <c r="D34" i="28"/>
  <c r="D32" i="28"/>
  <c r="F32" i="28" s="1"/>
  <c r="D30" i="28"/>
  <c r="D28" i="28"/>
  <c r="F28" i="28" s="1"/>
  <c r="D27" i="28"/>
  <c r="F27" i="28" s="1"/>
  <c r="D26" i="28"/>
  <c r="F26" i="28" s="1"/>
  <c r="D25" i="28"/>
  <c r="D24" i="28"/>
  <c r="F24" i="28" s="1"/>
  <c r="D22" i="28"/>
  <c r="D20" i="28"/>
  <c r="F20" i="28" s="1"/>
  <c r="D19" i="28"/>
  <c r="F19" i="28" s="1"/>
  <c r="D18" i="28"/>
  <c r="F18" i="28" s="1"/>
  <c r="D17" i="28"/>
  <c r="D16" i="28"/>
  <c r="F16" i="28" s="1"/>
  <c r="D12" i="28"/>
  <c r="F12" i="28" s="1"/>
  <c r="D11" i="28"/>
  <c r="F11" i="28" s="1"/>
  <c r="F34" i="28" l="1"/>
  <c r="F30" i="28"/>
  <c r="W30" i="28" s="1"/>
  <c r="AC30" i="28" s="1"/>
  <c r="F37" i="28"/>
  <c r="W37" i="28" s="1"/>
  <c r="AC37" i="28" s="1"/>
  <c r="W12" i="28"/>
  <c r="AC12" i="28" s="1"/>
  <c r="F17" i="28"/>
  <c r="F25" i="28"/>
  <c r="W25" i="28" s="1"/>
  <c r="AC25" i="28" s="1"/>
  <c r="D21" i="28"/>
  <c r="F21" i="28" s="1"/>
  <c r="W21" i="28" s="1"/>
  <c r="AC21" i="28" s="1"/>
  <c r="D14" i="28"/>
  <c r="F14" i="28" s="1"/>
  <c r="W14" i="28" s="1"/>
  <c r="AC14" i="28" s="1"/>
  <c r="W20" i="28"/>
  <c r="AC20" i="28" s="1"/>
  <c r="W28" i="28"/>
  <c r="AC28" i="28" s="1"/>
  <c r="D31" i="28"/>
  <c r="F31" i="28" s="1"/>
  <c r="W31" i="28" s="1"/>
  <c r="AC31" i="28" s="1"/>
  <c r="D38" i="28"/>
  <c r="F38" i="28" s="1"/>
  <c r="W38" i="28" s="1"/>
  <c r="AC38" i="28" s="1"/>
  <c r="F33" i="30"/>
  <c r="F39" i="30" s="1"/>
  <c r="W33" i="30"/>
  <c r="W39" i="30" s="1"/>
  <c r="AC10" i="30"/>
  <c r="AC33" i="30" s="1"/>
  <c r="AC39" i="30" s="1"/>
  <c r="W11" i="28"/>
  <c r="AC11" i="28" s="1"/>
  <c r="W19" i="28"/>
  <c r="AC19" i="28" s="1"/>
  <c r="W27" i="28"/>
  <c r="AC27" i="28" s="1"/>
  <c r="O33" i="28"/>
  <c r="O39" i="28" s="1"/>
  <c r="W34" i="28"/>
  <c r="AC34" i="28" s="1"/>
  <c r="W16" i="28"/>
  <c r="AC16" i="28" s="1"/>
  <c r="R33" i="28"/>
  <c r="R39" i="28" s="1"/>
  <c r="D13" i="28"/>
  <c r="F13" i="28" s="1"/>
  <c r="W13" i="28" s="1"/>
  <c r="AC13" i="28" s="1"/>
  <c r="D29" i="28"/>
  <c r="F29" i="28" s="1"/>
  <c r="W29" i="28" s="1"/>
  <c r="AC29" i="28" s="1"/>
  <c r="E33" i="28"/>
  <c r="E39" i="28" s="1"/>
  <c r="D10" i="28"/>
  <c r="W18" i="28"/>
  <c r="AC18" i="28" s="1"/>
  <c r="W26" i="28"/>
  <c r="AC26" i="28" s="1"/>
  <c r="F36" i="28"/>
  <c r="W36" i="28" s="1"/>
  <c r="G33" i="28"/>
  <c r="G39" i="28" s="1"/>
  <c r="Q33" i="28"/>
  <c r="Q39" i="28" s="1"/>
  <c r="H33" i="28"/>
  <c r="H39" i="28" s="1"/>
  <c r="W17" i="28"/>
  <c r="AC17" i="28" s="1"/>
  <c r="K33" i="28"/>
  <c r="K39" i="28" s="1"/>
  <c r="L33" i="28"/>
  <c r="L39" i="28" s="1"/>
  <c r="U33" i="28"/>
  <c r="U39" i="28" s="1"/>
  <c r="P33" i="28"/>
  <c r="P39" i="28" s="1"/>
  <c r="S33" i="28"/>
  <c r="S39" i="28" s="1"/>
  <c r="W24" i="28"/>
  <c r="AC24" i="28" s="1"/>
  <c r="N33" i="28"/>
  <c r="N39" i="28" s="1"/>
  <c r="D15" i="28"/>
  <c r="F15" i="28" s="1"/>
  <c r="W15" i="28" s="1"/>
  <c r="AC15" i="28" s="1"/>
  <c r="D23" i="28"/>
  <c r="F23" i="28" s="1"/>
  <c r="W23" i="28" s="1"/>
  <c r="AC23" i="28" s="1"/>
  <c r="I33" i="28"/>
  <c r="I39" i="28" s="1"/>
  <c r="T33" i="28"/>
  <c r="T39" i="28" s="1"/>
  <c r="M33" i="28"/>
  <c r="M39" i="28" s="1"/>
  <c r="V33" i="28"/>
  <c r="V39" i="28" s="1"/>
  <c r="Y33" i="28"/>
  <c r="Y36" i="28" s="1"/>
  <c r="F22" i="28"/>
  <c r="W22" i="28" s="1"/>
  <c r="AC22" i="28" s="1"/>
  <c r="J33" i="28"/>
  <c r="J39" i="28" s="1"/>
  <c r="W32" i="28"/>
  <c r="AC32" i="28" s="1"/>
  <c r="AA33" i="28"/>
  <c r="AA36" i="28" s="1"/>
  <c r="F10" i="28"/>
  <c r="B33" i="28"/>
  <c r="B39" i="28" s="1"/>
  <c r="C33" i="28"/>
  <c r="C39" i="28" s="1"/>
  <c r="E52" i="28"/>
  <c r="D10" i="25"/>
  <c r="F10" i="25" s="1"/>
  <c r="D11" i="25"/>
  <c r="F11" i="25" s="1"/>
  <c r="W11" i="25" s="1"/>
  <c r="AC11" i="25" s="1"/>
  <c r="D12" i="25"/>
  <c r="F12" i="25"/>
  <c r="W12" i="25"/>
  <c r="AC12" i="25"/>
  <c r="D13" i="25"/>
  <c r="F13" i="25"/>
  <c r="W13" i="25"/>
  <c r="AC13" i="25"/>
  <c r="D14" i="25"/>
  <c r="F14" i="25"/>
  <c r="W14" i="25"/>
  <c r="AC14" i="25"/>
  <c r="D15" i="25"/>
  <c r="F15" i="25"/>
  <c r="W15" i="25" s="1"/>
  <c r="AC15" i="25" s="1"/>
  <c r="D16" i="25"/>
  <c r="F16" i="25" s="1"/>
  <c r="W16" i="25" s="1"/>
  <c r="AC16" i="25" s="1"/>
  <c r="D17" i="25"/>
  <c r="F17" i="25" s="1"/>
  <c r="W17" i="25" s="1"/>
  <c r="AC17" i="25" s="1"/>
  <c r="D18" i="25"/>
  <c r="F18" i="25"/>
  <c r="W18" i="25" s="1"/>
  <c r="AC18" i="25" s="1"/>
  <c r="D19" i="25"/>
  <c r="F19" i="25" s="1"/>
  <c r="W19" i="25" s="1"/>
  <c r="AC19" i="25" s="1"/>
  <c r="D20" i="25"/>
  <c r="F20" i="25"/>
  <c r="W20" i="25"/>
  <c r="AC20" i="25"/>
  <c r="D21" i="25"/>
  <c r="F21" i="25"/>
  <c r="W21" i="25"/>
  <c r="AC21" i="25" s="1"/>
  <c r="D22" i="25"/>
  <c r="F22" i="25" s="1"/>
  <c r="W22" i="25" s="1"/>
  <c r="AC22" i="25" s="1"/>
  <c r="D23" i="25"/>
  <c r="F23" i="25" s="1"/>
  <c r="W23" i="25" s="1"/>
  <c r="AC23" i="25" s="1"/>
  <c r="D24" i="25"/>
  <c r="F24" i="25"/>
  <c r="W24" i="25" s="1"/>
  <c r="AC24" i="25" s="1"/>
  <c r="D25" i="25"/>
  <c r="F25" i="25" s="1"/>
  <c r="W25" i="25" s="1"/>
  <c r="AC25" i="25" s="1"/>
  <c r="D26" i="25"/>
  <c r="F26" i="25" s="1"/>
  <c r="W26" i="25" s="1"/>
  <c r="AC26" i="25" s="1"/>
  <c r="D27" i="25"/>
  <c r="F27" i="25" s="1"/>
  <c r="W27" i="25" s="1"/>
  <c r="AC27" i="25" s="1"/>
  <c r="D28" i="25"/>
  <c r="F28" i="25" s="1"/>
  <c r="W28" i="25" s="1"/>
  <c r="AC28" i="25" s="1"/>
  <c r="D29" i="25"/>
  <c r="F29" i="25" s="1"/>
  <c r="W29" i="25" s="1"/>
  <c r="AC29" i="25" s="1"/>
  <c r="D30" i="25"/>
  <c r="F30" i="25"/>
  <c r="W30" i="25"/>
  <c r="AC30" i="25"/>
  <c r="D31" i="25"/>
  <c r="F31" i="25"/>
  <c r="W31" i="25"/>
  <c r="AC31" i="25"/>
  <c r="D32" i="25"/>
  <c r="F32" i="25"/>
  <c r="W32" i="25"/>
  <c r="AC32" i="25" s="1"/>
  <c r="B33" i="25"/>
  <c r="B39" i="25" s="1"/>
  <c r="C33" i="25"/>
  <c r="C39" i="25" s="1"/>
  <c r="E33" i="25"/>
  <c r="E39" i="25" s="1"/>
  <c r="G33" i="25"/>
  <c r="H33" i="25"/>
  <c r="I33" i="25"/>
  <c r="I39" i="25" s="1"/>
  <c r="J33" i="25"/>
  <c r="K33" i="25"/>
  <c r="L33" i="25"/>
  <c r="L39" i="25" s="1"/>
  <c r="M33" i="25"/>
  <c r="M39" i="25" s="1"/>
  <c r="N33" i="25"/>
  <c r="N39" i="25" s="1"/>
  <c r="O33" i="25"/>
  <c r="O39" i="25" s="1"/>
  <c r="P33" i="25"/>
  <c r="P39" i="25" s="1"/>
  <c r="P40" i="25" s="1"/>
  <c r="Q33" i="25"/>
  <c r="Q39" i="25" s="1"/>
  <c r="R33" i="25"/>
  <c r="R39" i="25" s="1"/>
  <c r="S33" i="25"/>
  <c r="S39" i="25" s="1"/>
  <c r="T33" i="25"/>
  <c r="T39" i="25" s="1"/>
  <c r="T40" i="25" s="1"/>
  <c r="U33" i="25"/>
  <c r="U39" i="25" s="1"/>
  <c r="V33" i="25"/>
  <c r="V39" i="25" s="1"/>
  <c r="Y33" i="25"/>
  <c r="AA33" i="25"/>
  <c r="AA36" i="25" s="1"/>
  <c r="D34" i="25"/>
  <c r="F34" i="25"/>
  <c r="W34" i="25" s="1"/>
  <c r="AC34" i="25" s="1"/>
  <c r="D35" i="25"/>
  <c r="F35" i="25"/>
  <c r="AC35" i="25"/>
  <c r="D36" i="25"/>
  <c r="F36" i="25" s="1"/>
  <c r="W36" i="25" s="1"/>
  <c r="D37" i="25"/>
  <c r="F37" i="25" s="1"/>
  <c r="W37" i="25" s="1"/>
  <c r="AC37" i="25" s="1"/>
  <c r="D38" i="25"/>
  <c r="F38" i="25"/>
  <c r="W38" i="25"/>
  <c r="AC38" i="25"/>
  <c r="G39" i="25"/>
  <c r="H39" i="25"/>
  <c r="J39" i="25"/>
  <c r="K39" i="25"/>
  <c r="R40" i="25"/>
  <c r="B41" i="25"/>
  <c r="C41" i="25"/>
  <c r="E41" i="25"/>
  <c r="F41" i="25"/>
  <c r="G41" i="25"/>
  <c r="H41" i="25"/>
  <c r="I41" i="25"/>
  <c r="J41" i="25"/>
  <c r="K41" i="25"/>
  <c r="L41" i="25"/>
  <c r="M41" i="25"/>
  <c r="N41" i="25"/>
  <c r="O41" i="25"/>
  <c r="P41" i="25"/>
  <c r="Q41" i="25"/>
  <c r="R41" i="25"/>
  <c r="S41" i="25"/>
  <c r="T41" i="25"/>
  <c r="U41" i="25"/>
  <c r="V41" i="25"/>
  <c r="W41" i="25"/>
  <c r="X41" i="25"/>
  <c r="Y41" i="25"/>
  <c r="Z41" i="25"/>
  <c r="AA41" i="25"/>
  <c r="AB41" i="25"/>
  <c r="E52" i="25"/>
  <c r="E55" i="25"/>
  <c r="D33" i="28" l="1"/>
  <c r="D39" i="28" s="1"/>
  <c r="AC36" i="28"/>
  <c r="W10" i="28"/>
  <c r="F33" i="28"/>
  <c r="F39" i="28" s="1"/>
  <c r="Y39" i="28"/>
  <c r="E55" i="28"/>
  <c r="W10" i="25"/>
  <c r="F33" i="25"/>
  <c r="F39" i="25" s="1"/>
  <c r="D33" i="25"/>
  <c r="D39" i="25" s="1"/>
  <c r="Y36" i="25"/>
  <c r="Y39" i="25" s="1"/>
  <c r="W33" i="28" l="1"/>
  <c r="W39" i="28" s="1"/>
  <c r="AC10" i="28"/>
  <c r="AC36" i="25"/>
  <c r="AC10" i="25"/>
  <c r="AC33" i="25" s="1"/>
  <c r="AC39" i="25" s="1"/>
  <c r="W33" i="25"/>
  <c r="W39" i="25" s="1"/>
  <c r="AC33" i="28" l="1"/>
  <c r="AC39" i="28" l="1"/>
</calcChain>
</file>

<file path=xl/sharedStrings.xml><?xml version="1.0" encoding="utf-8"?>
<sst xmlns="http://schemas.openxmlformats.org/spreadsheetml/2006/main" count="1431" uniqueCount="121">
  <si>
    <t xml:space="preserve">B.N.A. S.I.D.I.F.  </t>
  </si>
  <si>
    <t>FUENTE:</t>
  </si>
  <si>
    <t xml:space="preserve"> Fondo Compensador</t>
  </si>
  <si>
    <t xml:space="preserve"> Ajuste Autarquía Afip (**)</t>
  </si>
  <si>
    <t xml:space="preserve"> Otros Coparticipados</t>
  </si>
  <si>
    <t xml:space="preserve"> Int.Pag. Y Costo Fciero.</t>
  </si>
  <si>
    <t xml:space="preserve"> Ganancia Mínima Presunta</t>
  </si>
  <si>
    <t xml:space="preserve">(**) Se incorpora el Fallo de La CSJN por la distribución de los costos de la Autarquía AFIP a La Provincia De Santa Fe y La Pampa. </t>
  </si>
  <si>
    <t xml:space="preserve"> Impuestos Internos</t>
  </si>
  <si>
    <t xml:space="preserve">(**) Se Incorpora El Fallo De La Csjn Por La Distribución De Los Costos De La Autarquía Afip A La Provincia De Santa Fe Y La Pampa. </t>
  </si>
  <si>
    <t>Asimismo se debe señalar que en el monto que se consigna en Organismos Vialidad corresponde a la parte de Nación (10,4%) del Impuesto a los Combustibles prevista en La Ley N° 23.966 y modificatorias.</t>
  </si>
  <si>
    <t xml:space="preserve"> Impuesto al Valor Agregado</t>
  </si>
  <si>
    <t xml:space="preserve"> (*) El Monto correspondiente al Tesoro Nacional se encuentra neto de la transferencia a la C.A.B.A. en concepto de Coparticipación Fiscal.</t>
  </si>
  <si>
    <t>Nota:</t>
  </si>
  <si>
    <t xml:space="preserve"> Impuesto a las Ganancias</t>
  </si>
  <si>
    <t>Total (**)</t>
  </si>
  <si>
    <t>Fondo A.T.N.</t>
  </si>
  <si>
    <t>Seguridad Social</t>
  </si>
  <si>
    <t>Tesoro Nacional (*)</t>
  </si>
  <si>
    <t>Fdo.Compensador</t>
  </si>
  <si>
    <t>C.A.B.A</t>
  </si>
  <si>
    <t>Provincias</t>
  </si>
  <si>
    <t>Tierra Del Fuego</t>
  </si>
  <si>
    <t>Tucumán</t>
  </si>
  <si>
    <t>Sgo. Del Estero</t>
  </si>
  <si>
    <t>Santa Fe</t>
  </si>
  <si>
    <t>Santa Cruz</t>
  </si>
  <si>
    <t>San Luis</t>
  </si>
  <si>
    <t>San Juan</t>
  </si>
  <si>
    <t>Salta</t>
  </si>
  <si>
    <t>Río Negro</t>
  </si>
  <si>
    <t>Neuquén</t>
  </si>
  <si>
    <t>Misiones</t>
  </si>
  <si>
    <t>Mendoza</t>
  </si>
  <si>
    <t>La Rioja</t>
  </si>
  <si>
    <t>La Pampa</t>
  </si>
  <si>
    <t>Jujuy</t>
  </si>
  <si>
    <t>Formosa</t>
  </si>
  <si>
    <t>Entre Ríos</t>
  </si>
  <si>
    <t>Chubut</t>
  </si>
  <si>
    <t>Chaco</t>
  </si>
  <si>
    <t>Corrientes</t>
  </si>
  <si>
    <t>Córdoba</t>
  </si>
  <si>
    <t>Catamarca</t>
  </si>
  <si>
    <t>Buenos Aires</t>
  </si>
  <si>
    <t>(2)</t>
  </si>
  <si>
    <t>(1)</t>
  </si>
  <si>
    <t>Aart. 59 Inc. A</t>
  </si>
  <si>
    <t>Desequilib.</t>
  </si>
  <si>
    <t>Tarifa Elect.</t>
  </si>
  <si>
    <t>Provincial</t>
  </si>
  <si>
    <t>Infraestr.</t>
  </si>
  <si>
    <t>Punto 2</t>
  </si>
  <si>
    <t>Ley Nº 23.906</t>
  </si>
  <si>
    <t>Art. 30</t>
  </si>
  <si>
    <t>Nº 24.699</t>
  </si>
  <si>
    <t>Nº 24.049</t>
  </si>
  <si>
    <t xml:space="preserve">(1) + (2) </t>
  </si>
  <si>
    <t xml:space="preserve">II. a y b; II. d y e </t>
  </si>
  <si>
    <t xml:space="preserve"> Origen Nacional</t>
  </si>
  <si>
    <t>Ley Nº 24.977</t>
  </si>
  <si>
    <t xml:space="preserve">de </t>
  </si>
  <si>
    <t>F.E.D.E.I.</t>
  </si>
  <si>
    <t>Fdo. P/Comp.</t>
  </si>
  <si>
    <t>FO.NA.VI.</t>
  </si>
  <si>
    <t>Vialidad</t>
  </si>
  <si>
    <t>Obras de</t>
  </si>
  <si>
    <t>Art. 5</t>
  </si>
  <si>
    <t>Fdo. Educ.</t>
  </si>
  <si>
    <t>Ley Nº 23.966</t>
  </si>
  <si>
    <t>Ley</t>
  </si>
  <si>
    <t>Ley Nº 26.075</t>
  </si>
  <si>
    <t>Total</t>
  </si>
  <si>
    <t xml:space="preserve">Consenso Fiscal </t>
  </si>
  <si>
    <t>Recursos</t>
  </si>
  <si>
    <t>P/Peq.Contrib.</t>
  </si>
  <si>
    <t>Compens.</t>
  </si>
  <si>
    <t>Ley Nº 24.464</t>
  </si>
  <si>
    <t>Ley Nº 23.966 y Nº 24.699</t>
  </si>
  <si>
    <t>Los Activos</t>
  </si>
  <si>
    <t>Bienes Personales</t>
  </si>
  <si>
    <t>Subtotal</t>
  </si>
  <si>
    <t>De Servicios</t>
  </si>
  <si>
    <t>Neta De</t>
  </si>
  <si>
    <t xml:space="preserve">Compensación </t>
  </si>
  <si>
    <t>Reg.Simplif.</t>
  </si>
  <si>
    <t>Fondo</t>
  </si>
  <si>
    <t>Régimen de la Energía Eléctrica</t>
  </si>
  <si>
    <t>Impuesto a los Combustibles Líquidos</t>
  </si>
  <si>
    <t>I.V.A.</t>
  </si>
  <si>
    <t>Impuesto s/</t>
  </si>
  <si>
    <t xml:space="preserve">Impuesto sobre los </t>
  </si>
  <si>
    <t xml:space="preserve">Transfer. </t>
  </si>
  <si>
    <t>C.F.I.</t>
  </si>
  <si>
    <t>PLANILLA N° 1.1</t>
  </si>
  <si>
    <t xml:space="preserve">Información provisoria sujeta a modificaciones </t>
  </si>
  <si>
    <t>SUBSECRETARÍA DE COORDINACIÓN FISCAL PROVINCIAL</t>
  </si>
  <si>
    <t>Educativo</t>
  </si>
  <si>
    <t>Financ.</t>
  </si>
  <si>
    <t>L E Y    Nº  2 4 . 0 6 5</t>
  </si>
  <si>
    <t xml:space="preserve"> Subtotal</t>
  </si>
  <si>
    <t xml:space="preserve"> Total</t>
  </si>
  <si>
    <t>Última actualización: 31/01/2025</t>
  </si>
  <si>
    <t>NOTA:</t>
  </si>
  <si>
    <t xml:space="preserve">(**) Se Incorpora El Fallo de La CSJN por la distribución de los costos de la autarquía AFIP a la Provincia de Santa Fe y La Pampa. </t>
  </si>
  <si>
    <t>Última actualización: 10/03/2025</t>
  </si>
  <si>
    <t>Información provisoria sujeta a modificaciones</t>
  </si>
  <si>
    <t>Última actualización: 31/03/2025</t>
  </si>
  <si>
    <t>Última actualización: 30/04/2025</t>
  </si>
  <si>
    <t>Última actualización: 30/05/2025</t>
  </si>
  <si>
    <t>Última actualización: 31/07/2025</t>
  </si>
  <si>
    <t>Última actualización: 29/08/2025</t>
  </si>
  <si>
    <t>Última actualización: 30/09/2025</t>
  </si>
  <si>
    <t>Última actualización: 31/10/2025</t>
  </si>
  <si>
    <t>Última actualización: 28/11/2025</t>
  </si>
  <si>
    <t>(***) Los Regímenes de Energía Eléctrica incluyen el financiamiento de los gastos de funcionamiento del Consejo Federal de la Energía Eléctrica, Resolución C.E. Nro.628  y Resolución C.E. Nro. 1625 y modificatoria Nro. 1735</t>
  </si>
  <si>
    <t>(***) Los Regímenes de Energía  Eléctrica incluyen el financiamiento de los gastos de funcionamiento del Consejo Federal de la Energía Eléctrica, Resolución C.E. Nro. 628  y Resolución C.E. Nro. 1735.</t>
  </si>
  <si>
    <t>(***) Los Regímenes e Energía  Eléctrica incluyen el financiamiento de los gastos de funcionamiento del Consejo Federal de la Energía Eléctrica, Resolución C.E. Nro. 628  y Resolución C.E. Nro. 1735.</t>
  </si>
  <si>
    <t>(***) Los Regímenes de Energía  Eléctrica incluyen el financiamiento de los gastos de funcionamiento del Consejo Federal de la Energía Eléctrica, Resolución C.E. Nro. 628 y Resolución C.E. Nro. 1735.</t>
  </si>
  <si>
    <t>(***) Los Regímenes de Energía  Eléctrica incluyen el financiamiento de los gastos de funcionamiento del Consejo Federal de la Energía Eléctrica, Resolución C.E. Nro. 628  y Resolución C.E. Nro. 1625.</t>
  </si>
  <si>
    <t>Última actualización: 30/12/2025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</si>
</sst>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"/>
    <numFmt numFmtId="165" formatCode="#,##0.0"/>
    <numFmt numFmtId="166" formatCode="_-* #,##0.00\ _P_t_s_-;\-* #,##0.00\ _P_t_s_-;_-* &quot;-&quot;??\ _P_t_s_-;_-@_-"/>
  </numFmts>
  <fonts count="15" x14ac:knownFonts="1">
    <font>
      <sz val="12"/>
      <name val="Courier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i/>
      <sz val="10"/>
      <name val="Roboto"/>
    </font>
    <font>
      <b/>
      <sz val="10"/>
      <color theme="0" tint="-0.14999847407452621"/>
      <name val="Roboto"/>
    </font>
    <font>
      <sz val="9"/>
      <name val="Roboto"/>
    </font>
    <font>
      <sz val="12"/>
      <name val="Roboto"/>
    </font>
    <font>
      <b/>
      <sz val="11"/>
      <name val="Roboto"/>
    </font>
    <font>
      <b/>
      <sz val="10.5"/>
      <color theme="0" tint="-0.14999847407452621"/>
      <name val="Roboto"/>
    </font>
    <font>
      <sz val="10.5"/>
      <color theme="0" tint="-0.14999847407452621"/>
      <name val="Roboto"/>
    </font>
    <font>
      <b/>
      <sz val="10.5"/>
      <name val="Roboto"/>
    </font>
    <font>
      <sz val="10"/>
      <color rgb="FFFF0000"/>
      <name val="Roboto"/>
    </font>
    <font>
      <sz val="8"/>
      <name val="Roboto"/>
    </font>
    <font>
      <sz val="10.5"/>
      <name val="Roboto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12C4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  <fill>
      <patternFill patternType="solid">
        <fgColor rgb="FF232C4F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</borders>
  <cellStyleXfs count="4">
    <xf numFmtId="164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8">
    <xf numFmtId="164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right"/>
    </xf>
    <xf numFmtId="0" fontId="3" fillId="0" borderId="0" xfId="1" applyFont="1" applyBorder="1" applyAlignment="1">
      <alignment horizontal="right"/>
    </xf>
    <xf numFmtId="0" fontId="3" fillId="0" borderId="0" xfId="1" applyFont="1" applyBorder="1" applyAlignment="1">
      <alignment horizontal="right" vertical="center"/>
    </xf>
    <xf numFmtId="0" fontId="3" fillId="0" borderId="0" xfId="1" applyFont="1" applyBorder="1"/>
    <xf numFmtId="0" fontId="2" fillId="0" borderId="0" xfId="1" applyFont="1" applyBorder="1"/>
    <xf numFmtId="0" fontId="2" fillId="0" borderId="1" xfId="1" applyFont="1" applyBorder="1"/>
    <xf numFmtId="0" fontId="3" fillId="0" borderId="1" xfId="1" applyFont="1" applyBorder="1"/>
    <xf numFmtId="0" fontId="4" fillId="0" borderId="1" xfId="1" applyFont="1" applyBorder="1" applyAlignment="1">
      <alignment horizontal="left"/>
    </xf>
    <xf numFmtId="0" fontId="3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165" fontId="3" fillId="0" borderId="0" xfId="1" applyNumberFormat="1" applyFont="1" applyBorder="1" applyAlignment="1">
      <alignment horizontal="right"/>
    </xf>
    <xf numFmtId="165" fontId="3" fillId="0" borderId="0" xfId="1" applyNumberFormat="1" applyFont="1" applyBorder="1" applyAlignment="1">
      <alignment horizontal="left"/>
    </xf>
    <xf numFmtId="165" fontId="3" fillId="2" borderId="0" xfId="1" applyNumberFormat="1" applyFont="1" applyFill="1" applyBorder="1" applyAlignment="1">
      <alignment horizontal="right"/>
    </xf>
    <xf numFmtId="165" fontId="3" fillId="4" borderId="5" xfId="1" applyNumberFormat="1" applyFont="1" applyFill="1" applyBorder="1" applyAlignment="1">
      <alignment horizontal="center"/>
    </xf>
    <xf numFmtId="0" fontId="3" fillId="0" borderId="6" xfId="1" applyFont="1" applyBorder="1"/>
    <xf numFmtId="0" fontId="3" fillId="0" borderId="7" xfId="1" applyFont="1" applyBorder="1"/>
    <xf numFmtId="165" fontId="3" fillId="0" borderId="0" xfId="1" applyNumberFormat="1" applyFont="1" applyBorder="1"/>
    <xf numFmtId="0" fontId="3" fillId="0" borderId="10" xfId="1" applyFont="1" applyBorder="1"/>
    <xf numFmtId="164" fontId="2" fillId="4" borderId="10" xfId="0" applyFont="1" applyFill="1" applyBorder="1" applyAlignment="1"/>
    <xf numFmtId="0" fontId="3" fillId="4" borderId="11" xfId="1" applyFont="1" applyFill="1" applyBorder="1" applyAlignment="1"/>
    <xf numFmtId="0" fontId="2" fillId="0" borderId="0" xfId="1" applyFont="1" applyAlignment="1">
      <alignment horizontal="center"/>
    </xf>
    <xf numFmtId="165" fontId="2" fillId="0" borderId="0" xfId="1" applyNumberFormat="1" applyFont="1"/>
    <xf numFmtId="165" fontId="2" fillId="0" borderId="0" xfId="1" applyNumberFormat="1" applyFont="1" applyBorder="1"/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4" fontId="2" fillId="0" borderId="0" xfId="1" applyNumberFormat="1" applyFont="1"/>
    <xf numFmtId="0" fontId="3" fillId="0" borderId="5" xfId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/>
    </xf>
    <xf numFmtId="165" fontId="3" fillId="3" borderId="12" xfId="1" applyNumberFormat="1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165" fontId="3" fillId="0" borderId="0" xfId="1" applyNumberFormat="1" applyFont="1"/>
    <xf numFmtId="165" fontId="3" fillId="4" borderId="15" xfId="1" applyNumberFormat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165" fontId="3" fillId="4" borderId="16" xfId="1" applyNumberFormat="1" applyFont="1" applyFill="1" applyBorder="1" applyAlignment="1">
      <alignment horizontal="center"/>
    </xf>
    <xf numFmtId="165" fontId="3" fillId="0" borderId="0" xfId="1" applyNumberFormat="1" applyFont="1" applyAlignment="1">
      <alignment horizontal="center"/>
    </xf>
    <xf numFmtId="165" fontId="2" fillId="4" borderId="15" xfId="1" applyNumberFormat="1" applyFont="1" applyFill="1" applyBorder="1" applyAlignment="1">
      <alignment horizontal="center"/>
    </xf>
    <xf numFmtId="165" fontId="2" fillId="4" borderId="17" xfId="1" applyNumberFormat="1" applyFont="1" applyFill="1" applyBorder="1" applyAlignment="1">
      <alignment horizontal="center"/>
    </xf>
    <xf numFmtId="0" fontId="3" fillId="4" borderId="15" xfId="1" applyFont="1" applyFill="1" applyBorder="1"/>
    <xf numFmtId="165" fontId="3" fillId="4" borderId="17" xfId="1" applyNumberFormat="1" applyFont="1" applyFill="1" applyBorder="1" applyAlignment="1">
      <alignment horizontal="center"/>
    </xf>
    <xf numFmtId="165" fontId="3" fillId="4" borderId="18" xfId="1" applyNumberFormat="1" applyFont="1" applyFill="1" applyBorder="1" applyAlignment="1">
      <alignment horizontal="center"/>
    </xf>
    <xf numFmtId="0" fontId="3" fillId="4" borderId="17" xfId="1" applyFont="1" applyFill="1" applyBorder="1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65" fontId="3" fillId="0" borderId="20" xfId="1" applyNumberFormat="1" applyFont="1" applyBorder="1" applyAlignment="1">
      <alignment horizontal="center" vertical="center"/>
    </xf>
    <xf numFmtId="0" fontId="2" fillId="0" borderId="0" xfId="1" applyFont="1" applyBorder="1" applyAlignment="1">
      <alignment horizontal="right"/>
    </xf>
    <xf numFmtId="0" fontId="2" fillId="0" borderId="36" xfId="1" applyFont="1" applyBorder="1" applyAlignment="1">
      <alignment horizontal="right"/>
    </xf>
    <xf numFmtId="0" fontId="2" fillId="0" borderId="0" xfId="1" applyFont="1" applyBorder="1" applyAlignment="1">
      <alignment horizontal="centerContinuous"/>
    </xf>
    <xf numFmtId="0" fontId="2" fillId="0" borderId="0" xfId="1" applyFont="1" applyBorder="1" applyAlignment="1">
      <alignment horizontal="left"/>
    </xf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centerContinuous"/>
    </xf>
    <xf numFmtId="0" fontId="6" fillId="0" borderId="0" xfId="1" applyFont="1"/>
    <xf numFmtId="0" fontId="4" fillId="0" borderId="0" xfId="1" applyFont="1" applyBorder="1" applyAlignment="1">
      <alignment horizontal="left" vertical="center"/>
    </xf>
    <xf numFmtId="0" fontId="3" fillId="0" borderId="0" xfId="1" applyFont="1" applyBorder="1" applyAlignment="1">
      <alignment horizontal="centerContinuous"/>
    </xf>
    <xf numFmtId="0" fontId="2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right" vertical="top"/>
    </xf>
    <xf numFmtId="0" fontId="8" fillId="0" borderId="0" xfId="1" applyFont="1" applyBorder="1" applyAlignment="1">
      <alignment horizontal="right" vertical="top"/>
    </xf>
    <xf numFmtId="0" fontId="8" fillId="0" borderId="0" xfId="1" applyFont="1" applyBorder="1" applyAlignment="1">
      <alignment horizontal="left"/>
    </xf>
    <xf numFmtId="0" fontId="2" fillId="0" borderId="0" xfId="1" applyFont="1" applyBorder="1" applyAlignment="1">
      <alignment horizontal="center" vertical="top"/>
    </xf>
    <xf numFmtId="0" fontId="3" fillId="0" borderId="0" xfId="1" applyFont="1" applyBorder="1" applyAlignment="1">
      <alignment horizontal="centerContinuous" wrapText="1"/>
    </xf>
    <xf numFmtId="0" fontId="3" fillId="0" borderId="0" xfId="1" applyFont="1" applyBorder="1" applyAlignment="1">
      <alignment horizontal="left"/>
    </xf>
    <xf numFmtId="0" fontId="4" fillId="0" borderId="0" xfId="1" applyFont="1" applyAlignment="1"/>
    <xf numFmtId="165" fontId="9" fillId="7" borderId="2" xfId="1" applyNumberFormat="1" applyFont="1" applyFill="1" applyBorder="1" applyAlignment="1">
      <alignment horizontal="center" vertical="center"/>
    </xf>
    <xf numFmtId="4" fontId="5" fillId="7" borderId="3" xfId="1" applyNumberFormat="1" applyFont="1" applyFill="1" applyBorder="1"/>
    <xf numFmtId="0" fontId="3" fillId="0" borderId="0" xfId="1" applyFont="1" applyBorder="1" applyAlignment="1">
      <alignment vertical="center"/>
    </xf>
    <xf numFmtId="165" fontId="9" fillId="6" borderId="8" xfId="1" applyNumberFormat="1" applyFont="1" applyFill="1" applyBorder="1" applyAlignment="1">
      <alignment horizontal="center" vertical="center"/>
    </xf>
    <xf numFmtId="165" fontId="9" fillId="3" borderId="7" xfId="1" applyNumberFormat="1" applyFont="1" applyFill="1" applyBorder="1" applyAlignment="1">
      <alignment horizontal="center" vertical="center"/>
    </xf>
    <xf numFmtId="165" fontId="9" fillId="6" borderId="14" xfId="1" applyNumberFormat="1" applyFont="1" applyFill="1" applyBorder="1" applyAlignment="1">
      <alignment horizontal="center" vertical="center"/>
    </xf>
    <xf numFmtId="0" fontId="9" fillId="6" borderId="14" xfId="1" applyFont="1" applyFill="1" applyBorder="1" applyAlignment="1">
      <alignment horizontal="left" vertical="center"/>
    </xf>
    <xf numFmtId="165" fontId="11" fillId="5" borderId="15" xfId="1" applyNumberFormat="1" applyFont="1" applyFill="1" applyBorder="1" applyAlignment="1">
      <alignment horizontal="center"/>
    </xf>
    <xf numFmtId="165" fontId="11" fillId="5" borderId="17" xfId="1" applyNumberFormat="1" applyFont="1" applyFill="1" applyBorder="1" applyAlignment="1">
      <alignment horizontal="center"/>
    </xf>
    <xf numFmtId="165" fontId="9" fillId="3" borderId="21" xfId="1" applyNumberFormat="1" applyFont="1" applyFill="1" applyBorder="1" applyAlignment="1">
      <alignment horizontal="center" vertical="center"/>
    </xf>
    <xf numFmtId="165" fontId="9" fillId="3" borderId="19" xfId="1" applyNumberFormat="1" applyFont="1" applyFill="1" applyBorder="1" applyAlignment="1">
      <alignment horizontal="center" vertical="center"/>
    </xf>
    <xf numFmtId="165" fontId="9" fillId="6" borderId="21" xfId="1" applyNumberFormat="1" applyFont="1" applyFill="1" applyBorder="1" applyAlignment="1">
      <alignment horizontal="center" vertical="center"/>
    </xf>
    <xf numFmtId="0" fontId="9" fillId="6" borderId="21" xfId="1" applyFont="1" applyFill="1" applyBorder="1" applyAlignment="1">
      <alignment horizontal="left" vertical="center"/>
    </xf>
    <xf numFmtId="49" fontId="9" fillId="3" borderId="21" xfId="1" applyNumberFormat="1" applyFont="1" applyFill="1" applyBorder="1" applyAlignment="1">
      <alignment horizontal="center"/>
    </xf>
    <xf numFmtId="0" fontId="11" fillId="0" borderId="0" xfId="1" applyFont="1"/>
    <xf numFmtId="49" fontId="9" fillId="6" borderId="21" xfId="1" applyNumberFormat="1" applyFont="1" applyFill="1" applyBorder="1" applyAlignment="1">
      <alignment horizontal="center"/>
    </xf>
    <xf numFmtId="49" fontId="9" fillId="6" borderId="0" xfId="1" applyNumberFormat="1" applyFont="1" applyFill="1" applyBorder="1" applyAlignment="1">
      <alignment horizontal="center"/>
    </xf>
    <xf numFmtId="49" fontId="9" fillId="6" borderId="9" xfId="1" applyNumberFormat="1" applyFont="1" applyFill="1" applyBorder="1" applyAlignment="1">
      <alignment horizontal="center"/>
    </xf>
    <xf numFmtId="49" fontId="9" fillId="6" borderId="19" xfId="1" applyNumberFormat="1" applyFont="1" applyFill="1" applyBorder="1" applyAlignment="1">
      <alignment horizontal="center"/>
    </xf>
    <xf numFmtId="49" fontId="9" fillId="6" borderId="22" xfId="1" applyNumberFormat="1" applyFont="1" applyFill="1" applyBorder="1" applyAlignment="1">
      <alignment horizontal="left"/>
    </xf>
    <xf numFmtId="49" fontId="9" fillId="6" borderId="21" xfId="1" applyNumberFormat="1" applyFont="1" applyFill="1" applyBorder="1"/>
    <xf numFmtId="49" fontId="9" fillId="6" borderId="0" xfId="1" applyNumberFormat="1" applyFont="1" applyFill="1" applyBorder="1" applyAlignment="1">
      <alignment horizontal="left"/>
    </xf>
    <xf numFmtId="49" fontId="9" fillId="6" borderId="23" xfId="1" applyNumberFormat="1" applyFont="1" applyFill="1" applyBorder="1" applyAlignment="1">
      <alignment horizontal="center"/>
    </xf>
    <xf numFmtId="49" fontId="9" fillId="6" borderId="24" xfId="1" applyNumberFormat="1" applyFont="1" applyFill="1" applyBorder="1" applyAlignment="1">
      <alignment horizontal="center"/>
    </xf>
    <xf numFmtId="49" fontId="9" fillId="6" borderId="16" xfId="1" applyNumberFormat="1" applyFont="1" applyFill="1" applyBorder="1" applyAlignment="1">
      <alignment horizontal="center"/>
    </xf>
    <xf numFmtId="49" fontId="9" fillId="6" borderId="25" xfId="1" applyNumberFormat="1" applyFont="1" applyFill="1" applyBorder="1" applyAlignment="1">
      <alignment horizontal="left"/>
    </xf>
    <xf numFmtId="49" fontId="9" fillId="6" borderId="29" xfId="1" applyNumberFormat="1" applyFont="1" applyFill="1" applyBorder="1" applyAlignment="1">
      <alignment horizontal="centerContinuous"/>
    </xf>
    <xf numFmtId="49" fontId="9" fillId="6" borderId="30" xfId="1" applyNumberFormat="1" applyFont="1" applyFill="1" applyBorder="1" applyAlignment="1">
      <alignment horizontal="centerContinuous"/>
    </xf>
    <xf numFmtId="49" fontId="9" fillId="6" borderId="31" xfId="1" applyNumberFormat="1" applyFont="1" applyFill="1" applyBorder="1" applyAlignment="1">
      <alignment horizontal="centerContinuous"/>
    </xf>
    <xf numFmtId="49" fontId="9" fillId="6" borderId="21" xfId="1" applyNumberFormat="1" applyFont="1" applyFill="1" applyBorder="1" applyAlignment="1">
      <alignment horizontal="centerContinuous"/>
    </xf>
    <xf numFmtId="49" fontId="9" fillId="6" borderId="26" xfId="1" applyNumberFormat="1" applyFont="1" applyFill="1" applyBorder="1" applyAlignment="1">
      <alignment horizontal="centerContinuous"/>
    </xf>
    <xf numFmtId="49" fontId="9" fillId="6" borderId="28" xfId="1" applyNumberFormat="1" applyFont="1" applyFill="1" applyBorder="1" applyAlignment="1">
      <alignment horizontal="centerContinuous"/>
    </xf>
    <xf numFmtId="9" fontId="9" fillId="3" borderId="23" xfId="3" applyFont="1" applyFill="1" applyBorder="1" applyAlignment="1">
      <alignment horizontal="center"/>
    </xf>
    <xf numFmtId="9" fontId="9" fillId="6" borderId="23" xfId="3" applyFont="1" applyFill="1" applyBorder="1" applyAlignment="1">
      <alignment horizontal="center"/>
    </xf>
    <xf numFmtId="9" fontId="9" fillId="6" borderId="32" xfId="3" applyFont="1" applyFill="1" applyBorder="1" applyAlignment="1">
      <alignment horizontal="center"/>
    </xf>
    <xf numFmtId="49" fontId="9" fillId="6" borderId="23" xfId="1" applyNumberFormat="1" applyFont="1" applyFill="1" applyBorder="1" applyAlignment="1">
      <alignment horizontal="centerContinuous"/>
    </xf>
    <xf numFmtId="49" fontId="9" fillId="6" borderId="33" xfId="1" applyNumberFormat="1" applyFont="1" applyFill="1" applyBorder="1" applyAlignment="1">
      <alignment horizontal="centerContinuous"/>
    </xf>
    <xf numFmtId="49" fontId="9" fillId="6" borderId="35" xfId="1" applyNumberFormat="1" applyFont="1" applyFill="1" applyBorder="1" applyAlignment="1">
      <alignment horizontal="centerContinuous"/>
    </xf>
    <xf numFmtId="9" fontId="3" fillId="6" borderId="16" xfId="3" applyFont="1" applyFill="1" applyBorder="1" applyAlignment="1">
      <alignment horizontal="center" wrapText="1"/>
    </xf>
    <xf numFmtId="49" fontId="3" fillId="6" borderId="19" xfId="1" applyNumberFormat="1" applyFont="1" applyFill="1" applyBorder="1" applyAlignment="1">
      <alignment horizontal="center" wrapText="1"/>
    </xf>
    <xf numFmtId="49" fontId="3" fillId="6" borderId="37" xfId="1" applyNumberFormat="1" applyFont="1" applyFill="1" applyBorder="1" applyAlignment="1">
      <alignment horizontal="center"/>
    </xf>
    <xf numFmtId="165" fontId="3" fillId="4" borderId="37" xfId="1" applyNumberFormat="1" applyFont="1" applyFill="1" applyBorder="1" applyAlignment="1">
      <alignment horizontal="center"/>
    </xf>
    <xf numFmtId="165" fontId="3" fillId="6" borderId="18" xfId="1" applyNumberFormat="1" applyFont="1" applyFill="1" applyBorder="1" applyAlignment="1">
      <alignment horizontal="center" vertical="center"/>
    </xf>
    <xf numFmtId="165" fontId="3" fillId="6" borderId="5" xfId="1" applyNumberFormat="1" applyFont="1" applyFill="1" applyBorder="1" applyAlignment="1">
      <alignment horizontal="center" vertical="center"/>
    </xf>
    <xf numFmtId="4" fontId="5" fillId="6" borderId="0" xfId="1" applyNumberFormat="1" applyFont="1" applyFill="1" applyBorder="1" applyAlignment="1">
      <alignment vertical="center"/>
    </xf>
    <xf numFmtId="166" fontId="2" fillId="2" borderId="0" xfId="2" applyFont="1" applyFill="1"/>
    <xf numFmtId="0" fontId="2" fillId="2" borderId="0" xfId="1" applyFont="1" applyFill="1"/>
    <xf numFmtId="0" fontId="2" fillId="2" borderId="0" xfId="1" applyFont="1" applyFill="1" applyAlignment="1">
      <alignment horizontal="center"/>
    </xf>
    <xf numFmtId="166" fontId="3" fillId="2" borderId="0" xfId="2" applyFont="1" applyFill="1" applyBorder="1"/>
    <xf numFmtId="0" fontId="2" fillId="2" borderId="0" xfId="1" applyFont="1" applyFill="1" applyBorder="1"/>
    <xf numFmtId="166" fontId="3" fillId="2" borderId="0" xfId="2" applyFont="1" applyFill="1" applyBorder="1" applyAlignment="1">
      <alignment vertical="center"/>
    </xf>
    <xf numFmtId="166" fontId="2" fillId="2" borderId="0" xfId="2" applyFont="1" applyFill="1" applyBorder="1"/>
    <xf numFmtId="0" fontId="3" fillId="2" borderId="0" xfId="1" applyFont="1" applyFill="1" applyBorder="1"/>
    <xf numFmtId="0" fontId="3" fillId="4" borderId="7" xfId="1" applyFont="1" applyFill="1" applyBorder="1" applyAlignment="1"/>
    <xf numFmtId="164" fontId="2" fillId="4" borderId="6" xfId="0" applyFont="1" applyFill="1" applyBorder="1" applyAlignment="1"/>
    <xf numFmtId="0" fontId="3" fillId="2" borderId="0" xfId="1" applyFont="1" applyFill="1" applyBorder="1" applyAlignment="1">
      <alignment vertical="center"/>
    </xf>
    <xf numFmtId="0" fontId="3" fillId="4" borderId="7" xfId="1" applyFont="1" applyFill="1" applyBorder="1" applyAlignment="1"/>
    <xf numFmtId="164" fontId="2" fillId="4" borderId="6" xfId="0" applyFont="1" applyFill="1" applyBorder="1" applyAlignment="1"/>
    <xf numFmtId="0" fontId="12" fillId="2" borderId="0" xfId="1" applyFont="1" applyFill="1"/>
    <xf numFmtId="166" fontId="12" fillId="2" borderId="0" xfId="2" applyFont="1" applyFill="1" applyBorder="1"/>
    <xf numFmtId="166" fontId="12" fillId="2" borderId="0" xfId="2" applyFont="1" applyFill="1"/>
    <xf numFmtId="0" fontId="3" fillId="2" borderId="0" xfId="1" applyFont="1" applyFill="1"/>
    <xf numFmtId="165" fontId="3" fillId="2" borderId="0" xfId="1" applyNumberFormat="1" applyFont="1" applyFill="1"/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165" fontId="3" fillId="2" borderId="0" xfId="1" applyNumberFormat="1" applyFont="1" applyFill="1" applyBorder="1"/>
    <xf numFmtId="0" fontId="3" fillId="4" borderId="7" xfId="1" applyFont="1" applyFill="1" applyBorder="1" applyAlignment="1"/>
    <xf numFmtId="164" fontId="2" fillId="4" borderId="6" xfId="0" applyFont="1" applyFill="1" applyBorder="1" applyAlignment="1"/>
    <xf numFmtId="0" fontId="7" fillId="0" borderId="0" xfId="1" applyFont="1"/>
    <xf numFmtId="0" fontId="2" fillId="0" borderId="38" xfId="1" applyFont="1" applyBorder="1" applyAlignment="1">
      <alignment horizontal="right"/>
    </xf>
    <xf numFmtId="9" fontId="3" fillId="6" borderId="39" xfId="3" applyFont="1" applyFill="1" applyBorder="1" applyAlignment="1">
      <alignment horizontal="center"/>
    </xf>
    <xf numFmtId="49" fontId="3" fillId="6" borderId="40" xfId="1" applyNumberFormat="1" applyFont="1" applyFill="1" applyBorder="1" applyAlignment="1">
      <alignment horizontal="center"/>
    </xf>
    <xf numFmtId="49" fontId="11" fillId="6" borderId="16" xfId="1" applyNumberFormat="1" applyFont="1" applyFill="1" applyBorder="1" applyAlignment="1">
      <alignment horizontal="left"/>
    </xf>
    <xf numFmtId="49" fontId="11" fillId="6" borderId="16" xfId="1" applyNumberFormat="1" applyFont="1" applyFill="1" applyBorder="1" applyAlignment="1">
      <alignment horizontal="center"/>
    </xf>
    <xf numFmtId="49" fontId="3" fillId="6" borderId="40" xfId="1" applyNumberFormat="1" applyFont="1" applyFill="1" applyBorder="1" applyAlignment="1">
      <alignment horizontal="center" wrapText="1"/>
    </xf>
    <xf numFmtId="49" fontId="11" fillId="6" borderId="19" xfId="1" applyNumberFormat="1" applyFont="1" applyFill="1" applyBorder="1" applyAlignment="1">
      <alignment horizontal="left"/>
    </xf>
    <xf numFmtId="49" fontId="11" fillId="6" borderId="19" xfId="1" applyNumberFormat="1" applyFont="1" applyFill="1" applyBorder="1" applyAlignment="1">
      <alignment horizontal="center"/>
    </xf>
    <xf numFmtId="49" fontId="3" fillId="6" borderId="41" xfId="1" applyNumberFormat="1" applyFont="1" applyFill="1" applyBorder="1" applyAlignment="1">
      <alignment horizontal="center"/>
    </xf>
    <xf numFmtId="0" fontId="3" fillId="4" borderId="42" xfId="1" applyFont="1" applyFill="1" applyBorder="1"/>
    <xf numFmtId="165" fontId="3" fillId="2" borderId="17" xfId="1" applyNumberFormat="1" applyFont="1" applyFill="1" applyBorder="1" applyAlignment="1">
      <alignment horizontal="center"/>
    </xf>
    <xf numFmtId="0" fontId="9" fillId="6" borderId="13" xfId="1" applyFont="1" applyFill="1" applyBorder="1" applyAlignment="1">
      <alignment horizontal="center" vertical="center"/>
    </xf>
    <xf numFmtId="165" fontId="9" fillId="6" borderId="17" xfId="1" applyNumberFormat="1" applyFont="1" applyFill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6" borderId="43" xfId="1" applyNumberFormat="1" applyFont="1" applyFill="1" applyBorder="1" applyAlignment="1">
      <alignment horizontal="center" vertical="center" wrapText="1"/>
    </xf>
    <xf numFmtId="0" fontId="3" fillId="4" borderId="44" xfId="1" applyFont="1" applyFill="1" applyBorder="1"/>
    <xf numFmtId="165" fontId="3" fillId="2" borderId="15" xfId="1" applyNumberFormat="1" applyFont="1" applyFill="1" applyBorder="1" applyAlignment="1">
      <alignment horizontal="center"/>
    </xf>
    <xf numFmtId="0" fontId="9" fillId="6" borderId="28" xfId="1" applyFont="1" applyFill="1" applyBorder="1" applyAlignment="1">
      <alignment horizontal="center" vertical="center"/>
    </xf>
    <xf numFmtId="165" fontId="3" fillId="6" borderId="45" xfId="1" applyNumberFormat="1" applyFont="1" applyFill="1" applyBorder="1" applyAlignment="1">
      <alignment horizontal="center" vertical="center"/>
    </xf>
    <xf numFmtId="165" fontId="3" fillId="6" borderId="43" xfId="1" applyNumberFormat="1" applyFont="1" applyFill="1" applyBorder="1" applyAlignment="1">
      <alignment horizontal="center" vertical="center"/>
    </xf>
    <xf numFmtId="165" fontId="9" fillId="6" borderId="37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3" fillId="0" borderId="36" xfId="1" applyFont="1" applyBorder="1"/>
    <xf numFmtId="165" fontId="2" fillId="0" borderId="36" xfId="1" applyNumberFormat="1" applyFont="1" applyBorder="1" applyAlignment="1">
      <alignment horizontal="right"/>
    </xf>
    <xf numFmtId="0" fontId="3" fillId="4" borderId="7" xfId="1" applyFont="1" applyFill="1" applyBorder="1" applyAlignment="1"/>
    <xf numFmtId="164" fontId="2" fillId="4" borderId="6" xfId="0" applyFont="1" applyFill="1" applyBorder="1" applyAlignment="1"/>
    <xf numFmtId="166" fontId="2" fillId="0" borderId="0" xfId="2" applyFont="1" applyFill="1"/>
    <xf numFmtId="0" fontId="2" fillId="0" borderId="0" xfId="1" applyFont="1" applyFill="1"/>
    <xf numFmtId="4" fontId="2" fillId="0" borderId="0" xfId="1" applyNumberFormat="1" applyFont="1" applyFill="1"/>
    <xf numFmtId="165" fontId="2" fillId="0" borderId="0" xfId="1" applyNumberFormat="1" applyFont="1" applyFill="1" applyBorder="1"/>
    <xf numFmtId="165" fontId="2" fillId="0" borderId="0" xfId="1" applyNumberFormat="1" applyFont="1" applyFill="1"/>
    <xf numFmtId="166" fontId="2" fillId="0" borderId="0" xfId="2" applyFont="1" applyFill="1" applyBorder="1"/>
    <xf numFmtId="0" fontId="2" fillId="0" borderId="0" xfId="1" applyFont="1" applyFill="1" applyAlignment="1">
      <alignment horizontal="center"/>
    </xf>
    <xf numFmtId="166" fontId="3" fillId="0" borderId="0" xfId="2" applyFont="1" applyFill="1" applyBorder="1"/>
    <xf numFmtId="0" fontId="2" fillId="0" borderId="0" xfId="1" applyFont="1" applyFill="1" applyBorder="1"/>
    <xf numFmtId="0" fontId="3" fillId="0" borderId="0" xfId="1" applyFont="1" applyFill="1" applyBorder="1"/>
    <xf numFmtId="166" fontId="3" fillId="0" borderId="0" xfId="2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right"/>
    </xf>
    <xf numFmtId="0" fontId="3" fillId="0" borderId="0" xfId="1" applyFont="1" applyFill="1"/>
    <xf numFmtId="166" fontId="2" fillId="8" borderId="0" xfId="2" applyFont="1" applyFill="1"/>
    <xf numFmtId="0" fontId="3" fillId="4" borderId="7" xfId="1" applyFont="1" applyFill="1" applyBorder="1" applyAlignment="1"/>
    <xf numFmtId="164" fontId="2" fillId="4" borderId="6" xfId="0" applyFont="1" applyFill="1" applyBorder="1" applyAlignment="1"/>
    <xf numFmtId="4" fontId="2" fillId="2" borderId="0" xfId="1" applyNumberFormat="1" applyFont="1" applyFill="1"/>
    <xf numFmtId="0" fontId="3" fillId="4" borderId="7" xfId="1" applyFont="1" applyFill="1" applyBorder="1" applyAlignment="1"/>
    <xf numFmtId="164" fontId="2" fillId="4" borderId="6" xfId="0" applyFont="1" applyFill="1" applyBorder="1" applyAlignment="1"/>
    <xf numFmtId="0" fontId="3" fillId="4" borderId="7" xfId="1" applyFont="1" applyFill="1" applyBorder="1" applyAlignment="1"/>
    <xf numFmtId="164" fontId="2" fillId="4" borderId="6" xfId="0" applyFont="1" applyFill="1" applyBorder="1" applyAlignment="1"/>
    <xf numFmtId="165" fontId="2" fillId="2" borderId="0" xfId="1" applyNumberFormat="1" applyFont="1" applyFill="1" applyBorder="1"/>
    <xf numFmtId="165" fontId="2" fillId="2" borderId="0" xfId="1" applyNumberFormat="1" applyFont="1" applyFill="1"/>
    <xf numFmtId="0" fontId="3" fillId="4" borderId="7" xfId="1" applyFont="1" applyFill="1" applyBorder="1" applyAlignment="1"/>
    <xf numFmtId="164" fontId="2" fillId="4" borderId="6" xfId="0" applyFont="1" applyFill="1" applyBorder="1" applyAlignment="1"/>
    <xf numFmtId="166" fontId="3" fillId="0" borderId="0" xfId="2" applyFont="1" applyFill="1"/>
    <xf numFmtId="4" fontId="3" fillId="0" borderId="0" xfId="1" applyNumberFormat="1" applyFont="1" applyBorder="1"/>
    <xf numFmtId="0" fontId="3" fillId="0" borderId="0" xfId="1" applyFont="1" applyAlignment="1">
      <alignment horizontal="centerContinuous" wrapText="1"/>
    </xf>
    <xf numFmtId="0" fontId="2" fillId="0" borderId="0" xfId="1" applyFont="1" applyAlignment="1">
      <alignment horizontal="centerContinuous"/>
    </xf>
    <xf numFmtId="0" fontId="2" fillId="0" borderId="0" xfId="1" applyFont="1" applyAlignment="1">
      <alignment horizontal="center" vertical="top"/>
    </xf>
    <xf numFmtId="0" fontId="8" fillId="0" borderId="0" xfId="1" applyFont="1" applyAlignment="1">
      <alignment horizontal="left"/>
    </xf>
    <xf numFmtId="0" fontId="8" fillId="0" borderId="0" xfId="1" applyFont="1" applyAlignment="1">
      <alignment horizontal="right" vertical="top"/>
    </xf>
    <xf numFmtId="0" fontId="3" fillId="0" borderId="0" xfId="1" applyFont="1" applyAlignment="1">
      <alignment horizontal="right" vertical="top"/>
    </xf>
    <xf numFmtId="0" fontId="2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left" vertical="center"/>
    </xf>
    <xf numFmtId="49" fontId="9" fillId="6" borderId="0" xfId="1" applyNumberFormat="1" applyFont="1" applyFill="1" applyAlignment="1">
      <alignment horizontal="center"/>
    </xf>
    <xf numFmtId="49" fontId="9" fillId="6" borderId="0" xfId="1" applyNumberFormat="1" applyFont="1" applyFill="1" applyAlignment="1">
      <alignment horizontal="left"/>
    </xf>
    <xf numFmtId="0" fontId="3" fillId="4" borderId="11" xfId="1" applyFont="1" applyFill="1" applyBorder="1"/>
    <xf numFmtId="164" fontId="2" fillId="4" borderId="10" xfId="0" applyFont="1" applyFill="1" applyBorder="1"/>
    <xf numFmtId="0" fontId="3" fillId="4" borderId="7" xfId="1" applyFont="1" applyFill="1" applyBorder="1"/>
    <xf numFmtId="164" fontId="2" fillId="4" borderId="6" xfId="0" applyFont="1" applyFill="1" applyBorder="1"/>
    <xf numFmtId="4" fontId="5" fillId="6" borderId="0" xfId="1" applyNumberFormat="1" applyFont="1" applyFill="1" applyAlignment="1">
      <alignment vertical="center"/>
    </xf>
    <xf numFmtId="0" fontId="3" fillId="0" borderId="0" xfId="1" applyFont="1" applyAlignment="1">
      <alignment vertical="center"/>
    </xf>
    <xf numFmtId="165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left"/>
    </xf>
    <xf numFmtId="0" fontId="4" fillId="0" borderId="0" xfId="1" applyFont="1"/>
    <xf numFmtId="0" fontId="3" fillId="0" borderId="0" xfId="1" applyFont="1" applyAlignment="1">
      <alignment horizontal="left"/>
    </xf>
    <xf numFmtId="165" fontId="3" fillId="0" borderId="0" xfId="1" applyNumberFormat="1" applyFont="1" applyFill="1" applyAlignment="1">
      <alignment horizontal="right"/>
    </xf>
    <xf numFmtId="0" fontId="2" fillId="0" borderId="0" xfId="1" applyFont="1" applyFill="1" applyAlignment="1">
      <alignment horizontal="right"/>
    </xf>
    <xf numFmtId="0" fontId="3" fillId="0" borderId="0" xfId="1" applyFont="1" applyAlignment="1">
      <alignment horizontal="left" vertical="center"/>
    </xf>
    <xf numFmtId="0" fontId="2" fillId="0" borderId="0" xfId="1" applyFont="1" applyAlignment="1">
      <alignment horizontal="centerContinuous" wrapText="1"/>
    </xf>
    <xf numFmtId="0" fontId="13" fillId="0" borderId="0" xfId="1" applyFont="1" applyAlignment="1">
      <alignment horizontal="centerContinuous"/>
    </xf>
    <xf numFmtId="165" fontId="2" fillId="0" borderId="0" xfId="1" applyNumberFormat="1" applyFont="1" applyAlignment="1">
      <alignment horizontal="right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22" fontId="3" fillId="0" borderId="0" xfId="1" applyNumberFormat="1" applyFont="1"/>
    <xf numFmtId="0" fontId="3" fillId="4" borderId="7" xfId="1" applyFont="1" applyFill="1" applyBorder="1"/>
    <xf numFmtId="164" fontId="2" fillId="4" borderId="6" xfId="0" applyFont="1" applyFill="1" applyBorder="1"/>
    <xf numFmtId="165" fontId="3" fillId="2" borderId="0" xfId="1" applyNumberFormat="1" applyFont="1" applyFill="1" applyAlignment="1">
      <alignment horizontal="right"/>
    </xf>
    <xf numFmtId="0" fontId="3" fillId="4" borderId="7" xfId="1" applyFont="1" applyFill="1" applyBorder="1"/>
    <xf numFmtId="164" fontId="2" fillId="4" borderId="6" xfId="0" applyFont="1" applyFill="1" applyBorder="1"/>
    <xf numFmtId="0" fontId="3" fillId="4" borderId="7" xfId="1" applyFont="1" applyFill="1" applyBorder="1"/>
    <xf numFmtId="164" fontId="2" fillId="4" borderId="6" xfId="0" applyFont="1" applyFill="1" applyBorder="1"/>
    <xf numFmtId="0" fontId="3" fillId="2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165" fontId="2" fillId="0" borderId="0" xfId="1" applyNumberFormat="1" applyFont="1" applyFill="1" applyAlignment="1">
      <alignment horizontal="right"/>
    </xf>
    <xf numFmtId="0" fontId="3" fillId="4" borderId="7" xfId="1" applyFont="1" applyFill="1" applyBorder="1" applyAlignment="1"/>
    <xf numFmtId="164" fontId="2" fillId="4" borderId="6" xfId="0" applyFont="1" applyFill="1" applyBorder="1" applyAlignment="1"/>
    <xf numFmtId="0" fontId="9" fillId="7" borderId="4" xfId="1" applyFont="1" applyFill="1" applyBorder="1" applyAlignment="1">
      <alignment vertical="center"/>
    </xf>
    <xf numFmtId="164" fontId="10" fillId="7" borderId="3" xfId="0" applyFont="1" applyFill="1" applyBorder="1" applyAlignment="1">
      <alignment vertical="center"/>
    </xf>
    <xf numFmtId="0" fontId="9" fillId="6" borderId="9" xfId="1" applyFont="1" applyFill="1" applyBorder="1" applyAlignment="1">
      <alignment vertical="center"/>
    </xf>
    <xf numFmtId="164" fontId="10" fillId="6" borderId="0" xfId="0" applyFont="1" applyFill="1" applyBorder="1" applyAlignment="1">
      <alignment vertical="center"/>
    </xf>
    <xf numFmtId="49" fontId="9" fillId="6" borderId="35" xfId="1" applyNumberFormat="1" applyFont="1" applyFill="1" applyBorder="1" applyAlignment="1">
      <alignment horizontal="center" shrinkToFit="1"/>
    </xf>
    <xf numFmtId="49" fontId="9" fillId="6" borderId="34" xfId="1" applyNumberFormat="1" applyFont="1" applyFill="1" applyBorder="1" applyAlignment="1">
      <alignment horizontal="center" shrinkToFit="1"/>
    </xf>
    <xf numFmtId="164" fontId="10" fillId="6" borderId="33" xfId="0" applyFont="1" applyFill="1" applyBorder="1" applyAlignment="1">
      <alignment horizontal="center" shrinkToFit="1"/>
    </xf>
    <xf numFmtId="49" fontId="9" fillId="6" borderId="28" xfId="1" applyNumberFormat="1" applyFont="1" applyFill="1" applyBorder="1" applyAlignment="1">
      <alignment horizontal="center" shrinkToFit="1"/>
    </xf>
    <xf numFmtId="164" fontId="10" fillId="6" borderId="27" xfId="0" applyFont="1" applyFill="1" applyBorder="1" applyAlignment="1">
      <alignment shrinkToFit="1"/>
    </xf>
    <xf numFmtId="164" fontId="10" fillId="6" borderId="26" xfId="0" applyFont="1" applyFill="1" applyBorder="1" applyAlignment="1">
      <alignment shrinkToFit="1"/>
    </xf>
    <xf numFmtId="49" fontId="9" fillId="6" borderId="23" xfId="1" applyNumberFormat="1" applyFont="1" applyFill="1" applyBorder="1" applyAlignment="1">
      <alignment horizontal="center" vertical="center" wrapText="1"/>
    </xf>
    <xf numFmtId="164" fontId="10" fillId="6" borderId="21" xfId="0" applyFont="1" applyFill="1" applyBorder="1" applyAlignment="1">
      <alignment horizontal="center" vertical="center" wrapText="1"/>
    </xf>
    <xf numFmtId="49" fontId="9" fillId="6" borderId="32" xfId="1" applyNumberFormat="1" applyFont="1" applyFill="1" applyBorder="1" applyAlignment="1">
      <alignment horizontal="center" vertical="center" wrapText="1"/>
    </xf>
    <xf numFmtId="164" fontId="10" fillId="6" borderId="32" xfId="0" applyFont="1" applyFill="1" applyBorder="1" applyAlignment="1">
      <alignment horizontal="center" vertical="center" wrapText="1"/>
    </xf>
    <xf numFmtId="164" fontId="10" fillId="6" borderId="3" xfId="0" applyFont="1" applyFill="1" applyBorder="1" applyAlignment="1">
      <alignment horizontal="center" vertical="center" wrapText="1"/>
    </xf>
    <xf numFmtId="49" fontId="9" fillId="6" borderId="23" xfId="1" applyNumberFormat="1" applyFont="1" applyFill="1" applyBorder="1" applyAlignment="1">
      <alignment horizontal="center" vertical="center" wrapText="1" shrinkToFit="1"/>
    </xf>
    <xf numFmtId="164" fontId="10" fillId="6" borderId="21" xfId="0" applyFont="1" applyFill="1" applyBorder="1" applyAlignment="1">
      <alignment horizontal="center" vertical="center" wrapText="1" shrinkToFit="1"/>
    </xf>
    <xf numFmtId="164" fontId="10" fillId="6" borderId="0" xfId="0" applyFont="1" applyFill="1" applyAlignment="1">
      <alignment vertical="center"/>
    </xf>
    <xf numFmtId="0" fontId="3" fillId="4" borderId="7" xfId="1" applyFont="1" applyFill="1" applyBorder="1"/>
    <xf numFmtId="164" fontId="2" fillId="4" borderId="6" xfId="0" applyFont="1" applyFill="1" applyBorder="1"/>
    <xf numFmtId="49" fontId="11" fillId="6" borderId="16" xfId="1" applyNumberFormat="1" applyFont="1" applyFill="1" applyBorder="1" applyAlignment="1">
      <alignment horizontal="center" vertical="center" wrapText="1"/>
    </xf>
    <xf numFmtId="164" fontId="14" fillId="6" borderId="16" xfId="0" applyFont="1" applyFill="1" applyBorder="1" applyAlignment="1">
      <alignment horizontal="center" vertical="center" wrapText="1"/>
    </xf>
    <xf numFmtId="164" fontId="14" fillId="6" borderId="37" xfId="0" applyFont="1" applyFill="1" applyBorder="1" applyAlignment="1">
      <alignment horizontal="center" vertical="center" wrapText="1"/>
    </xf>
  </cellXfs>
  <cellStyles count="4">
    <cellStyle name="Millares 2" xfId="2" xr:uid="{00000000-0005-0000-0000-000000000000}"/>
    <cellStyle name="Normal" xfId="0" builtinId="0"/>
    <cellStyle name="Normal_Hoja1" xfId="1" xr:uid="{00000000-0005-0000-0000-000002000000}"/>
    <cellStyle name="Porcentaje 2" xfId="3" xr:uid="{00000000-0005-0000-0000-000003000000}"/>
  </cellStyles>
  <dxfs count="0"/>
  <tableStyles count="0" defaultTableStyle="TableStyleMedium2" defaultPivotStyle="PivotStyleLight16"/>
  <colors>
    <mruColors>
      <color rgb="FF24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19050</xdr:rowOff>
    </xdr:from>
    <xdr:ext cx="1409700" cy="1066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/>
        </xdr:cNvSpPr>
      </xdr:nvSpPr>
      <xdr:spPr>
        <a:xfrm>
          <a:off x="23745825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ENERO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FEBRERO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MARZO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ABRIL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MAYO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19050</xdr:rowOff>
    </xdr:from>
    <xdr:ext cx="1409700" cy="1066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/>
        </xdr:cNvSpPr>
      </xdr:nvSpPr>
      <xdr:spPr>
        <a:xfrm>
          <a:off x="23745825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JUNIO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JULIO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AGOSTO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DB78771D-4FD6-4803-8842-59E475AAE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F129C0-846F-49A2-B0D2-353A38E3AD6E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SEPTIEMBRE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4357BC74-D93F-4A90-A850-220C763C0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B11976B-49F6-4A8C-976F-62354FB1D6AC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OCTUBRE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5706A605-CBC8-474D-ABF1-B9172210E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6B6CDBE-2D80-4756-88D9-4BBDB265E0AA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NOVIEMBRE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38FB4796-5149-4C5A-9356-22FFD9F73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2050922-6D34-4FE9-AEB4-0DE61AAF21B9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DICIEMBRE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2025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38100</xdr:rowOff>
    </xdr:from>
    <xdr:to>
      <xdr:col>0</xdr:col>
      <xdr:colOff>1514475</xdr:colOff>
      <xdr:row>3</xdr:row>
      <xdr:rowOff>228600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25625E4A-0250-4B5F-BF46-7C6DD7B32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04775" y="38100"/>
          <a:ext cx="14097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1085849</xdr:colOff>
      <xdr:row>0</xdr:row>
      <xdr:rowOff>161924</xdr:rowOff>
    </xdr:from>
    <xdr:ext cx="3209925" cy="6762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BC45519-7558-4680-861B-2F9CBC0D14D9}"/>
            </a:ext>
          </a:extLst>
        </xdr:cNvPr>
        <xdr:cNvSpPr txBox="1">
          <a:spLocks/>
        </xdr:cNvSpPr>
      </xdr:nvSpPr>
      <xdr:spPr>
        <a:xfrm>
          <a:off x="9382124" y="161924"/>
          <a:ext cx="3209925" cy="676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s-AR" sz="1200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oneCellAnchor>
  <xdr:oneCellAnchor>
    <xdr:from>
      <xdr:col>10</xdr:col>
      <xdr:colOff>1085849</xdr:colOff>
      <xdr:row>0</xdr:row>
      <xdr:rowOff>161923</xdr:rowOff>
    </xdr:from>
    <xdr:ext cx="3095626" cy="630942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5A00E4E-EA6F-4584-BEF3-CED4A17A18CD}"/>
            </a:ext>
          </a:extLst>
        </xdr:cNvPr>
        <xdr:cNvSpPr txBox="1"/>
      </xdr:nvSpPr>
      <xdr:spPr>
        <a:xfrm>
          <a:off x="9382124" y="161923"/>
          <a:ext cx="3095626" cy="630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AÑO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2025 - ACUMULADO A DICIEMBRE</a:t>
          </a:r>
          <a:endParaRPr lang="es-AR" sz="1200" b="1">
            <a:latin typeface="Roboto" panose="02000000000000000000" pitchFamily="2" charset="0"/>
            <a:ea typeface="Roboto" panose="02000000000000000000" pitchFamily="2" charset="0"/>
          </a:endParaRP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77"/>
  <sheetViews>
    <sheetView showGridLines="0" showZeros="0" topLeftCell="J1" zoomScaleNormal="100" workbookViewId="0">
      <selection activeCell="K49" sqref="K49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16384" width="27.5546875" style="1"/>
  </cols>
  <sheetData>
    <row r="1" spans="1:52" ht="36.75" customHeight="1" x14ac:dyDescent="0.25">
      <c r="A1" s="65"/>
      <c r="B1" s="50"/>
      <c r="C1" s="64"/>
      <c r="D1" s="50"/>
      <c r="E1" s="50"/>
      <c r="F1" s="50"/>
      <c r="G1" s="50"/>
      <c r="H1" s="50"/>
      <c r="I1" s="50"/>
      <c r="J1" s="50"/>
      <c r="K1" s="50"/>
      <c r="M1" s="63"/>
      <c r="O1" s="50"/>
      <c r="P1" s="50"/>
      <c r="Q1" s="50"/>
      <c r="R1" s="50"/>
      <c r="S1" s="50"/>
      <c r="T1" s="50"/>
      <c r="U1" s="50"/>
      <c r="V1" s="50"/>
      <c r="W1" s="62" t="s">
        <v>94</v>
      </c>
      <c r="Y1" s="61"/>
      <c r="AA1" s="61"/>
      <c r="AC1" s="61"/>
    </row>
    <row r="2" spans="1:52" s="57" customFormat="1" ht="18" customHeight="1" x14ac:dyDescent="0.2">
      <c r="A2" s="60"/>
      <c r="B2" s="27"/>
      <c r="C2" s="27"/>
      <c r="D2" s="28"/>
      <c r="E2" s="27"/>
      <c r="F2" s="27"/>
      <c r="G2" s="27"/>
      <c r="H2" s="27"/>
      <c r="I2" s="27"/>
      <c r="J2" s="27"/>
      <c r="K2" s="27"/>
      <c r="M2" s="59"/>
      <c r="N2" s="58"/>
      <c r="O2" s="27"/>
      <c r="P2" s="27"/>
      <c r="Q2" s="27"/>
      <c r="R2" s="27"/>
      <c r="S2" s="27"/>
      <c r="T2" s="27"/>
      <c r="U2" s="27"/>
      <c r="V2" s="27"/>
      <c r="W2" s="5"/>
      <c r="Y2" s="5"/>
      <c r="AA2" s="5"/>
      <c r="AC2" s="5"/>
    </row>
    <row r="3" spans="1:52" ht="21" customHeight="1" x14ac:dyDescent="0.2">
      <c r="A3" s="56"/>
      <c r="B3" s="50"/>
      <c r="C3" s="50"/>
      <c r="D3" s="56"/>
      <c r="E3" s="50"/>
      <c r="F3" s="51"/>
      <c r="G3" s="50"/>
      <c r="H3" s="50"/>
      <c r="I3" s="51"/>
      <c r="J3" s="50"/>
      <c r="K3" s="50"/>
      <c r="M3" s="55"/>
      <c r="N3" s="54"/>
      <c r="O3" s="50"/>
      <c r="P3" s="50"/>
      <c r="Q3" s="50"/>
      <c r="R3" s="50"/>
      <c r="S3" s="50"/>
      <c r="T3" s="50"/>
      <c r="U3" s="50"/>
      <c r="V3" s="50"/>
      <c r="W3" s="5"/>
      <c r="Y3" s="5"/>
      <c r="AA3" s="5"/>
      <c r="AC3" s="5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50"/>
      <c r="B5" s="50"/>
      <c r="C5" s="50"/>
      <c r="D5" s="50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49"/>
      <c r="Y5" s="48"/>
      <c r="AA5" s="48"/>
      <c r="AC5" s="48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84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84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89"/>
      <c r="T8" s="245" t="s">
        <v>62</v>
      </c>
      <c r="U8" s="83" t="s">
        <v>61</v>
      </c>
      <c r="V8" s="84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24"/>
      <c r="AE8" s="24"/>
      <c r="AF8" s="24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84" t="s">
        <v>51</v>
      </c>
      <c r="O9" s="83" t="s">
        <v>50</v>
      </c>
      <c r="P9" s="251"/>
      <c r="Q9" s="83"/>
      <c r="R9" s="83" t="s">
        <v>49</v>
      </c>
      <c r="S9" s="84"/>
      <c r="T9" s="246"/>
      <c r="U9" s="83" t="s">
        <v>48</v>
      </c>
      <c r="V9" s="84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24"/>
      <c r="AE9" s="24"/>
      <c r="AF9" s="115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939983.62309999997</v>
      </c>
      <c r="C10" s="40">
        <v>0</v>
      </c>
      <c r="D10" s="76">
        <f t="shared" ref="D10:D32" si="0">B10+C10</f>
        <v>939983.62309999997</v>
      </c>
      <c r="E10" s="40">
        <v>35.008399999999995</v>
      </c>
      <c r="F10" s="76">
        <f t="shared" ref="F10:F32" si="1">D10+E10</f>
        <v>940018.63150000002</v>
      </c>
      <c r="G10" s="40">
        <v>0</v>
      </c>
      <c r="H10" s="40">
        <v>0</v>
      </c>
      <c r="I10" s="40">
        <v>0</v>
      </c>
      <c r="J10" s="40">
        <v>5593.5045999999993</v>
      </c>
      <c r="K10" s="40">
        <v>1331.65</v>
      </c>
      <c r="L10" s="40">
        <v>0</v>
      </c>
      <c r="M10" s="40">
        <v>15987.490400000001</v>
      </c>
      <c r="N10" s="40">
        <v>1602.5311999999999</v>
      </c>
      <c r="O10" s="40">
        <v>3359.6837999999998</v>
      </c>
      <c r="P10" s="40">
        <v>0</v>
      </c>
      <c r="Q10" s="40">
        <v>5261.9705000000004</v>
      </c>
      <c r="R10" s="40">
        <v>0</v>
      </c>
      <c r="S10" s="40">
        <v>0</v>
      </c>
      <c r="T10" s="40">
        <v>0</v>
      </c>
      <c r="U10" s="40">
        <v>0</v>
      </c>
      <c r="V10" s="40">
        <v>1864.5871000000002</v>
      </c>
      <c r="W10" s="76">
        <f t="shared" ref="W10:W32" si="2">SUM(F10:V10)</f>
        <v>975020.04910000006</v>
      </c>
      <c r="X10" s="36"/>
      <c r="Y10" s="42">
        <v>115238.39665800001</v>
      </c>
      <c r="Z10" s="38"/>
      <c r="AA10" s="109">
        <v>0</v>
      </c>
      <c r="AB10" s="36"/>
      <c r="AC10" s="76">
        <f t="shared" ref="AC10:AC32" si="3">+W10+Y10+AA10</f>
        <v>1090258.445758</v>
      </c>
      <c r="AD10" s="29"/>
      <c r="AE10" s="25"/>
      <c r="AF10" s="113"/>
      <c r="AG10" s="2"/>
      <c r="AH10" s="3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117897.3795</v>
      </c>
      <c r="C11" s="40">
        <v>0</v>
      </c>
      <c r="D11" s="76">
        <f t="shared" si="0"/>
        <v>117897.3795</v>
      </c>
      <c r="E11" s="40">
        <v>1.7832999999999999</v>
      </c>
      <c r="F11" s="76">
        <f t="shared" si="1"/>
        <v>117899.16279999999</v>
      </c>
      <c r="G11" s="40">
        <v>0</v>
      </c>
      <c r="H11" s="40">
        <v>0</v>
      </c>
      <c r="I11" s="40">
        <v>0</v>
      </c>
      <c r="J11" s="40">
        <v>701.56490000000008</v>
      </c>
      <c r="K11" s="40">
        <v>0</v>
      </c>
      <c r="L11" s="40">
        <v>0</v>
      </c>
      <c r="M11" s="40">
        <v>0</v>
      </c>
      <c r="N11" s="40">
        <v>204.76320000000001</v>
      </c>
      <c r="O11" s="40">
        <v>352.35940000000005</v>
      </c>
      <c r="P11" s="40">
        <v>0</v>
      </c>
      <c r="Q11" s="40">
        <v>762.07849999999996</v>
      </c>
      <c r="R11" s="40">
        <v>0</v>
      </c>
      <c r="S11" s="40">
        <v>0</v>
      </c>
      <c r="T11" s="40">
        <v>0</v>
      </c>
      <c r="U11" s="40">
        <v>2.2000000000000002</v>
      </c>
      <c r="V11" s="40">
        <v>233.86929999999998</v>
      </c>
      <c r="W11" s="76">
        <f t="shared" si="2"/>
        <v>120155.9981</v>
      </c>
      <c r="X11" s="36"/>
      <c r="Y11" s="42">
        <v>634.54247999999995</v>
      </c>
      <c r="Z11" s="38"/>
      <c r="AA11" s="43">
        <v>0</v>
      </c>
      <c r="AB11" s="36"/>
      <c r="AC11" s="76">
        <f t="shared" si="3"/>
        <v>120790.54058</v>
      </c>
      <c r="AD11" s="29"/>
      <c r="AE11" s="25"/>
      <c r="AF11" s="113"/>
      <c r="AG11" s="2"/>
      <c r="AH11" s="34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380074.76880000002</v>
      </c>
      <c r="C12" s="40">
        <v>0</v>
      </c>
      <c r="D12" s="76">
        <f t="shared" si="0"/>
        <v>380074.76880000002</v>
      </c>
      <c r="E12" s="40">
        <v>10.441700000000001</v>
      </c>
      <c r="F12" s="76">
        <f t="shared" si="1"/>
        <v>380085.21050000004</v>
      </c>
      <c r="G12" s="40">
        <v>0</v>
      </c>
      <c r="H12" s="40">
        <v>0</v>
      </c>
      <c r="I12" s="40">
        <v>0</v>
      </c>
      <c r="J12" s="40">
        <v>2261.6882999999998</v>
      </c>
      <c r="K12" s="40">
        <v>454.76420000000002</v>
      </c>
      <c r="L12" s="40">
        <v>0</v>
      </c>
      <c r="M12" s="40">
        <v>5459.7965999999997</v>
      </c>
      <c r="N12" s="40">
        <v>660.10490000000004</v>
      </c>
      <c r="O12" s="40">
        <v>1842.4192</v>
      </c>
      <c r="P12" s="40">
        <v>0</v>
      </c>
      <c r="Q12" s="40">
        <v>2050.3539999999998</v>
      </c>
      <c r="R12" s="40">
        <v>0</v>
      </c>
      <c r="S12" s="40">
        <v>0</v>
      </c>
      <c r="T12" s="40">
        <v>0</v>
      </c>
      <c r="U12" s="40">
        <v>0.5</v>
      </c>
      <c r="V12" s="40">
        <v>753.93540000000007</v>
      </c>
      <c r="W12" s="76">
        <f t="shared" si="2"/>
        <v>393568.77309999999</v>
      </c>
      <c r="X12" s="36"/>
      <c r="Y12" s="42">
        <v>3701.851956</v>
      </c>
      <c r="Z12" s="38"/>
      <c r="AA12" s="43">
        <v>0</v>
      </c>
      <c r="AB12" s="36"/>
      <c r="AC12" s="76">
        <f t="shared" si="3"/>
        <v>397270.62505600002</v>
      </c>
      <c r="AD12" s="29"/>
      <c r="AE12" s="25"/>
      <c r="AF12" s="113"/>
      <c r="AG12" s="2"/>
      <c r="AH12" s="34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159120.23940000002</v>
      </c>
      <c r="C13" s="40">
        <v>0</v>
      </c>
      <c r="D13" s="76">
        <f t="shared" si="0"/>
        <v>159120.23940000002</v>
      </c>
      <c r="E13" s="40">
        <v>3.2166999999999999</v>
      </c>
      <c r="F13" s="76">
        <f t="shared" si="1"/>
        <v>159123.45610000001</v>
      </c>
      <c r="G13" s="40">
        <v>0</v>
      </c>
      <c r="H13" s="40">
        <v>0</v>
      </c>
      <c r="I13" s="40">
        <v>0</v>
      </c>
      <c r="J13" s="40">
        <v>946.8673</v>
      </c>
      <c r="K13" s="40">
        <v>145.41249999999999</v>
      </c>
      <c r="L13" s="40">
        <v>0</v>
      </c>
      <c r="M13" s="40">
        <v>1745.79</v>
      </c>
      <c r="N13" s="40">
        <v>276.35599999999999</v>
      </c>
      <c r="O13" s="40">
        <v>449.13830000000002</v>
      </c>
      <c r="P13" s="40">
        <v>0</v>
      </c>
      <c r="Q13" s="40">
        <v>1796.3279</v>
      </c>
      <c r="R13" s="40">
        <v>0</v>
      </c>
      <c r="S13" s="40">
        <v>0</v>
      </c>
      <c r="T13" s="40">
        <v>0</v>
      </c>
      <c r="U13" s="40">
        <v>1.5</v>
      </c>
      <c r="V13" s="40">
        <v>315.6386</v>
      </c>
      <c r="W13" s="76">
        <f t="shared" si="2"/>
        <v>164800.48670000004</v>
      </c>
      <c r="X13" s="36"/>
      <c r="Y13" s="42">
        <v>4515.886716</v>
      </c>
      <c r="Z13" s="38"/>
      <c r="AA13" s="43">
        <v>0</v>
      </c>
      <c r="AB13" s="36"/>
      <c r="AC13" s="76">
        <f t="shared" si="3"/>
        <v>169316.37341600005</v>
      </c>
      <c r="AD13" s="29"/>
      <c r="AE13" s="25"/>
      <c r="AF13" s="113"/>
      <c r="AG13" s="2"/>
      <c r="AH13" s="3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213534.41459999999</v>
      </c>
      <c r="C14" s="40">
        <v>0</v>
      </c>
      <c r="D14" s="76">
        <f t="shared" si="0"/>
        <v>213534.41459999999</v>
      </c>
      <c r="E14" s="40">
        <v>2.8</v>
      </c>
      <c r="F14" s="76">
        <f t="shared" si="1"/>
        <v>213537.21459999998</v>
      </c>
      <c r="G14" s="40">
        <v>0</v>
      </c>
      <c r="H14" s="40">
        <v>0</v>
      </c>
      <c r="I14" s="40">
        <v>0</v>
      </c>
      <c r="J14" s="40">
        <v>1270.6665</v>
      </c>
      <c r="K14" s="40">
        <v>114.3189</v>
      </c>
      <c r="L14" s="40">
        <v>0</v>
      </c>
      <c r="M14" s="40">
        <v>1372.4874</v>
      </c>
      <c r="N14" s="40">
        <v>370.86379999999997</v>
      </c>
      <c r="O14" s="40">
        <v>465.43450000000001</v>
      </c>
      <c r="P14" s="40">
        <v>0</v>
      </c>
      <c r="Q14" s="40">
        <v>1669.3148000000001</v>
      </c>
      <c r="R14" s="40">
        <v>0</v>
      </c>
      <c r="S14" s="40">
        <v>0</v>
      </c>
      <c r="T14" s="40">
        <v>0</v>
      </c>
      <c r="U14" s="40">
        <v>0.5</v>
      </c>
      <c r="V14" s="40">
        <v>423.58019999999999</v>
      </c>
      <c r="W14" s="76">
        <f t="shared" si="2"/>
        <v>219224.38069999998</v>
      </c>
      <c r="X14" s="36"/>
      <c r="Y14" s="42">
        <v>5509.6702319999995</v>
      </c>
      <c r="Z14" s="38"/>
      <c r="AA14" s="43">
        <v>0</v>
      </c>
      <c r="AB14" s="36"/>
      <c r="AC14" s="76">
        <f t="shared" si="3"/>
        <v>224734.05093199998</v>
      </c>
      <c r="AD14" s="29"/>
      <c r="AE14" s="25"/>
      <c r="AF14" s="113"/>
      <c r="AG14" s="2"/>
      <c r="AH14" s="3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67694.783900000009</v>
      </c>
      <c r="C15" s="40">
        <v>0</v>
      </c>
      <c r="D15" s="76">
        <f t="shared" si="0"/>
        <v>67694.783900000009</v>
      </c>
      <c r="E15" s="40">
        <v>2.0167000000000002</v>
      </c>
      <c r="F15" s="76">
        <f t="shared" si="1"/>
        <v>67696.800600000002</v>
      </c>
      <c r="G15" s="40">
        <v>0</v>
      </c>
      <c r="H15" s="40">
        <v>0</v>
      </c>
      <c r="I15" s="40">
        <v>0</v>
      </c>
      <c r="J15" s="40">
        <v>402.82729999999998</v>
      </c>
      <c r="K15" s="40">
        <v>44.7194</v>
      </c>
      <c r="L15" s="40">
        <v>0</v>
      </c>
      <c r="M15" s="40">
        <v>536.8913</v>
      </c>
      <c r="N15" s="40">
        <v>117.5732</v>
      </c>
      <c r="O15" s="40">
        <v>395.72120000000001</v>
      </c>
      <c r="P15" s="40">
        <v>0</v>
      </c>
      <c r="Q15" s="40">
        <v>1161.2625</v>
      </c>
      <c r="R15" s="40">
        <v>0</v>
      </c>
      <c r="S15" s="40">
        <v>0</v>
      </c>
      <c r="T15" s="40">
        <v>0</v>
      </c>
      <c r="U15" s="40">
        <v>3</v>
      </c>
      <c r="V15" s="40">
        <v>134.28560000000002</v>
      </c>
      <c r="W15" s="76">
        <f t="shared" si="2"/>
        <v>70493.08110000001</v>
      </c>
      <c r="X15" s="36"/>
      <c r="Y15" s="42">
        <v>1049.3784839999998</v>
      </c>
      <c r="Z15" s="38"/>
      <c r="AA15" s="43">
        <v>0</v>
      </c>
      <c r="AB15" s="36"/>
      <c r="AC15" s="76">
        <f t="shared" si="3"/>
        <v>71542.459584000011</v>
      </c>
      <c r="AD15" s="29"/>
      <c r="AE15" s="25"/>
      <c r="AF15" s="113"/>
      <c r="AG15" s="2"/>
      <c r="AH15" s="34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208999.9</v>
      </c>
      <c r="C16" s="40">
        <v>0</v>
      </c>
      <c r="D16" s="76">
        <f t="shared" si="0"/>
        <v>208999.9</v>
      </c>
      <c r="E16" s="40">
        <v>5.6249000000000002</v>
      </c>
      <c r="F16" s="76">
        <f t="shared" si="1"/>
        <v>209005.52489999999</v>
      </c>
      <c r="G16" s="40">
        <v>0</v>
      </c>
      <c r="H16" s="40">
        <v>0</v>
      </c>
      <c r="I16" s="40">
        <v>0</v>
      </c>
      <c r="J16" s="40">
        <v>1243.6833000000001</v>
      </c>
      <c r="K16" s="40">
        <v>197.35769999999999</v>
      </c>
      <c r="L16" s="40">
        <v>0</v>
      </c>
      <c r="M16" s="40">
        <v>2369.4316000000003</v>
      </c>
      <c r="N16" s="40">
        <v>362.98259999999999</v>
      </c>
      <c r="O16" s="40">
        <v>614.28489999999999</v>
      </c>
      <c r="P16" s="40">
        <v>0</v>
      </c>
      <c r="Q16" s="40">
        <v>1415.2886000000001</v>
      </c>
      <c r="R16" s="40">
        <v>0</v>
      </c>
      <c r="S16" s="40">
        <v>0</v>
      </c>
      <c r="T16" s="40">
        <v>0</v>
      </c>
      <c r="U16" s="40">
        <v>1.8</v>
      </c>
      <c r="V16" s="40">
        <v>414.57870000000003</v>
      </c>
      <c r="W16" s="76">
        <f t="shared" si="2"/>
        <v>215624.93229999999</v>
      </c>
      <c r="X16" s="36"/>
      <c r="Y16" s="42">
        <v>2546.4619400000001</v>
      </c>
      <c r="Z16" s="38"/>
      <c r="AA16" s="43">
        <v>0</v>
      </c>
      <c r="AB16" s="36"/>
      <c r="AC16" s="76">
        <f t="shared" si="3"/>
        <v>218171.39423999999</v>
      </c>
      <c r="AD16" s="29"/>
      <c r="AE16" s="25"/>
      <c r="AF16" s="113"/>
      <c r="AG16" s="2"/>
      <c r="AH16" s="34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155822.4106</v>
      </c>
      <c r="C17" s="40">
        <v>0</v>
      </c>
      <c r="D17" s="76">
        <f t="shared" si="0"/>
        <v>155822.4106</v>
      </c>
      <c r="E17" s="40">
        <v>1.7251000000000001</v>
      </c>
      <c r="F17" s="76">
        <f t="shared" si="1"/>
        <v>155824.13570000001</v>
      </c>
      <c r="G17" s="40">
        <v>0</v>
      </c>
      <c r="H17" s="40">
        <v>0</v>
      </c>
      <c r="I17" s="40">
        <v>0</v>
      </c>
      <c r="J17" s="40">
        <v>927.24310000000003</v>
      </c>
      <c r="K17" s="40">
        <v>53.252000000000002</v>
      </c>
      <c r="L17" s="40">
        <v>0</v>
      </c>
      <c r="M17" s="40">
        <v>639.33140000000003</v>
      </c>
      <c r="N17" s="40">
        <v>270.63099999999997</v>
      </c>
      <c r="O17" s="40">
        <v>319.60990000000004</v>
      </c>
      <c r="P17" s="40">
        <v>0</v>
      </c>
      <c r="Q17" s="40">
        <v>1451.5781000000002</v>
      </c>
      <c r="R17" s="40">
        <v>0</v>
      </c>
      <c r="S17" s="40">
        <v>0</v>
      </c>
      <c r="T17" s="40">
        <v>0</v>
      </c>
      <c r="U17" s="40">
        <v>2.2000000000000002</v>
      </c>
      <c r="V17" s="40">
        <v>309.09980000000002</v>
      </c>
      <c r="W17" s="76">
        <f t="shared" si="2"/>
        <v>159797.08100000003</v>
      </c>
      <c r="X17" s="36"/>
      <c r="Y17" s="42">
        <v>2717.6068919999998</v>
      </c>
      <c r="Z17" s="38"/>
      <c r="AA17" s="43">
        <v>0</v>
      </c>
      <c r="AB17" s="36"/>
      <c r="AC17" s="76">
        <f t="shared" si="3"/>
        <v>162514.68789200005</v>
      </c>
      <c r="AD17" s="29"/>
      <c r="AE17" s="25"/>
      <c r="AF17" s="113"/>
      <c r="AG17" s="2"/>
      <c r="AH17" s="34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121607.4369</v>
      </c>
      <c r="C18" s="40">
        <v>0</v>
      </c>
      <c r="D18" s="76">
        <f t="shared" si="0"/>
        <v>121607.4369</v>
      </c>
      <c r="E18" s="40">
        <v>2.7749999999999999</v>
      </c>
      <c r="F18" s="76">
        <f t="shared" si="1"/>
        <v>121610.21189999999</v>
      </c>
      <c r="G18" s="40">
        <v>0</v>
      </c>
      <c r="H18" s="40">
        <v>0</v>
      </c>
      <c r="I18" s="40">
        <v>0</v>
      </c>
      <c r="J18" s="40">
        <v>723.64210000000003</v>
      </c>
      <c r="K18" s="40">
        <v>0</v>
      </c>
      <c r="L18" s="40">
        <v>0</v>
      </c>
      <c r="M18" s="40">
        <v>0</v>
      </c>
      <c r="N18" s="40">
        <v>211.202</v>
      </c>
      <c r="O18" s="40">
        <v>327.06220000000002</v>
      </c>
      <c r="P18" s="40">
        <v>0</v>
      </c>
      <c r="Q18" s="40">
        <v>1088.6836000000001</v>
      </c>
      <c r="R18" s="40">
        <v>0</v>
      </c>
      <c r="S18" s="40">
        <v>0</v>
      </c>
      <c r="T18" s="40">
        <v>0</v>
      </c>
      <c r="U18" s="40">
        <v>2.2000000000000002</v>
      </c>
      <c r="V18" s="40">
        <v>241.22329999999999</v>
      </c>
      <c r="W18" s="76">
        <f t="shared" si="2"/>
        <v>124204.2251</v>
      </c>
      <c r="X18" s="36"/>
      <c r="Y18" s="42">
        <v>2628.1372700000002</v>
      </c>
      <c r="Z18" s="38"/>
      <c r="AA18" s="43">
        <v>0</v>
      </c>
      <c r="AB18" s="36"/>
      <c r="AC18" s="76">
        <f t="shared" si="3"/>
        <v>126832.36237</v>
      </c>
      <c r="AD18" s="29"/>
      <c r="AE18" s="25"/>
      <c r="AF18" s="113"/>
      <c r="AG18" s="2"/>
      <c r="AH18" s="3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81954.20229999999</v>
      </c>
      <c r="C19" s="40">
        <v>0</v>
      </c>
      <c r="D19" s="76">
        <f t="shared" si="0"/>
        <v>81954.20229999999</v>
      </c>
      <c r="E19" s="40">
        <v>1.6</v>
      </c>
      <c r="F19" s="76">
        <f t="shared" si="1"/>
        <v>81955.802299999996</v>
      </c>
      <c r="G19" s="40">
        <v>0</v>
      </c>
      <c r="H19" s="40">
        <v>0</v>
      </c>
      <c r="I19" s="40">
        <v>0</v>
      </c>
      <c r="J19" s="40">
        <v>487.60449999999997</v>
      </c>
      <c r="K19" s="40">
        <v>39.269599999999997</v>
      </c>
      <c r="L19" s="40">
        <v>2.0000000000000002E-7</v>
      </c>
      <c r="M19" s="40">
        <v>471.5795</v>
      </c>
      <c r="N19" s="40">
        <v>142.31320000000002</v>
      </c>
      <c r="O19" s="40">
        <v>412.27420000000001</v>
      </c>
      <c r="P19" s="40">
        <v>0</v>
      </c>
      <c r="Q19" s="40">
        <v>739.84609999999998</v>
      </c>
      <c r="R19" s="40">
        <v>0</v>
      </c>
      <c r="S19" s="40">
        <v>0</v>
      </c>
      <c r="T19" s="40">
        <v>0</v>
      </c>
      <c r="U19" s="40">
        <v>2.5</v>
      </c>
      <c r="V19" s="40">
        <v>162.54229999999998</v>
      </c>
      <c r="W19" s="76">
        <f t="shared" si="2"/>
        <v>84413.731700200005</v>
      </c>
      <c r="X19" s="36"/>
      <c r="Y19" s="42">
        <v>0</v>
      </c>
      <c r="Z19" s="38"/>
      <c r="AA19" s="43">
        <v>0</v>
      </c>
      <c r="AB19" s="36"/>
      <c r="AC19" s="76">
        <f t="shared" si="3"/>
        <v>84413.731700200005</v>
      </c>
      <c r="AD19" s="29"/>
      <c r="AE19" s="25"/>
      <c r="AF19" s="113"/>
      <c r="AG19" s="2"/>
      <c r="AH19" s="34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88629.1489</v>
      </c>
      <c r="C20" s="40">
        <v>0</v>
      </c>
      <c r="D20" s="76">
        <f t="shared" si="0"/>
        <v>88629.1489</v>
      </c>
      <c r="E20" s="40">
        <v>1.6916</v>
      </c>
      <c r="F20" s="76">
        <f t="shared" si="1"/>
        <v>88630.840500000006</v>
      </c>
      <c r="G20" s="40">
        <v>0</v>
      </c>
      <c r="H20" s="40">
        <v>0</v>
      </c>
      <c r="I20" s="40">
        <v>0</v>
      </c>
      <c r="J20" s="40">
        <v>527.40019999999993</v>
      </c>
      <c r="K20" s="40">
        <v>0</v>
      </c>
      <c r="L20" s="40">
        <v>0</v>
      </c>
      <c r="M20" s="40">
        <v>0</v>
      </c>
      <c r="N20" s="40">
        <v>153.92929999999998</v>
      </c>
      <c r="O20" s="40">
        <v>319.60740000000004</v>
      </c>
      <c r="P20" s="40">
        <v>0</v>
      </c>
      <c r="Q20" s="40">
        <v>725.78899999999999</v>
      </c>
      <c r="R20" s="40">
        <v>0</v>
      </c>
      <c r="S20" s="40">
        <v>0</v>
      </c>
      <c r="T20" s="40">
        <v>0</v>
      </c>
      <c r="U20" s="40">
        <v>2.2000000000000002</v>
      </c>
      <c r="V20" s="40">
        <v>175.80960000000002</v>
      </c>
      <c r="W20" s="76">
        <f t="shared" si="2"/>
        <v>90535.576000000001</v>
      </c>
      <c r="X20" s="36"/>
      <c r="Y20" s="42">
        <v>823.27088800000001</v>
      </c>
      <c r="Z20" s="38"/>
      <c r="AA20" s="43">
        <v>0</v>
      </c>
      <c r="AB20" s="36"/>
      <c r="AC20" s="76">
        <f t="shared" si="3"/>
        <v>91358.846888</v>
      </c>
      <c r="AD20" s="29"/>
      <c r="AE20" s="25"/>
      <c r="AF20" s="113"/>
      <c r="AG20" s="2"/>
      <c r="AH20" s="34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178494.98360000001</v>
      </c>
      <c r="C21" s="40">
        <v>0</v>
      </c>
      <c r="D21" s="76">
        <f t="shared" si="0"/>
        <v>178494.98360000001</v>
      </c>
      <c r="E21" s="40">
        <v>5.1416000000000004</v>
      </c>
      <c r="F21" s="76">
        <f t="shared" si="1"/>
        <v>178500.12520000001</v>
      </c>
      <c r="G21" s="40">
        <v>0</v>
      </c>
      <c r="H21" s="40">
        <v>0</v>
      </c>
      <c r="I21" s="40">
        <v>0</v>
      </c>
      <c r="J21" s="40">
        <v>1062.1595</v>
      </c>
      <c r="K21" s="40">
        <v>0</v>
      </c>
      <c r="L21" s="40">
        <v>0</v>
      </c>
      <c r="M21" s="40">
        <v>0</v>
      </c>
      <c r="N21" s="40">
        <v>310.00740000000002</v>
      </c>
      <c r="O21" s="40">
        <v>647.38630000000001</v>
      </c>
      <c r="P21" s="40">
        <v>0</v>
      </c>
      <c r="Q21" s="40">
        <v>1451.5781000000002</v>
      </c>
      <c r="R21" s="40">
        <v>0</v>
      </c>
      <c r="S21" s="40">
        <v>0</v>
      </c>
      <c r="T21" s="40">
        <v>0</v>
      </c>
      <c r="U21" s="40">
        <v>2.2000000000000002</v>
      </c>
      <c r="V21" s="40">
        <v>354.07329999999996</v>
      </c>
      <c r="W21" s="76">
        <f t="shared" si="2"/>
        <v>182327.52980000005</v>
      </c>
      <c r="X21" s="36"/>
      <c r="Y21" s="42">
        <v>3852.3228039999999</v>
      </c>
      <c r="Z21" s="38"/>
      <c r="AA21" s="43">
        <v>0</v>
      </c>
      <c r="AB21" s="36"/>
      <c r="AC21" s="76">
        <f t="shared" si="3"/>
        <v>186179.85260400004</v>
      </c>
      <c r="AD21" s="29"/>
      <c r="AE21" s="25"/>
      <c r="AF21" s="113"/>
      <c r="AG21" s="2"/>
      <c r="AH21" s="34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141394.40969999999</v>
      </c>
      <c r="C22" s="40">
        <v>0</v>
      </c>
      <c r="D22" s="76">
        <f t="shared" si="0"/>
        <v>141394.40969999999</v>
      </c>
      <c r="E22" s="40">
        <v>2.8416999999999999</v>
      </c>
      <c r="F22" s="76">
        <f t="shared" si="1"/>
        <v>141397.25139999998</v>
      </c>
      <c r="G22" s="40">
        <v>0</v>
      </c>
      <c r="H22" s="40">
        <v>0</v>
      </c>
      <c r="I22" s="40">
        <v>0</v>
      </c>
      <c r="J22" s="40">
        <v>841.3873000000001</v>
      </c>
      <c r="K22" s="40">
        <v>62.432199999999995</v>
      </c>
      <c r="L22" s="40">
        <v>0</v>
      </c>
      <c r="M22" s="40">
        <v>749.54650000000004</v>
      </c>
      <c r="N22" s="40">
        <v>245.56710000000001</v>
      </c>
      <c r="O22" s="40">
        <v>459.10540000000003</v>
      </c>
      <c r="P22" s="40">
        <v>0</v>
      </c>
      <c r="Q22" s="40">
        <v>1705.6042</v>
      </c>
      <c r="R22" s="40">
        <v>0</v>
      </c>
      <c r="S22" s="40">
        <v>0</v>
      </c>
      <c r="T22" s="40">
        <v>0</v>
      </c>
      <c r="U22" s="40">
        <v>2.2000000000000002</v>
      </c>
      <c r="V22" s="40">
        <v>280.47320000000002</v>
      </c>
      <c r="W22" s="76">
        <f t="shared" si="2"/>
        <v>145743.5673</v>
      </c>
      <c r="X22" s="36"/>
      <c r="Y22" s="42">
        <v>5086.4404800000002</v>
      </c>
      <c r="Z22" s="38"/>
      <c r="AA22" s="43">
        <v>0</v>
      </c>
      <c r="AB22" s="36"/>
      <c r="AC22" s="76">
        <f t="shared" si="3"/>
        <v>150830.00777999999</v>
      </c>
      <c r="AD22" s="29"/>
      <c r="AE22" s="25"/>
      <c r="AF22" s="113"/>
      <c r="AG22" s="2"/>
      <c r="AH22" s="34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74290.441500000001</v>
      </c>
      <c r="C23" s="40">
        <v>0</v>
      </c>
      <c r="D23" s="76">
        <f t="shared" si="0"/>
        <v>74290.441500000001</v>
      </c>
      <c r="E23" s="40">
        <v>1.4499</v>
      </c>
      <c r="F23" s="76">
        <f t="shared" si="1"/>
        <v>74291.891400000008</v>
      </c>
      <c r="G23" s="40">
        <v>0</v>
      </c>
      <c r="H23" s="40">
        <v>0</v>
      </c>
      <c r="I23" s="40">
        <v>0</v>
      </c>
      <c r="J23" s="40">
        <v>442.07569999999998</v>
      </c>
      <c r="K23" s="40">
        <v>28.077500000000001</v>
      </c>
      <c r="L23" s="40">
        <v>0</v>
      </c>
      <c r="M23" s="40">
        <v>337.09210000000002</v>
      </c>
      <c r="N23" s="40">
        <v>129.0232</v>
      </c>
      <c r="O23" s="40">
        <v>492.70259999999996</v>
      </c>
      <c r="P23" s="40">
        <v>0</v>
      </c>
      <c r="Q23" s="40">
        <v>1560.4463999999998</v>
      </c>
      <c r="R23" s="40">
        <v>0</v>
      </c>
      <c r="S23" s="40">
        <v>0</v>
      </c>
      <c r="T23" s="40">
        <v>0</v>
      </c>
      <c r="U23" s="40">
        <v>2.5</v>
      </c>
      <c r="V23" s="40">
        <v>147.36320000000001</v>
      </c>
      <c r="W23" s="76">
        <f t="shared" si="2"/>
        <v>77431.172100000011</v>
      </c>
      <c r="X23" s="36"/>
      <c r="Y23" s="42">
        <v>1411.3118359999999</v>
      </c>
      <c r="Z23" s="38"/>
      <c r="AA23" s="43">
        <v>0</v>
      </c>
      <c r="AB23" s="36"/>
      <c r="AC23" s="76">
        <f t="shared" si="3"/>
        <v>78842.483936000004</v>
      </c>
      <c r="AD23" s="29"/>
      <c r="AE23" s="25"/>
      <c r="AF23" s="113"/>
      <c r="AG23" s="2"/>
      <c r="AH23" s="34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108003.8931</v>
      </c>
      <c r="C24" s="40">
        <v>0</v>
      </c>
      <c r="D24" s="76">
        <f t="shared" si="0"/>
        <v>108003.8931</v>
      </c>
      <c r="E24" s="40">
        <v>1.2167000000000001</v>
      </c>
      <c r="F24" s="76">
        <f t="shared" si="1"/>
        <v>108005.10980000001</v>
      </c>
      <c r="G24" s="40">
        <v>0</v>
      </c>
      <c r="H24" s="40">
        <v>0</v>
      </c>
      <c r="I24" s="40">
        <v>0</v>
      </c>
      <c r="J24" s="40">
        <v>642.69230000000005</v>
      </c>
      <c r="K24" s="40">
        <v>0</v>
      </c>
      <c r="L24" s="40">
        <v>0</v>
      </c>
      <c r="M24" s="40">
        <v>0</v>
      </c>
      <c r="N24" s="40">
        <v>187.58070000000001</v>
      </c>
      <c r="O24" s="40">
        <v>391.54349999999999</v>
      </c>
      <c r="P24" s="40">
        <v>0</v>
      </c>
      <c r="Q24" s="40">
        <v>1633.0253</v>
      </c>
      <c r="R24" s="40">
        <v>0</v>
      </c>
      <c r="S24" s="40">
        <v>0</v>
      </c>
      <c r="T24" s="40">
        <v>0</v>
      </c>
      <c r="U24" s="40">
        <v>2.5</v>
      </c>
      <c r="V24" s="40">
        <v>214.24429999999998</v>
      </c>
      <c r="W24" s="76">
        <f t="shared" si="2"/>
        <v>111076.69590000001</v>
      </c>
      <c r="X24" s="36"/>
      <c r="Y24" s="42">
        <v>1320.904464</v>
      </c>
      <c r="Z24" s="38"/>
      <c r="AA24" s="43">
        <v>0</v>
      </c>
      <c r="AB24" s="36"/>
      <c r="AC24" s="76">
        <f t="shared" si="3"/>
        <v>112397.60036400001</v>
      </c>
      <c r="AD24" s="29"/>
      <c r="AE24" s="25"/>
      <c r="AF24" s="113"/>
      <c r="AG24" s="2"/>
      <c r="AH24" s="34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164066.98259999999</v>
      </c>
      <c r="C25" s="40">
        <v>0</v>
      </c>
      <c r="D25" s="76">
        <f t="shared" si="0"/>
        <v>164066.98259999999</v>
      </c>
      <c r="E25" s="40">
        <v>3.3167</v>
      </c>
      <c r="F25" s="76">
        <f t="shared" si="1"/>
        <v>164070.29929999998</v>
      </c>
      <c r="G25" s="40">
        <v>0</v>
      </c>
      <c r="H25" s="40">
        <v>0</v>
      </c>
      <c r="I25" s="40">
        <v>0</v>
      </c>
      <c r="J25" s="40">
        <v>976.30359999999996</v>
      </c>
      <c r="K25" s="40">
        <v>0</v>
      </c>
      <c r="L25" s="40">
        <v>0</v>
      </c>
      <c r="M25" s="40">
        <v>0</v>
      </c>
      <c r="N25" s="40">
        <v>284.95100000000002</v>
      </c>
      <c r="O25" s="40">
        <v>482.12</v>
      </c>
      <c r="P25" s="40">
        <v>0</v>
      </c>
      <c r="Q25" s="40">
        <v>1451.5781000000002</v>
      </c>
      <c r="R25" s="40">
        <v>0</v>
      </c>
      <c r="S25" s="40">
        <v>0</v>
      </c>
      <c r="T25" s="40">
        <v>0</v>
      </c>
      <c r="U25" s="40">
        <v>2.5</v>
      </c>
      <c r="V25" s="40">
        <v>325.4554</v>
      </c>
      <c r="W25" s="76">
        <f t="shared" si="2"/>
        <v>167593.20740000001</v>
      </c>
      <c r="X25" s="36"/>
      <c r="Y25" s="42">
        <v>7165.1566800000001</v>
      </c>
      <c r="Z25" s="38"/>
      <c r="AA25" s="43">
        <v>0</v>
      </c>
      <c r="AB25" s="36"/>
      <c r="AC25" s="76">
        <f t="shared" si="3"/>
        <v>174758.36408000003</v>
      </c>
      <c r="AD25" s="29"/>
      <c r="AE25" s="25"/>
      <c r="AF25" s="113"/>
      <c r="AG25" s="2"/>
      <c r="AH25" s="34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144692.2384</v>
      </c>
      <c r="C26" s="40">
        <v>0</v>
      </c>
      <c r="D26" s="76">
        <f t="shared" si="0"/>
        <v>144692.2384</v>
      </c>
      <c r="E26" s="40">
        <v>2.5083000000000002</v>
      </c>
      <c r="F26" s="76">
        <f t="shared" si="1"/>
        <v>144694.74669999999</v>
      </c>
      <c r="G26" s="40">
        <v>0</v>
      </c>
      <c r="H26" s="40">
        <v>0</v>
      </c>
      <c r="I26" s="40">
        <v>0</v>
      </c>
      <c r="J26" s="40">
        <v>861.01149999999996</v>
      </c>
      <c r="K26" s="40">
        <v>0</v>
      </c>
      <c r="L26" s="40">
        <v>0</v>
      </c>
      <c r="M26" s="40">
        <v>0</v>
      </c>
      <c r="N26" s="40">
        <v>251.2997</v>
      </c>
      <c r="O26" s="40">
        <v>353.33209999999997</v>
      </c>
      <c r="P26" s="40">
        <v>0</v>
      </c>
      <c r="Q26" s="40">
        <v>1324.5650000000001</v>
      </c>
      <c r="R26" s="40">
        <v>0</v>
      </c>
      <c r="S26" s="40">
        <v>0</v>
      </c>
      <c r="T26" s="40">
        <v>0</v>
      </c>
      <c r="U26" s="40">
        <v>2.2000000000000002</v>
      </c>
      <c r="V26" s="40">
        <v>287.0206</v>
      </c>
      <c r="W26" s="76">
        <f t="shared" si="2"/>
        <v>147774.17559999999</v>
      </c>
      <c r="X26" s="36"/>
      <c r="Y26" s="42">
        <v>1661.6079259999999</v>
      </c>
      <c r="Z26" s="38"/>
      <c r="AA26" s="43">
        <v>0</v>
      </c>
      <c r="AB26" s="36"/>
      <c r="AC26" s="76">
        <f t="shared" si="3"/>
        <v>149435.78352599998</v>
      </c>
      <c r="AD26" s="29"/>
      <c r="AE26" s="25"/>
      <c r="AF26" s="113"/>
      <c r="AG26" s="2"/>
      <c r="AH26" s="3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97698.17809999999</v>
      </c>
      <c r="C27" s="40">
        <v>0</v>
      </c>
      <c r="D27" s="76">
        <f t="shared" si="0"/>
        <v>97698.17809999999</v>
      </c>
      <c r="E27" s="40">
        <v>1.5751000000000002</v>
      </c>
      <c r="F27" s="76">
        <f t="shared" si="1"/>
        <v>97699.753199999992</v>
      </c>
      <c r="G27" s="40">
        <v>0</v>
      </c>
      <c r="H27" s="40">
        <v>0</v>
      </c>
      <c r="I27" s="40">
        <v>0</v>
      </c>
      <c r="J27" s="40">
        <v>581.36669999999992</v>
      </c>
      <c r="K27" s="40">
        <v>0</v>
      </c>
      <c r="L27" s="40">
        <v>0</v>
      </c>
      <c r="M27" s="40">
        <v>0</v>
      </c>
      <c r="N27" s="40">
        <v>169.67689999999999</v>
      </c>
      <c r="O27" s="40">
        <v>299.2251</v>
      </c>
      <c r="P27" s="40">
        <v>0</v>
      </c>
      <c r="Q27" s="40">
        <v>1324.5650000000001</v>
      </c>
      <c r="R27" s="40">
        <v>0</v>
      </c>
      <c r="S27" s="40">
        <v>0</v>
      </c>
      <c r="T27" s="40">
        <v>0</v>
      </c>
      <c r="U27" s="40">
        <v>2.2000000000000002</v>
      </c>
      <c r="V27" s="40">
        <v>193.79560000000001</v>
      </c>
      <c r="W27" s="76">
        <f t="shared" si="2"/>
        <v>100270.58249999999</v>
      </c>
      <c r="X27" s="36"/>
      <c r="Y27" s="42">
        <v>0</v>
      </c>
      <c r="Z27" s="38"/>
      <c r="AA27" s="43">
        <v>0</v>
      </c>
      <c r="AB27" s="36"/>
      <c r="AC27" s="76">
        <f t="shared" si="3"/>
        <v>100270.58249999999</v>
      </c>
      <c r="AD27" s="29"/>
      <c r="AE27" s="25"/>
      <c r="AF27" s="113"/>
      <c r="AG27" s="2"/>
      <c r="AH27" s="34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67694.783900000009</v>
      </c>
      <c r="C28" s="40">
        <v>0</v>
      </c>
      <c r="D28" s="76">
        <f t="shared" si="0"/>
        <v>67694.783900000009</v>
      </c>
      <c r="E28" s="40">
        <v>0.70829999999999993</v>
      </c>
      <c r="F28" s="76">
        <f t="shared" si="1"/>
        <v>67695.492200000008</v>
      </c>
      <c r="G28" s="40">
        <v>0</v>
      </c>
      <c r="H28" s="40">
        <v>0</v>
      </c>
      <c r="I28" s="40">
        <v>0</v>
      </c>
      <c r="J28" s="40">
        <v>402.82729999999998</v>
      </c>
      <c r="K28" s="40">
        <v>36.4056</v>
      </c>
      <c r="L28" s="40">
        <v>0</v>
      </c>
      <c r="M28" s="40">
        <v>437.07759999999996</v>
      </c>
      <c r="N28" s="40">
        <v>117.5732</v>
      </c>
      <c r="O28" s="40">
        <v>316.26299999999998</v>
      </c>
      <c r="P28" s="40">
        <v>0</v>
      </c>
      <c r="Q28" s="40">
        <v>1161.2625</v>
      </c>
      <c r="R28" s="40">
        <v>0</v>
      </c>
      <c r="S28" s="40">
        <v>0</v>
      </c>
      <c r="T28" s="40">
        <v>0</v>
      </c>
      <c r="U28" s="40">
        <v>3</v>
      </c>
      <c r="V28" s="40">
        <v>134.28560000000002</v>
      </c>
      <c r="W28" s="76">
        <f t="shared" si="2"/>
        <v>70304.18700000002</v>
      </c>
      <c r="X28" s="36"/>
      <c r="Y28" s="42">
        <v>229.503648</v>
      </c>
      <c r="Z28" s="38"/>
      <c r="AA28" s="43">
        <v>0</v>
      </c>
      <c r="AB28" s="36"/>
      <c r="AC28" s="76">
        <f t="shared" si="3"/>
        <v>70533.690648000018</v>
      </c>
      <c r="AD28" s="29"/>
      <c r="AE28" s="25"/>
      <c r="AF28" s="113"/>
      <c r="AG28" s="2"/>
      <c r="AH28" s="34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390017.9474</v>
      </c>
      <c r="C29" s="40">
        <v>0</v>
      </c>
      <c r="D29" s="76">
        <f t="shared" si="0"/>
        <v>390017.9474</v>
      </c>
      <c r="E29" s="40">
        <v>11.290799999999999</v>
      </c>
      <c r="F29" s="76">
        <f t="shared" si="1"/>
        <v>390029.23820000002</v>
      </c>
      <c r="G29" s="40">
        <v>0</v>
      </c>
      <c r="H29" s="40">
        <v>0</v>
      </c>
      <c r="I29" s="40">
        <v>0</v>
      </c>
      <c r="J29" s="40">
        <v>2320.4974999999999</v>
      </c>
      <c r="K29" s="40">
        <v>500.50600000000009</v>
      </c>
      <c r="L29" s="40">
        <v>8.1000000000000008E-7</v>
      </c>
      <c r="M29" s="40">
        <v>6010.4610000000002</v>
      </c>
      <c r="N29" s="40">
        <v>707.27049999999997</v>
      </c>
      <c r="O29" s="40">
        <v>1403.1988000000001</v>
      </c>
      <c r="P29" s="40">
        <v>0</v>
      </c>
      <c r="Q29" s="40">
        <v>2090.0652</v>
      </c>
      <c r="R29" s="40">
        <v>0</v>
      </c>
      <c r="S29" s="40">
        <v>0</v>
      </c>
      <c r="T29" s="40">
        <v>0</v>
      </c>
      <c r="U29" s="40">
        <v>0.5</v>
      </c>
      <c r="V29" s="40">
        <v>773.54110000000003</v>
      </c>
      <c r="W29" s="76">
        <f t="shared" si="2"/>
        <v>403835.27830081002</v>
      </c>
      <c r="X29" s="36"/>
      <c r="Y29" s="42">
        <v>4219.21324</v>
      </c>
      <c r="Z29" s="38"/>
      <c r="AA29" s="43">
        <v>0</v>
      </c>
      <c r="AB29" s="36"/>
      <c r="AC29" s="76">
        <f t="shared" si="3"/>
        <v>408054.49154081004</v>
      </c>
      <c r="AD29" s="29"/>
      <c r="AE29" s="25"/>
      <c r="AF29" s="113"/>
      <c r="AG29" s="2"/>
      <c r="AH29" s="34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176846.0692</v>
      </c>
      <c r="C30" s="40">
        <v>0</v>
      </c>
      <c r="D30" s="76">
        <f t="shared" si="0"/>
        <v>176846.0692</v>
      </c>
      <c r="E30" s="40">
        <v>2.6333000000000002</v>
      </c>
      <c r="F30" s="76">
        <f t="shared" si="1"/>
        <v>176848.70249999998</v>
      </c>
      <c r="G30" s="40">
        <v>0</v>
      </c>
      <c r="H30" s="40">
        <v>0</v>
      </c>
      <c r="I30" s="40">
        <v>0</v>
      </c>
      <c r="J30" s="40">
        <v>1052.3473999999999</v>
      </c>
      <c r="K30" s="40">
        <v>0</v>
      </c>
      <c r="L30" s="40">
        <v>0</v>
      </c>
      <c r="M30" s="40">
        <v>0</v>
      </c>
      <c r="N30" s="40">
        <v>307.14490000000001</v>
      </c>
      <c r="O30" s="40">
        <v>630.99719999999991</v>
      </c>
      <c r="P30" s="40">
        <v>0</v>
      </c>
      <c r="Q30" s="40">
        <v>1560.4463999999998</v>
      </c>
      <c r="R30" s="40">
        <v>0</v>
      </c>
      <c r="S30" s="40">
        <v>0</v>
      </c>
      <c r="T30" s="40">
        <v>0</v>
      </c>
      <c r="U30" s="40">
        <v>2.2000000000000002</v>
      </c>
      <c r="V30" s="40">
        <v>350.8039</v>
      </c>
      <c r="W30" s="76">
        <f t="shared" si="2"/>
        <v>180752.64230000001</v>
      </c>
      <c r="X30" s="36"/>
      <c r="Y30" s="42">
        <v>4457.8741460000001</v>
      </c>
      <c r="Z30" s="38"/>
      <c r="AA30" s="43">
        <v>0</v>
      </c>
      <c r="AB30" s="36"/>
      <c r="AC30" s="76">
        <f t="shared" si="3"/>
        <v>185210.51644599999</v>
      </c>
      <c r="AD30" s="29"/>
      <c r="AE30" s="25"/>
      <c r="AF30" s="113"/>
      <c r="AG30" s="2"/>
      <c r="AH30" s="3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203640.92819999999</v>
      </c>
      <c r="C31" s="40">
        <v>0</v>
      </c>
      <c r="D31" s="76">
        <f t="shared" si="0"/>
        <v>203640.92819999999</v>
      </c>
      <c r="E31" s="40">
        <v>4.6500000000000004</v>
      </c>
      <c r="F31" s="76">
        <f t="shared" si="1"/>
        <v>203645.57819999999</v>
      </c>
      <c r="G31" s="40">
        <v>0</v>
      </c>
      <c r="H31" s="40">
        <v>0</v>
      </c>
      <c r="I31" s="40">
        <v>0</v>
      </c>
      <c r="J31" s="40">
        <v>1211.7938999999999</v>
      </c>
      <c r="K31" s="40">
        <v>0</v>
      </c>
      <c r="L31" s="40">
        <v>0</v>
      </c>
      <c r="M31" s="40">
        <v>0</v>
      </c>
      <c r="N31" s="40">
        <v>353.68129999999996</v>
      </c>
      <c r="O31" s="40">
        <v>469.00470000000001</v>
      </c>
      <c r="P31" s="40">
        <v>0</v>
      </c>
      <c r="Q31" s="40">
        <v>1524.1569999999999</v>
      </c>
      <c r="R31" s="40">
        <v>0</v>
      </c>
      <c r="S31" s="40">
        <v>0</v>
      </c>
      <c r="T31" s="40">
        <v>0</v>
      </c>
      <c r="U31" s="40">
        <v>2.2000000000000002</v>
      </c>
      <c r="V31" s="40">
        <v>403.95529999999997</v>
      </c>
      <c r="W31" s="76">
        <f t="shared" si="2"/>
        <v>207610.37039999999</v>
      </c>
      <c r="X31" s="36"/>
      <c r="Y31" s="42">
        <v>7726.8868499999999</v>
      </c>
      <c r="Z31" s="38"/>
      <c r="AA31" s="43">
        <v>0</v>
      </c>
      <c r="AB31" s="36"/>
      <c r="AC31" s="76">
        <f t="shared" si="3"/>
        <v>215337.25725</v>
      </c>
      <c r="AD31" s="29"/>
      <c r="AE31" s="25"/>
      <c r="AF31" s="113"/>
      <c r="AG31" s="2"/>
      <c r="AH31" s="34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52792.117200000001</v>
      </c>
      <c r="C32" s="40">
        <v>0</v>
      </c>
      <c r="D32" s="76">
        <f t="shared" si="0"/>
        <v>52792.117200000001</v>
      </c>
      <c r="E32" s="40">
        <v>1</v>
      </c>
      <c r="F32" s="76">
        <f t="shared" si="1"/>
        <v>52793.117200000001</v>
      </c>
      <c r="G32" s="40">
        <v>0</v>
      </c>
      <c r="H32" s="40">
        <v>0</v>
      </c>
      <c r="I32" s="40">
        <v>0</v>
      </c>
      <c r="J32" s="40">
        <v>314.14509999999996</v>
      </c>
      <c r="K32" s="40">
        <v>3.2291999999999996</v>
      </c>
      <c r="L32" s="40">
        <v>0</v>
      </c>
      <c r="M32" s="40">
        <v>38.769599999999997</v>
      </c>
      <c r="N32" s="40">
        <v>91.690399999999997</v>
      </c>
      <c r="O32" s="40">
        <v>258.30939999999998</v>
      </c>
      <c r="P32" s="40">
        <v>0</v>
      </c>
      <c r="Q32" s="40">
        <v>961.67049999999995</v>
      </c>
      <c r="R32" s="40">
        <v>0</v>
      </c>
      <c r="S32" s="40">
        <v>0</v>
      </c>
      <c r="T32" s="40">
        <v>0</v>
      </c>
      <c r="U32" s="40">
        <v>3</v>
      </c>
      <c r="V32" s="40">
        <v>104.72369999999999</v>
      </c>
      <c r="W32" s="76">
        <f t="shared" si="2"/>
        <v>54568.655100000004</v>
      </c>
      <c r="X32" s="36"/>
      <c r="Y32" s="42">
        <v>116.64694800000001</v>
      </c>
      <c r="Z32" s="38"/>
      <c r="AA32" s="37">
        <v>0</v>
      </c>
      <c r="AB32" s="36"/>
      <c r="AC32" s="76">
        <f t="shared" si="3"/>
        <v>54685.302048000005</v>
      </c>
      <c r="AD32" s="29"/>
      <c r="AE32" s="25"/>
      <c r="AF32" s="113"/>
      <c r="AG32" s="2"/>
      <c r="AH32" s="34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 t="shared" ref="B33:W33" si="4">SUM(B10:B32)</f>
        <v>4334951.2809000006</v>
      </c>
      <c r="C33" s="79">
        <f t="shared" si="4"/>
        <v>0</v>
      </c>
      <c r="D33" s="79">
        <f t="shared" si="4"/>
        <v>4334951.2809000006</v>
      </c>
      <c r="E33" s="79">
        <f t="shared" si="4"/>
        <v>107.0158</v>
      </c>
      <c r="F33" s="79">
        <f t="shared" si="4"/>
        <v>4335058.2967000017</v>
      </c>
      <c r="G33" s="79">
        <f t="shared" si="4"/>
        <v>0</v>
      </c>
      <c r="H33" s="79">
        <f t="shared" si="4"/>
        <v>0</v>
      </c>
      <c r="I33" s="79">
        <f t="shared" si="4"/>
        <v>0</v>
      </c>
      <c r="J33" s="79">
        <f t="shared" si="4"/>
        <v>25795.299899999998</v>
      </c>
      <c r="K33" s="79">
        <f t="shared" si="4"/>
        <v>3011.3948000000005</v>
      </c>
      <c r="L33" s="79">
        <f t="shared" si="4"/>
        <v>1.0100000000000001E-6</v>
      </c>
      <c r="M33" s="79">
        <f t="shared" si="4"/>
        <v>36155.745000000003</v>
      </c>
      <c r="N33" s="79">
        <f t="shared" si="4"/>
        <v>7528.7166999999999</v>
      </c>
      <c r="O33" s="79">
        <f t="shared" si="4"/>
        <v>15060.783100000002</v>
      </c>
      <c r="P33" s="79">
        <f t="shared" si="4"/>
        <v>0</v>
      </c>
      <c r="Q33" s="79">
        <f t="shared" si="4"/>
        <v>35871.457300000002</v>
      </c>
      <c r="R33" s="79">
        <f t="shared" si="4"/>
        <v>0</v>
      </c>
      <c r="S33" s="79">
        <f t="shared" si="4"/>
        <v>0</v>
      </c>
      <c r="T33" s="79">
        <f t="shared" si="4"/>
        <v>0</v>
      </c>
      <c r="U33" s="79">
        <f t="shared" si="4"/>
        <v>45.800000000000004</v>
      </c>
      <c r="V33" s="79">
        <f t="shared" si="4"/>
        <v>8598.8851000000013</v>
      </c>
      <c r="W33" s="79">
        <f t="shared" si="4"/>
        <v>4467126.3786010118</v>
      </c>
      <c r="X33" s="47"/>
      <c r="Y33" s="78">
        <f>SUM(Y10:Y32)</f>
        <v>176613.07253800007</v>
      </c>
      <c r="Z33" s="38"/>
      <c r="AA33" s="110">
        <f>SUM(AA10:AA32)</f>
        <v>0</v>
      </c>
      <c r="AB33" s="46"/>
      <c r="AC33" s="77">
        <f>SUM(AC10:AC32)</f>
        <v>4643739.4511390114</v>
      </c>
      <c r="AD33" s="29"/>
      <c r="AE33" s="25"/>
      <c r="AF33" s="113"/>
      <c r="AG33" s="46"/>
      <c r="AH33" s="34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105586.23450000001</v>
      </c>
      <c r="C34" s="40">
        <v>0</v>
      </c>
      <c r="D34" s="76">
        <f>B34+C34</f>
        <v>105586.23450000001</v>
      </c>
      <c r="E34" s="40">
        <v>0</v>
      </c>
      <c r="F34" s="76">
        <f>D34+E34</f>
        <v>105586.23450000001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471.7629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106057.99740000001</v>
      </c>
      <c r="X34" s="36"/>
      <c r="Y34" s="42"/>
      <c r="Z34" s="38"/>
      <c r="AA34" s="109">
        <v>0</v>
      </c>
      <c r="AB34" s="36"/>
      <c r="AC34" s="76">
        <f>+W34+Y34+AA34</f>
        <v>106057.99740000001</v>
      </c>
      <c r="AD34" s="29"/>
      <c r="AE34" s="25"/>
      <c r="AF34" s="113"/>
      <c r="AG34" s="2"/>
      <c r="AH34" s="34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>+W35+Y35+AA35</f>
        <v>0</v>
      </c>
      <c r="AD35" s="29"/>
      <c r="AF35" s="113"/>
      <c r="AG35" s="2"/>
      <c r="AH35" s="34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3034850.054</v>
      </c>
      <c r="C36" s="40">
        <v>0</v>
      </c>
      <c r="D36" s="76">
        <f>B36+C36</f>
        <v>3034850.054</v>
      </c>
      <c r="E36" s="40">
        <v>0</v>
      </c>
      <c r="F36" s="76">
        <f>D36+E36</f>
        <v>3034850.054</v>
      </c>
      <c r="G36" s="40">
        <v>0</v>
      </c>
      <c r="H36" s="40">
        <v>0</v>
      </c>
      <c r="I36" s="40">
        <v>0</v>
      </c>
      <c r="J36" s="40">
        <v>18687.143600000003</v>
      </c>
      <c r="K36" s="40">
        <v>0</v>
      </c>
      <c r="L36" s="40">
        <v>0</v>
      </c>
      <c r="M36" s="40">
        <v>0</v>
      </c>
      <c r="N36" s="40">
        <v>0</v>
      </c>
      <c r="O36" s="40">
        <v>25043.815500000001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3078581.0131000001</v>
      </c>
      <c r="X36" s="36"/>
      <c r="Y36" s="42">
        <f>-SUM(Y33)</f>
        <v>-176613.07253800007</v>
      </c>
      <c r="Z36" s="38"/>
      <c r="AA36" s="43">
        <f>-(AA33+AA34)</f>
        <v>0</v>
      </c>
      <c r="AB36" s="36"/>
      <c r="AC36" s="76">
        <f>+W36+Y36+AA36</f>
        <v>2901967.940562</v>
      </c>
      <c r="AD36" s="29"/>
      <c r="AE36" s="25"/>
      <c r="AF36" s="113"/>
      <c r="AG36" s="2"/>
      <c r="AH36" s="3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538793.58909999998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20022.565500000001</v>
      </c>
      <c r="W37" s="76">
        <f>SUM(F37:V37)</f>
        <v>558816.15460000001</v>
      </c>
      <c r="X37" s="36"/>
      <c r="Y37" s="42"/>
      <c r="Z37" s="38"/>
      <c r="AA37" s="43"/>
      <c r="AB37" s="36"/>
      <c r="AC37" s="76">
        <f>+W37+Y37+AA37</f>
        <v>558816.15460000001</v>
      </c>
      <c r="AD37" s="29"/>
      <c r="AE37" s="25"/>
      <c r="AF37" s="113"/>
      <c r="AG37" s="2"/>
      <c r="AH37" s="34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75418.738900000011</v>
      </c>
      <c r="C38" s="39">
        <v>0</v>
      </c>
      <c r="D38" s="76">
        <f>B38+C38</f>
        <v>75418.738900000011</v>
      </c>
      <c r="E38" s="39">
        <v>0</v>
      </c>
      <c r="F38" s="76">
        <f>D38+E38</f>
        <v>75418.738900000011</v>
      </c>
      <c r="G38" s="39">
        <v>0</v>
      </c>
      <c r="H38" s="39">
        <v>0</v>
      </c>
      <c r="I38" s="39">
        <v>0</v>
      </c>
      <c r="J38" s="39">
        <v>448.77870000000001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75867.517600000006</v>
      </c>
      <c r="X38" s="36"/>
      <c r="Y38" s="35"/>
      <c r="Z38" s="38"/>
      <c r="AA38" s="37"/>
      <c r="AB38" s="36"/>
      <c r="AC38" s="75">
        <f>+W38+Y38+AA38</f>
        <v>75867.517600000006</v>
      </c>
      <c r="AD38" s="29"/>
      <c r="AE38" s="25"/>
      <c r="AF38" s="113"/>
      <c r="AG38" s="2"/>
      <c r="AH38" s="3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27" customFormat="1" ht="20.100000000000001" customHeight="1" x14ac:dyDescent="0.2">
      <c r="A39" s="74" t="s">
        <v>15</v>
      </c>
      <c r="B39" s="73">
        <f>+SUM(B33:B38)</f>
        <v>7550852.1083000004</v>
      </c>
      <c r="C39" s="73">
        <f>+SUM(C33:C38)</f>
        <v>0</v>
      </c>
      <c r="D39" s="73">
        <f>+SUM(D33:D38)</f>
        <v>7550852.1083000004</v>
      </c>
      <c r="E39" s="73">
        <f>+SUM(E33:E38)</f>
        <v>107.0158</v>
      </c>
      <c r="F39" s="73">
        <f>SUM(F33:F38)</f>
        <v>7550959.1241000015</v>
      </c>
      <c r="G39" s="73">
        <f t="shared" ref="G39:W39" si="5">+SUM(G33:G38)</f>
        <v>0</v>
      </c>
      <c r="H39" s="73">
        <f t="shared" si="5"/>
        <v>0</v>
      </c>
      <c r="I39" s="73">
        <f t="shared" si="5"/>
        <v>0</v>
      </c>
      <c r="J39" s="73">
        <f t="shared" si="5"/>
        <v>44931.222200000004</v>
      </c>
      <c r="K39" s="73">
        <f t="shared" si="5"/>
        <v>3011.3948000000005</v>
      </c>
      <c r="L39" s="73">
        <f t="shared" si="5"/>
        <v>1.0100000000000001E-6</v>
      </c>
      <c r="M39" s="73">
        <f t="shared" si="5"/>
        <v>574949.33409999998</v>
      </c>
      <c r="N39" s="73">
        <f t="shared" si="5"/>
        <v>7528.7166999999999</v>
      </c>
      <c r="O39" s="73">
        <f t="shared" si="5"/>
        <v>40104.598600000005</v>
      </c>
      <c r="P39" s="73">
        <f t="shared" si="5"/>
        <v>0</v>
      </c>
      <c r="Q39" s="73">
        <f t="shared" si="5"/>
        <v>36343.220200000003</v>
      </c>
      <c r="R39" s="73">
        <f t="shared" si="5"/>
        <v>0</v>
      </c>
      <c r="S39" s="73">
        <f t="shared" si="5"/>
        <v>0</v>
      </c>
      <c r="T39" s="73">
        <f t="shared" si="5"/>
        <v>0</v>
      </c>
      <c r="U39" s="73">
        <f t="shared" si="5"/>
        <v>45.800000000000004</v>
      </c>
      <c r="V39" s="73">
        <f t="shared" si="5"/>
        <v>28621.450600000004</v>
      </c>
      <c r="W39" s="73">
        <f t="shared" si="5"/>
        <v>8286449.0613010116</v>
      </c>
      <c r="X39" s="33"/>
      <c r="Y39" s="32">
        <f>+SUM(Y33:Y38)</f>
        <v>0</v>
      </c>
      <c r="Z39" s="31"/>
      <c r="AA39" s="111"/>
      <c r="AB39" s="30"/>
      <c r="AC39" s="72">
        <f>+SUM(AC33:AC38)</f>
        <v>8286449.0613010116</v>
      </c>
      <c r="AD39" s="29"/>
      <c r="AE39" s="25"/>
      <c r="AF39" s="113"/>
      <c r="AG39" s="28"/>
      <c r="AH39" s="20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1:52" ht="15" customHeight="1" x14ac:dyDescent="0.2">
      <c r="P40" s="1">
        <f>P39*1000000</f>
        <v>0</v>
      </c>
      <c r="R40" s="29">
        <f>R33*1000000</f>
        <v>0</v>
      </c>
      <c r="T40" s="29">
        <f>T39*1000000</f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/>
      <c r="AF40" s="114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B41" s="25">
        <f>B42/1000</f>
        <v>0</v>
      </c>
      <c r="C41" s="25">
        <f>C42/1000</f>
        <v>0</v>
      </c>
      <c r="D41" s="25"/>
      <c r="E41" s="25">
        <f t="shared" ref="E41:W41" si="6">E42/1000</f>
        <v>0</v>
      </c>
      <c r="F41" s="25">
        <f t="shared" si="6"/>
        <v>0</v>
      </c>
      <c r="G41" s="25">
        <f t="shared" si="6"/>
        <v>0</v>
      </c>
      <c r="H41" s="25">
        <f t="shared" si="6"/>
        <v>0</v>
      </c>
      <c r="I41" s="25">
        <f t="shared" si="6"/>
        <v>0</v>
      </c>
      <c r="J41" s="25">
        <f t="shared" si="6"/>
        <v>0</v>
      </c>
      <c r="K41" s="25">
        <f t="shared" si="6"/>
        <v>0</v>
      </c>
      <c r="L41" s="25">
        <f t="shared" si="6"/>
        <v>0</v>
      </c>
      <c r="M41" s="25">
        <f t="shared" si="6"/>
        <v>0</v>
      </c>
      <c r="N41" s="25">
        <f t="shared" si="6"/>
        <v>0</v>
      </c>
      <c r="O41" s="25">
        <f t="shared" si="6"/>
        <v>0</v>
      </c>
      <c r="P41" s="25">
        <f t="shared" si="6"/>
        <v>0</v>
      </c>
      <c r="Q41" s="25">
        <f t="shared" si="6"/>
        <v>0</v>
      </c>
      <c r="R41" s="25">
        <f t="shared" si="6"/>
        <v>0</v>
      </c>
      <c r="S41" s="25">
        <f t="shared" si="6"/>
        <v>0</v>
      </c>
      <c r="T41" s="25">
        <f t="shared" si="6"/>
        <v>0</v>
      </c>
      <c r="U41" s="25">
        <f t="shared" si="6"/>
        <v>0</v>
      </c>
      <c r="V41" s="25">
        <f t="shared" si="6"/>
        <v>0</v>
      </c>
      <c r="W41" s="25">
        <f t="shared" si="6"/>
        <v>0</v>
      </c>
      <c r="X41" s="25">
        <f>X40/1000</f>
        <v>0</v>
      </c>
      <c r="Y41" s="25">
        <f>Y40/1000</f>
        <v>0</v>
      </c>
      <c r="Z41" s="25">
        <f>Z40/1000</f>
        <v>0</v>
      </c>
      <c r="AA41" s="25">
        <f>AA40/1000</f>
        <v>0</v>
      </c>
      <c r="AB41" s="25">
        <f>AB40/1000</f>
        <v>0</v>
      </c>
      <c r="AC41" s="25"/>
      <c r="AF41" s="114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14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3"/>
      <c r="Y42" s="113"/>
      <c r="Z42" s="113"/>
      <c r="AA42" s="113"/>
      <c r="AB42" s="113"/>
      <c r="AC42" s="113"/>
      <c r="AD42" s="114"/>
      <c r="AE42" s="114"/>
      <c r="AF42" s="114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11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F43" s="114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6" customFormat="1" ht="15" customHeight="1" x14ac:dyDescent="0.2">
      <c r="A44" s="23" t="s">
        <v>14</v>
      </c>
      <c r="B44" s="22"/>
      <c r="C44" s="22"/>
      <c r="D44" s="21"/>
      <c r="E44" s="17">
        <v>2535658.9190000002</v>
      </c>
      <c r="F44" s="116"/>
      <c r="J44" s="4" t="s">
        <v>13</v>
      </c>
      <c r="K44" s="7" t="s">
        <v>12</v>
      </c>
      <c r="W44" s="20"/>
      <c r="AD44" s="7"/>
      <c r="AE44" s="7"/>
      <c r="AF44" s="117"/>
    </row>
    <row r="45" spans="1:52" s="6" customFormat="1" ht="15" customHeight="1" x14ac:dyDescent="0.2">
      <c r="A45" s="121" t="s">
        <v>11</v>
      </c>
      <c r="B45" s="122"/>
      <c r="C45" s="122"/>
      <c r="D45" s="18"/>
      <c r="E45" s="17">
        <v>4650853.4663000004</v>
      </c>
      <c r="F45" s="116"/>
      <c r="K45" s="7" t="s">
        <v>10</v>
      </c>
      <c r="W45" s="4"/>
      <c r="Y45" s="4"/>
      <c r="AA45" s="4"/>
      <c r="AC45" s="4"/>
      <c r="AD45" s="7"/>
      <c r="AE45" s="7"/>
      <c r="AF45" s="117"/>
    </row>
    <row r="46" spans="1:52" s="6" customFormat="1" ht="15" hidden="1" customHeight="1" x14ac:dyDescent="0.2">
      <c r="A46" s="233"/>
      <c r="B46" s="234"/>
      <c r="C46" s="234"/>
      <c r="D46" s="18"/>
      <c r="E46" s="17"/>
      <c r="F46" s="116"/>
      <c r="K46" s="6" t="s">
        <v>9</v>
      </c>
      <c r="AD46" s="7"/>
      <c r="AE46" s="7"/>
      <c r="AF46" s="117"/>
    </row>
    <row r="47" spans="1:52" s="6" customFormat="1" ht="15" customHeight="1" x14ac:dyDescent="0.2">
      <c r="A47" s="19" t="s">
        <v>8</v>
      </c>
      <c r="B47" s="122"/>
      <c r="C47" s="122"/>
      <c r="D47" s="18"/>
      <c r="E47" s="17">
        <v>329140.25900000002</v>
      </c>
      <c r="F47" s="116"/>
      <c r="K47" s="7" t="s">
        <v>7</v>
      </c>
      <c r="AD47" s="7"/>
      <c r="AE47" s="7"/>
      <c r="AF47" s="117"/>
    </row>
    <row r="48" spans="1:52" s="6" customFormat="1" ht="15" customHeight="1" x14ac:dyDescent="0.2">
      <c r="A48" s="19" t="s">
        <v>6</v>
      </c>
      <c r="B48" s="122"/>
      <c r="C48" s="122"/>
      <c r="D48" s="18"/>
      <c r="E48" s="17">
        <v>163.38900000000001</v>
      </c>
      <c r="F48" s="116"/>
      <c r="K48" s="7" t="s">
        <v>119</v>
      </c>
      <c r="AD48" s="7"/>
      <c r="AE48" s="7"/>
      <c r="AF48" s="117"/>
    </row>
    <row r="49" spans="1:52" s="6" customFormat="1" ht="15" customHeight="1" x14ac:dyDescent="0.2">
      <c r="A49" s="121" t="s">
        <v>5</v>
      </c>
      <c r="B49" s="122"/>
      <c r="C49" s="122"/>
      <c r="D49" s="18"/>
      <c r="E49" s="17">
        <v>5611.5009</v>
      </c>
      <c r="F49" s="116"/>
      <c r="AD49" s="7"/>
      <c r="AE49" s="7"/>
      <c r="AF49" s="117"/>
    </row>
    <row r="50" spans="1:52" s="6" customFormat="1" ht="15" customHeight="1" x14ac:dyDescent="0.2">
      <c r="A50" s="121" t="s">
        <v>4</v>
      </c>
      <c r="B50" s="122"/>
      <c r="C50" s="122"/>
      <c r="D50" s="18"/>
      <c r="E50" s="17">
        <v>20492.157600000002</v>
      </c>
      <c r="F50" s="116"/>
      <c r="AF50" s="120"/>
    </row>
    <row r="51" spans="1:52" s="6" customFormat="1" ht="15" customHeight="1" x14ac:dyDescent="0.2">
      <c r="A51" s="19" t="s">
        <v>3</v>
      </c>
      <c r="B51" s="122"/>
      <c r="C51" s="122"/>
      <c r="D51" s="18"/>
      <c r="E51" s="17">
        <v>9039.4322999992364</v>
      </c>
      <c r="F51" s="116"/>
      <c r="AF51" s="120"/>
    </row>
    <row r="52" spans="1:52" s="70" customFormat="1" ht="20.100000000000001" customHeight="1" x14ac:dyDescent="0.2">
      <c r="A52" s="237" t="s">
        <v>100</v>
      </c>
      <c r="B52" s="238"/>
      <c r="C52" s="238"/>
      <c r="D52" s="112"/>
      <c r="E52" s="71">
        <f>SUM(E44:E51)</f>
        <v>7550959.1241000006</v>
      </c>
      <c r="F52" s="118"/>
      <c r="AF52" s="123"/>
    </row>
    <row r="53" spans="1:52" s="6" customFormat="1" ht="15" customHeight="1" x14ac:dyDescent="0.2">
      <c r="A53" s="233"/>
      <c r="B53" s="234"/>
      <c r="C53" s="234"/>
      <c r="D53" s="18"/>
      <c r="E53" s="17">
        <v>0</v>
      </c>
      <c r="F53" s="116"/>
      <c r="AF53" s="120"/>
    </row>
    <row r="54" spans="1:52" s="6" customFormat="1" ht="15" customHeight="1" x14ac:dyDescent="0.2">
      <c r="A54" s="233" t="s">
        <v>2</v>
      </c>
      <c r="B54" s="234"/>
      <c r="C54" s="234"/>
      <c r="D54" s="18"/>
      <c r="E54" s="17">
        <v>45.8</v>
      </c>
      <c r="F54" s="116"/>
    </row>
    <row r="55" spans="1:52" s="6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7550913.3241000008</v>
      </c>
      <c r="F55" s="116"/>
    </row>
    <row r="56" spans="1:52" x14ac:dyDescent="0.2">
      <c r="A56" s="6"/>
      <c r="B56" s="6"/>
      <c r="C56" s="6"/>
      <c r="D56" s="6"/>
      <c r="E56" s="2"/>
      <c r="F56" s="16"/>
      <c r="G56" s="14"/>
      <c r="H56" s="14"/>
      <c r="I56" s="14"/>
      <c r="J56" s="15"/>
      <c r="K56" s="6"/>
      <c r="L56" s="14"/>
      <c r="M56" s="14"/>
      <c r="N56" s="14"/>
      <c r="O56" s="7"/>
      <c r="P56" s="7"/>
      <c r="Q56" s="7"/>
      <c r="R56" s="7"/>
      <c r="S56" s="7"/>
      <c r="T56" s="7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6"/>
      <c r="C57" s="6"/>
      <c r="D57" s="6"/>
      <c r="E57" s="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67" t="s">
        <v>102</v>
      </c>
      <c r="B58" s="6"/>
      <c r="C58" s="6"/>
      <c r="D58" s="6"/>
      <c r="E58" s="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D59" s="7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66" t="s">
        <v>96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V60" s="2"/>
      <c r="W60" s="4"/>
      <c r="X60" s="6"/>
      <c r="Y60" s="5"/>
      <c r="Z60" s="2"/>
      <c r="AA60" s="4"/>
      <c r="AB60" s="2"/>
      <c r="AC60" s="4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4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A53:C53"/>
    <mergeCell ref="A54:C54"/>
    <mergeCell ref="A55:C55"/>
    <mergeCell ref="A52:C52"/>
    <mergeCell ref="R6:T6"/>
    <mergeCell ref="R7:T7"/>
    <mergeCell ref="T8:T9"/>
    <mergeCell ref="A46:C46"/>
    <mergeCell ref="G6:I7"/>
    <mergeCell ref="P8:P9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F39 D33 F33 W33" formula="1"/>
    <ignoredError sqref="W9 Y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Z77"/>
  <sheetViews>
    <sheetView showGridLines="0" showZeros="0" topLeftCell="J13" zoomScaleNormal="100" workbookViewId="0">
      <selection activeCell="K49" sqref="K49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256" width="27.5546875" style="1"/>
    <col min="257" max="257" width="19.44140625" style="1" customWidth="1"/>
    <col min="258" max="259" width="12.77734375" style="1" customWidth="1"/>
    <col min="260" max="260" width="13" style="1" customWidth="1"/>
    <col min="261" max="262" width="12.77734375" style="1" customWidth="1"/>
    <col min="263" max="265" width="0" style="1" hidden="1" customWidth="1"/>
    <col min="266" max="274" width="12.77734375" style="1" customWidth="1"/>
    <col min="275" max="275" width="0" style="1" hidden="1" customWidth="1"/>
    <col min="276" max="279" width="12.77734375" style="1" customWidth="1"/>
    <col min="280" max="280" width="1.77734375" style="1" customWidth="1"/>
    <col min="281" max="281" width="12.77734375" style="1" customWidth="1"/>
    <col min="282" max="282" width="1.77734375" style="1" customWidth="1"/>
    <col min="283" max="284" width="0" style="1" hidden="1" customWidth="1"/>
    <col min="285" max="285" width="12.77734375" style="1" customWidth="1"/>
    <col min="286" max="286" width="17.88671875" style="1" customWidth="1"/>
    <col min="287" max="287" width="11.77734375" style="1" customWidth="1"/>
    <col min="288" max="288" width="12" style="1" customWidth="1"/>
    <col min="289" max="512" width="27.5546875" style="1"/>
    <col min="513" max="513" width="19.44140625" style="1" customWidth="1"/>
    <col min="514" max="515" width="12.77734375" style="1" customWidth="1"/>
    <col min="516" max="516" width="13" style="1" customWidth="1"/>
    <col min="517" max="518" width="12.77734375" style="1" customWidth="1"/>
    <col min="519" max="521" width="0" style="1" hidden="1" customWidth="1"/>
    <col min="522" max="530" width="12.77734375" style="1" customWidth="1"/>
    <col min="531" max="531" width="0" style="1" hidden="1" customWidth="1"/>
    <col min="532" max="535" width="12.77734375" style="1" customWidth="1"/>
    <col min="536" max="536" width="1.77734375" style="1" customWidth="1"/>
    <col min="537" max="537" width="12.77734375" style="1" customWidth="1"/>
    <col min="538" max="538" width="1.77734375" style="1" customWidth="1"/>
    <col min="539" max="540" width="0" style="1" hidden="1" customWidth="1"/>
    <col min="541" max="541" width="12.77734375" style="1" customWidth="1"/>
    <col min="542" max="542" width="17.88671875" style="1" customWidth="1"/>
    <col min="543" max="543" width="11.77734375" style="1" customWidth="1"/>
    <col min="544" max="544" width="12" style="1" customWidth="1"/>
    <col min="545" max="768" width="27.5546875" style="1"/>
    <col min="769" max="769" width="19.44140625" style="1" customWidth="1"/>
    <col min="770" max="771" width="12.77734375" style="1" customWidth="1"/>
    <col min="772" max="772" width="13" style="1" customWidth="1"/>
    <col min="773" max="774" width="12.77734375" style="1" customWidth="1"/>
    <col min="775" max="777" width="0" style="1" hidden="1" customWidth="1"/>
    <col min="778" max="786" width="12.77734375" style="1" customWidth="1"/>
    <col min="787" max="787" width="0" style="1" hidden="1" customWidth="1"/>
    <col min="788" max="791" width="12.77734375" style="1" customWidth="1"/>
    <col min="792" max="792" width="1.77734375" style="1" customWidth="1"/>
    <col min="793" max="793" width="12.77734375" style="1" customWidth="1"/>
    <col min="794" max="794" width="1.77734375" style="1" customWidth="1"/>
    <col min="795" max="796" width="0" style="1" hidden="1" customWidth="1"/>
    <col min="797" max="797" width="12.77734375" style="1" customWidth="1"/>
    <col min="798" max="798" width="17.88671875" style="1" customWidth="1"/>
    <col min="799" max="799" width="11.77734375" style="1" customWidth="1"/>
    <col min="800" max="800" width="12" style="1" customWidth="1"/>
    <col min="801" max="1024" width="27.5546875" style="1"/>
    <col min="1025" max="1025" width="19.44140625" style="1" customWidth="1"/>
    <col min="1026" max="1027" width="12.77734375" style="1" customWidth="1"/>
    <col min="1028" max="1028" width="13" style="1" customWidth="1"/>
    <col min="1029" max="1030" width="12.77734375" style="1" customWidth="1"/>
    <col min="1031" max="1033" width="0" style="1" hidden="1" customWidth="1"/>
    <col min="1034" max="1042" width="12.77734375" style="1" customWidth="1"/>
    <col min="1043" max="1043" width="0" style="1" hidden="1" customWidth="1"/>
    <col min="1044" max="1047" width="12.77734375" style="1" customWidth="1"/>
    <col min="1048" max="1048" width="1.77734375" style="1" customWidth="1"/>
    <col min="1049" max="1049" width="12.77734375" style="1" customWidth="1"/>
    <col min="1050" max="1050" width="1.77734375" style="1" customWidth="1"/>
    <col min="1051" max="1052" width="0" style="1" hidden="1" customWidth="1"/>
    <col min="1053" max="1053" width="12.77734375" style="1" customWidth="1"/>
    <col min="1054" max="1054" width="17.88671875" style="1" customWidth="1"/>
    <col min="1055" max="1055" width="11.77734375" style="1" customWidth="1"/>
    <col min="1056" max="1056" width="12" style="1" customWidth="1"/>
    <col min="1057" max="1280" width="27.5546875" style="1"/>
    <col min="1281" max="1281" width="19.44140625" style="1" customWidth="1"/>
    <col min="1282" max="1283" width="12.77734375" style="1" customWidth="1"/>
    <col min="1284" max="1284" width="13" style="1" customWidth="1"/>
    <col min="1285" max="1286" width="12.77734375" style="1" customWidth="1"/>
    <col min="1287" max="1289" width="0" style="1" hidden="1" customWidth="1"/>
    <col min="1290" max="1298" width="12.77734375" style="1" customWidth="1"/>
    <col min="1299" max="1299" width="0" style="1" hidden="1" customWidth="1"/>
    <col min="1300" max="1303" width="12.77734375" style="1" customWidth="1"/>
    <col min="1304" max="1304" width="1.77734375" style="1" customWidth="1"/>
    <col min="1305" max="1305" width="12.77734375" style="1" customWidth="1"/>
    <col min="1306" max="1306" width="1.77734375" style="1" customWidth="1"/>
    <col min="1307" max="1308" width="0" style="1" hidden="1" customWidth="1"/>
    <col min="1309" max="1309" width="12.77734375" style="1" customWidth="1"/>
    <col min="1310" max="1310" width="17.88671875" style="1" customWidth="1"/>
    <col min="1311" max="1311" width="11.77734375" style="1" customWidth="1"/>
    <col min="1312" max="1312" width="12" style="1" customWidth="1"/>
    <col min="1313" max="1536" width="27.5546875" style="1"/>
    <col min="1537" max="1537" width="19.44140625" style="1" customWidth="1"/>
    <col min="1538" max="1539" width="12.77734375" style="1" customWidth="1"/>
    <col min="1540" max="1540" width="13" style="1" customWidth="1"/>
    <col min="1541" max="1542" width="12.77734375" style="1" customWidth="1"/>
    <col min="1543" max="1545" width="0" style="1" hidden="1" customWidth="1"/>
    <col min="1546" max="1554" width="12.77734375" style="1" customWidth="1"/>
    <col min="1555" max="1555" width="0" style="1" hidden="1" customWidth="1"/>
    <col min="1556" max="1559" width="12.77734375" style="1" customWidth="1"/>
    <col min="1560" max="1560" width="1.77734375" style="1" customWidth="1"/>
    <col min="1561" max="1561" width="12.77734375" style="1" customWidth="1"/>
    <col min="1562" max="1562" width="1.77734375" style="1" customWidth="1"/>
    <col min="1563" max="1564" width="0" style="1" hidden="1" customWidth="1"/>
    <col min="1565" max="1565" width="12.77734375" style="1" customWidth="1"/>
    <col min="1566" max="1566" width="17.88671875" style="1" customWidth="1"/>
    <col min="1567" max="1567" width="11.77734375" style="1" customWidth="1"/>
    <col min="1568" max="1568" width="12" style="1" customWidth="1"/>
    <col min="1569" max="1792" width="27.5546875" style="1"/>
    <col min="1793" max="1793" width="19.44140625" style="1" customWidth="1"/>
    <col min="1794" max="1795" width="12.77734375" style="1" customWidth="1"/>
    <col min="1796" max="1796" width="13" style="1" customWidth="1"/>
    <col min="1797" max="1798" width="12.77734375" style="1" customWidth="1"/>
    <col min="1799" max="1801" width="0" style="1" hidden="1" customWidth="1"/>
    <col min="1802" max="1810" width="12.77734375" style="1" customWidth="1"/>
    <col min="1811" max="1811" width="0" style="1" hidden="1" customWidth="1"/>
    <col min="1812" max="1815" width="12.77734375" style="1" customWidth="1"/>
    <col min="1816" max="1816" width="1.77734375" style="1" customWidth="1"/>
    <col min="1817" max="1817" width="12.77734375" style="1" customWidth="1"/>
    <col min="1818" max="1818" width="1.77734375" style="1" customWidth="1"/>
    <col min="1819" max="1820" width="0" style="1" hidden="1" customWidth="1"/>
    <col min="1821" max="1821" width="12.77734375" style="1" customWidth="1"/>
    <col min="1822" max="1822" width="17.88671875" style="1" customWidth="1"/>
    <col min="1823" max="1823" width="11.77734375" style="1" customWidth="1"/>
    <col min="1824" max="1824" width="12" style="1" customWidth="1"/>
    <col min="1825" max="2048" width="27.5546875" style="1"/>
    <col min="2049" max="2049" width="19.44140625" style="1" customWidth="1"/>
    <col min="2050" max="2051" width="12.77734375" style="1" customWidth="1"/>
    <col min="2052" max="2052" width="13" style="1" customWidth="1"/>
    <col min="2053" max="2054" width="12.77734375" style="1" customWidth="1"/>
    <col min="2055" max="2057" width="0" style="1" hidden="1" customWidth="1"/>
    <col min="2058" max="2066" width="12.77734375" style="1" customWidth="1"/>
    <col min="2067" max="2067" width="0" style="1" hidden="1" customWidth="1"/>
    <col min="2068" max="2071" width="12.77734375" style="1" customWidth="1"/>
    <col min="2072" max="2072" width="1.77734375" style="1" customWidth="1"/>
    <col min="2073" max="2073" width="12.77734375" style="1" customWidth="1"/>
    <col min="2074" max="2074" width="1.77734375" style="1" customWidth="1"/>
    <col min="2075" max="2076" width="0" style="1" hidden="1" customWidth="1"/>
    <col min="2077" max="2077" width="12.77734375" style="1" customWidth="1"/>
    <col min="2078" max="2078" width="17.88671875" style="1" customWidth="1"/>
    <col min="2079" max="2079" width="11.77734375" style="1" customWidth="1"/>
    <col min="2080" max="2080" width="12" style="1" customWidth="1"/>
    <col min="2081" max="2304" width="27.5546875" style="1"/>
    <col min="2305" max="2305" width="19.44140625" style="1" customWidth="1"/>
    <col min="2306" max="2307" width="12.77734375" style="1" customWidth="1"/>
    <col min="2308" max="2308" width="13" style="1" customWidth="1"/>
    <col min="2309" max="2310" width="12.77734375" style="1" customWidth="1"/>
    <col min="2311" max="2313" width="0" style="1" hidden="1" customWidth="1"/>
    <col min="2314" max="2322" width="12.77734375" style="1" customWidth="1"/>
    <col min="2323" max="2323" width="0" style="1" hidden="1" customWidth="1"/>
    <col min="2324" max="2327" width="12.77734375" style="1" customWidth="1"/>
    <col min="2328" max="2328" width="1.77734375" style="1" customWidth="1"/>
    <col min="2329" max="2329" width="12.77734375" style="1" customWidth="1"/>
    <col min="2330" max="2330" width="1.77734375" style="1" customWidth="1"/>
    <col min="2331" max="2332" width="0" style="1" hidden="1" customWidth="1"/>
    <col min="2333" max="2333" width="12.77734375" style="1" customWidth="1"/>
    <col min="2334" max="2334" width="17.88671875" style="1" customWidth="1"/>
    <col min="2335" max="2335" width="11.77734375" style="1" customWidth="1"/>
    <col min="2336" max="2336" width="12" style="1" customWidth="1"/>
    <col min="2337" max="2560" width="27.5546875" style="1"/>
    <col min="2561" max="2561" width="19.44140625" style="1" customWidth="1"/>
    <col min="2562" max="2563" width="12.77734375" style="1" customWidth="1"/>
    <col min="2564" max="2564" width="13" style="1" customWidth="1"/>
    <col min="2565" max="2566" width="12.77734375" style="1" customWidth="1"/>
    <col min="2567" max="2569" width="0" style="1" hidden="1" customWidth="1"/>
    <col min="2570" max="2578" width="12.77734375" style="1" customWidth="1"/>
    <col min="2579" max="2579" width="0" style="1" hidden="1" customWidth="1"/>
    <col min="2580" max="2583" width="12.77734375" style="1" customWidth="1"/>
    <col min="2584" max="2584" width="1.77734375" style="1" customWidth="1"/>
    <col min="2585" max="2585" width="12.77734375" style="1" customWidth="1"/>
    <col min="2586" max="2586" width="1.77734375" style="1" customWidth="1"/>
    <col min="2587" max="2588" width="0" style="1" hidden="1" customWidth="1"/>
    <col min="2589" max="2589" width="12.77734375" style="1" customWidth="1"/>
    <col min="2590" max="2590" width="17.88671875" style="1" customWidth="1"/>
    <col min="2591" max="2591" width="11.77734375" style="1" customWidth="1"/>
    <col min="2592" max="2592" width="12" style="1" customWidth="1"/>
    <col min="2593" max="2816" width="27.5546875" style="1"/>
    <col min="2817" max="2817" width="19.44140625" style="1" customWidth="1"/>
    <col min="2818" max="2819" width="12.77734375" style="1" customWidth="1"/>
    <col min="2820" max="2820" width="13" style="1" customWidth="1"/>
    <col min="2821" max="2822" width="12.77734375" style="1" customWidth="1"/>
    <col min="2823" max="2825" width="0" style="1" hidden="1" customWidth="1"/>
    <col min="2826" max="2834" width="12.77734375" style="1" customWidth="1"/>
    <col min="2835" max="2835" width="0" style="1" hidden="1" customWidth="1"/>
    <col min="2836" max="2839" width="12.77734375" style="1" customWidth="1"/>
    <col min="2840" max="2840" width="1.77734375" style="1" customWidth="1"/>
    <col min="2841" max="2841" width="12.77734375" style="1" customWidth="1"/>
    <col min="2842" max="2842" width="1.77734375" style="1" customWidth="1"/>
    <col min="2843" max="2844" width="0" style="1" hidden="1" customWidth="1"/>
    <col min="2845" max="2845" width="12.77734375" style="1" customWidth="1"/>
    <col min="2846" max="2846" width="17.88671875" style="1" customWidth="1"/>
    <col min="2847" max="2847" width="11.77734375" style="1" customWidth="1"/>
    <col min="2848" max="2848" width="12" style="1" customWidth="1"/>
    <col min="2849" max="3072" width="27.5546875" style="1"/>
    <col min="3073" max="3073" width="19.44140625" style="1" customWidth="1"/>
    <col min="3074" max="3075" width="12.77734375" style="1" customWidth="1"/>
    <col min="3076" max="3076" width="13" style="1" customWidth="1"/>
    <col min="3077" max="3078" width="12.77734375" style="1" customWidth="1"/>
    <col min="3079" max="3081" width="0" style="1" hidden="1" customWidth="1"/>
    <col min="3082" max="3090" width="12.77734375" style="1" customWidth="1"/>
    <col min="3091" max="3091" width="0" style="1" hidden="1" customWidth="1"/>
    <col min="3092" max="3095" width="12.77734375" style="1" customWidth="1"/>
    <col min="3096" max="3096" width="1.77734375" style="1" customWidth="1"/>
    <col min="3097" max="3097" width="12.77734375" style="1" customWidth="1"/>
    <col min="3098" max="3098" width="1.77734375" style="1" customWidth="1"/>
    <col min="3099" max="3100" width="0" style="1" hidden="1" customWidth="1"/>
    <col min="3101" max="3101" width="12.77734375" style="1" customWidth="1"/>
    <col min="3102" max="3102" width="17.88671875" style="1" customWidth="1"/>
    <col min="3103" max="3103" width="11.77734375" style="1" customWidth="1"/>
    <col min="3104" max="3104" width="12" style="1" customWidth="1"/>
    <col min="3105" max="3328" width="27.5546875" style="1"/>
    <col min="3329" max="3329" width="19.44140625" style="1" customWidth="1"/>
    <col min="3330" max="3331" width="12.77734375" style="1" customWidth="1"/>
    <col min="3332" max="3332" width="13" style="1" customWidth="1"/>
    <col min="3333" max="3334" width="12.77734375" style="1" customWidth="1"/>
    <col min="3335" max="3337" width="0" style="1" hidden="1" customWidth="1"/>
    <col min="3338" max="3346" width="12.77734375" style="1" customWidth="1"/>
    <col min="3347" max="3347" width="0" style="1" hidden="1" customWidth="1"/>
    <col min="3348" max="3351" width="12.77734375" style="1" customWidth="1"/>
    <col min="3352" max="3352" width="1.77734375" style="1" customWidth="1"/>
    <col min="3353" max="3353" width="12.77734375" style="1" customWidth="1"/>
    <col min="3354" max="3354" width="1.77734375" style="1" customWidth="1"/>
    <col min="3355" max="3356" width="0" style="1" hidden="1" customWidth="1"/>
    <col min="3357" max="3357" width="12.77734375" style="1" customWidth="1"/>
    <col min="3358" max="3358" width="17.88671875" style="1" customWidth="1"/>
    <col min="3359" max="3359" width="11.77734375" style="1" customWidth="1"/>
    <col min="3360" max="3360" width="12" style="1" customWidth="1"/>
    <col min="3361" max="3584" width="27.5546875" style="1"/>
    <col min="3585" max="3585" width="19.44140625" style="1" customWidth="1"/>
    <col min="3586" max="3587" width="12.77734375" style="1" customWidth="1"/>
    <col min="3588" max="3588" width="13" style="1" customWidth="1"/>
    <col min="3589" max="3590" width="12.77734375" style="1" customWidth="1"/>
    <col min="3591" max="3593" width="0" style="1" hidden="1" customWidth="1"/>
    <col min="3594" max="3602" width="12.77734375" style="1" customWidth="1"/>
    <col min="3603" max="3603" width="0" style="1" hidden="1" customWidth="1"/>
    <col min="3604" max="3607" width="12.77734375" style="1" customWidth="1"/>
    <col min="3608" max="3608" width="1.77734375" style="1" customWidth="1"/>
    <col min="3609" max="3609" width="12.77734375" style="1" customWidth="1"/>
    <col min="3610" max="3610" width="1.77734375" style="1" customWidth="1"/>
    <col min="3611" max="3612" width="0" style="1" hidden="1" customWidth="1"/>
    <col min="3613" max="3613" width="12.77734375" style="1" customWidth="1"/>
    <col min="3614" max="3614" width="17.88671875" style="1" customWidth="1"/>
    <col min="3615" max="3615" width="11.77734375" style="1" customWidth="1"/>
    <col min="3616" max="3616" width="12" style="1" customWidth="1"/>
    <col min="3617" max="3840" width="27.5546875" style="1"/>
    <col min="3841" max="3841" width="19.44140625" style="1" customWidth="1"/>
    <col min="3842" max="3843" width="12.77734375" style="1" customWidth="1"/>
    <col min="3844" max="3844" width="13" style="1" customWidth="1"/>
    <col min="3845" max="3846" width="12.77734375" style="1" customWidth="1"/>
    <col min="3847" max="3849" width="0" style="1" hidden="1" customWidth="1"/>
    <col min="3850" max="3858" width="12.77734375" style="1" customWidth="1"/>
    <col min="3859" max="3859" width="0" style="1" hidden="1" customWidth="1"/>
    <col min="3860" max="3863" width="12.77734375" style="1" customWidth="1"/>
    <col min="3864" max="3864" width="1.77734375" style="1" customWidth="1"/>
    <col min="3865" max="3865" width="12.77734375" style="1" customWidth="1"/>
    <col min="3866" max="3866" width="1.77734375" style="1" customWidth="1"/>
    <col min="3867" max="3868" width="0" style="1" hidden="1" customWidth="1"/>
    <col min="3869" max="3869" width="12.77734375" style="1" customWidth="1"/>
    <col min="3870" max="3870" width="17.88671875" style="1" customWidth="1"/>
    <col min="3871" max="3871" width="11.77734375" style="1" customWidth="1"/>
    <col min="3872" max="3872" width="12" style="1" customWidth="1"/>
    <col min="3873" max="4096" width="27.5546875" style="1"/>
    <col min="4097" max="4097" width="19.44140625" style="1" customWidth="1"/>
    <col min="4098" max="4099" width="12.77734375" style="1" customWidth="1"/>
    <col min="4100" max="4100" width="13" style="1" customWidth="1"/>
    <col min="4101" max="4102" width="12.77734375" style="1" customWidth="1"/>
    <col min="4103" max="4105" width="0" style="1" hidden="1" customWidth="1"/>
    <col min="4106" max="4114" width="12.77734375" style="1" customWidth="1"/>
    <col min="4115" max="4115" width="0" style="1" hidden="1" customWidth="1"/>
    <col min="4116" max="4119" width="12.77734375" style="1" customWidth="1"/>
    <col min="4120" max="4120" width="1.77734375" style="1" customWidth="1"/>
    <col min="4121" max="4121" width="12.77734375" style="1" customWidth="1"/>
    <col min="4122" max="4122" width="1.77734375" style="1" customWidth="1"/>
    <col min="4123" max="4124" width="0" style="1" hidden="1" customWidth="1"/>
    <col min="4125" max="4125" width="12.77734375" style="1" customWidth="1"/>
    <col min="4126" max="4126" width="17.88671875" style="1" customWidth="1"/>
    <col min="4127" max="4127" width="11.77734375" style="1" customWidth="1"/>
    <col min="4128" max="4128" width="12" style="1" customWidth="1"/>
    <col min="4129" max="4352" width="27.5546875" style="1"/>
    <col min="4353" max="4353" width="19.44140625" style="1" customWidth="1"/>
    <col min="4354" max="4355" width="12.77734375" style="1" customWidth="1"/>
    <col min="4356" max="4356" width="13" style="1" customWidth="1"/>
    <col min="4357" max="4358" width="12.77734375" style="1" customWidth="1"/>
    <col min="4359" max="4361" width="0" style="1" hidden="1" customWidth="1"/>
    <col min="4362" max="4370" width="12.77734375" style="1" customWidth="1"/>
    <col min="4371" max="4371" width="0" style="1" hidden="1" customWidth="1"/>
    <col min="4372" max="4375" width="12.77734375" style="1" customWidth="1"/>
    <col min="4376" max="4376" width="1.77734375" style="1" customWidth="1"/>
    <col min="4377" max="4377" width="12.77734375" style="1" customWidth="1"/>
    <col min="4378" max="4378" width="1.77734375" style="1" customWidth="1"/>
    <col min="4379" max="4380" width="0" style="1" hidden="1" customWidth="1"/>
    <col min="4381" max="4381" width="12.77734375" style="1" customWidth="1"/>
    <col min="4382" max="4382" width="17.88671875" style="1" customWidth="1"/>
    <col min="4383" max="4383" width="11.77734375" style="1" customWidth="1"/>
    <col min="4384" max="4384" width="12" style="1" customWidth="1"/>
    <col min="4385" max="4608" width="27.5546875" style="1"/>
    <col min="4609" max="4609" width="19.44140625" style="1" customWidth="1"/>
    <col min="4610" max="4611" width="12.77734375" style="1" customWidth="1"/>
    <col min="4612" max="4612" width="13" style="1" customWidth="1"/>
    <col min="4613" max="4614" width="12.77734375" style="1" customWidth="1"/>
    <col min="4615" max="4617" width="0" style="1" hidden="1" customWidth="1"/>
    <col min="4618" max="4626" width="12.77734375" style="1" customWidth="1"/>
    <col min="4627" max="4627" width="0" style="1" hidden="1" customWidth="1"/>
    <col min="4628" max="4631" width="12.77734375" style="1" customWidth="1"/>
    <col min="4632" max="4632" width="1.77734375" style="1" customWidth="1"/>
    <col min="4633" max="4633" width="12.77734375" style="1" customWidth="1"/>
    <col min="4634" max="4634" width="1.77734375" style="1" customWidth="1"/>
    <col min="4635" max="4636" width="0" style="1" hidden="1" customWidth="1"/>
    <col min="4637" max="4637" width="12.77734375" style="1" customWidth="1"/>
    <col min="4638" max="4638" width="17.88671875" style="1" customWidth="1"/>
    <col min="4639" max="4639" width="11.77734375" style="1" customWidth="1"/>
    <col min="4640" max="4640" width="12" style="1" customWidth="1"/>
    <col min="4641" max="4864" width="27.5546875" style="1"/>
    <col min="4865" max="4865" width="19.44140625" style="1" customWidth="1"/>
    <col min="4866" max="4867" width="12.77734375" style="1" customWidth="1"/>
    <col min="4868" max="4868" width="13" style="1" customWidth="1"/>
    <col min="4869" max="4870" width="12.77734375" style="1" customWidth="1"/>
    <col min="4871" max="4873" width="0" style="1" hidden="1" customWidth="1"/>
    <col min="4874" max="4882" width="12.77734375" style="1" customWidth="1"/>
    <col min="4883" max="4883" width="0" style="1" hidden="1" customWidth="1"/>
    <col min="4884" max="4887" width="12.77734375" style="1" customWidth="1"/>
    <col min="4888" max="4888" width="1.77734375" style="1" customWidth="1"/>
    <col min="4889" max="4889" width="12.77734375" style="1" customWidth="1"/>
    <col min="4890" max="4890" width="1.77734375" style="1" customWidth="1"/>
    <col min="4891" max="4892" width="0" style="1" hidden="1" customWidth="1"/>
    <col min="4893" max="4893" width="12.77734375" style="1" customWidth="1"/>
    <col min="4894" max="4894" width="17.88671875" style="1" customWidth="1"/>
    <col min="4895" max="4895" width="11.77734375" style="1" customWidth="1"/>
    <col min="4896" max="4896" width="12" style="1" customWidth="1"/>
    <col min="4897" max="5120" width="27.5546875" style="1"/>
    <col min="5121" max="5121" width="19.44140625" style="1" customWidth="1"/>
    <col min="5122" max="5123" width="12.77734375" style="1" customWidth="1"/>
    <col min="5124" max="5124" width="13" style="1" customWidth="1"/>
    <col min="5125" max="5126" width="12.77734375" style="1" customWidth="1"/>
    <col min="5127" max="5129" width="0" style="1" hidden="1" customWidth="1"/>
    <col min="5130" max="5138" width="12.77734375" style="1" customWidth="1"/>
    <col min="5139" max="5139" width="0" style="1" hidden="1" customWidth="1"/>
    <col min="5140" max="5143" width="12.77734375" style="1" customWidth="1"/>
    <col min="5144" max="5144" width="1.77734375" style="1" customWidth="1"/>
    <col min="5145" max="5145" width="12.77734375" style="1" customWidth="1"/>
    <col min="5146" max="5146" width="1.77734375" style="1" customWidth="1"/>
    <col min="5147" max="5148" width="0" style="1" hidden="1" customWidth="1"/>
    <col min="5149" max="5149" width="12.77734375" style="1" customWidth="1"/>
    <col min="5150" max="5150" width="17.88671875" style="1" customWidth="1"/>
    <col min="5151" max="5151" width="11.77734375" style="1" customWidth="1"/>
    <col min="5152" max="5152" width="12" style="1" customWidth="1"/>
    <col min="5153" max="5376" width="27.5546875" style="1"/>
    <col min="5377" max="5377" width="19.44140625" style="1" customWidth="1"/>
    <col min="5378" max="5379" width="12.77734375" style="1" customWidth="1"/>
    <col min="5380" max="5380" width="13" style="1" customWidth="1"/>
    <col min="5381" max="5382" width="12.77734375" style="1" customWidth="1"/>
    <col min="5383" max="5385" width="0" style="1" hidden="1" customWidth="1"/>
    <col min="5386" max="5394" width="12.77734375" style="1" customWidth="1"/>
    <col min="5395" max="5395" width="0" style="1" hidden="1" customWidth="1"/>
    <col min="5396" max="5399" width="12.77734375" style="1" customWidth="1"/>
    <col min="5400" max="5400" width="1.77734375" style="1" customWidth="1"/>
    <col min="5401" max="5401" width="12.77734375" style="1" customWidth="1"/>
    <col min="5402" max="5402" width="1.77734375" style="1" customWidth="1"/>
    <col min="5403" max="5404" width="0" style="1" hidden="1" customWidth="1"/>
    <col min="5405" max="5405" width="12.77734375" style="1" customWidth="1"/>
    <col min="5406" max="5406" width="17.88671875" style="1" customWidth="1"/>
    <col min="5407" max="5407" width="11.77734375" style="1" customWidth="1"/>
    <col min="5408" max="5408" width="12" style="1" customWidth="1"/>
    <col min="5409" max="5632" width="27.5546875" style="1"/>
    <col min="5633" max="5633" width="19.44140625" style="1" customWidth="1"/>
    <col min="5634" max="5635" width="12.77734375" style="1" customWidth="1"/>
    <col min="5636" max="5636" width="13" style="1" customWidth="1"/>
    <col min="5637" max="5638" width="12.77734375" style="1" customWidth="1"/>
    <col min="5639" max="5641" width="0" style="1" hidden="1" customWidth="1"/>
    <col min="5642" max="5650" width="12.77734375" style="1" customWidth="1"/>
    <col min="5651" max="5651" width="0" style="1" hidden="1" customWidth="1"/>
    <col min="5652" max="5655" width="12.77734375" style="1" customWidth="1"/>
    <col min="5656" max="5656" width="1.77734375" style="1" customWidth="1"/>
    <col min="5657" max="5657" width="12.77734375" style="1" customWidth="1"/>
    <col min="5658" max="5658" width="1.77734375" style="1" customWidth="1"/>
    <col min="5659" max="5660" width="0" style="1" hidden="1" customWidth="1"/>
    <col min="5661" max="5661" width="12.77734375" style="1" customWidth="1"/>
    <col min="5662" max="5662" width="17.88671875" style="1" customWidth="1"/>
    <col min="5663" max="5663" width="11.77734375" style="1" customWidth="1"/>
    <col min="5664" max="5664" width="12" style="1" customWidth="1"/>
    <col min="5665" max="5888" width="27.5546875" style="1"/>
    <col min="5889" max="5889" width="19.44140625" style="1" customWidth="1"/>
    <col min="5890" max="5891" width="12.77734375" style="1" customWidth="1"/>
    <col min="5892" max="5892" width="13" style="1" customWidth="1"/>
    <col min="5893" max="5894" width="12.77734375" style="1" customWidth="1"/>
    <col min="5895" max="5897" width="0" style="1" hidden="1" customWidth="1"/>
    <col min="5898" max="5906" width="12.77734375" style="1" customWidth="1"/>
    <col min="5907" max="5907" width="0" style="1" hidden="1" customWidth="1"/>
    <col min="5908" max="5911" width="12.77734375" style="1" customWidth="1"/>
    <col min="5912" max="5912" width="1.77734375" style="1" customWidth="1"/>
    <col min="5913" max="5913" width="12.77734375" style="1" customWidth="1"/>
    <col min="5914" max="5914" width="1.77734375" style="1" customWidth="1"/>
    <col min="5915" max="5916" width="0" style="1" hidden="1" customWidth="1"/>
    <col min="5917" max="5917" width="12.77734375" style="1" customWidth="1"/>
    <col min="5918" max="5918" width="17.88671875" style="1" customWidth="1"/>
    <col min="5919" max="5919" width="11.77734375" style="1" customWidth="1"/>
    <col min="5920" max="5920" width="12" style="1" customWidth="1"/>
    <col min="5921" max="6144" width="27.5546875" style="1"/>
    <col min="6145" max="6145" width="19.44140625" style="1" customWidth="1"/>
    <col min="6146" max="6147" width="12.77734375" style="1" customWidth="1"/>
    <col min="6148" max="6148" width="13" style="1" customWidth="1"/>
    <col min="6149" max="6150" width="12.77734375" style="1" customWidth="1"/>
    <col min="6151" max="6153" width="0" style="1" hidden="1" customWidth="1"/>
    <col min="6154" max="6162" width="12.77734375" style="1" customWidth="1"/>
    <col min="6163" max="6163" width="0" style="1" hidden="1" customWidth="1"/>
    <col min="6164" max="6167" width="12.77734375" style="1" customWidth="1"/>
    <col min="6168" max="6168" width="1.77734375" style="1" customWidth="1"/>
    <col min="6169" max="6169" width="12.77734375" style="1" customWidth="1"/>
    <col min="6170" max="6170" width="1.77734375" style="1" customWidth="1"/>
    <col min="6171" max="6172" width="0" style="1" hidden="1" customWidth="1"/>
    <col min="6173" max="6173" width="12.77734375" style="1" customWidth="1"/>
    <col min="6174" max="6174" width="17.88671875" style="1" customWidth="1"/>
    <col min="6175" max="6175" width="11.77734375" style="1" customWidth="1"/>
    <col min="6176" max="6176" width="12" style="1" customWidth="1"/>
    <col min="6177" max="6400" width="27.5546875" style="1"/>
    <col min="6401" max="6401" width="19.44140625" style="1" customWidth="1"/>
    <col min="6402" max="6403" width="12.77734375" style="1" customWidth="1"/>
    <col min="6404" max="6404" width="13" style="1" customWidth="1"/>
    <col min="6405" max="6406" width="12.77734375" style="1" customWidth="1"/>
    <col min="6407" max="6409" width="0" style="1" hidden="1" customWidth="1"/>
    <col min="6410" max="6418" width="12.77734375" style="1" customWidth="1"/>
    <col min="6419" max="6419" width="0" style="1" hidden="1" customWidth="1"/>
    <col min="6420" max="6423" width="12.77734375" style="1" customWidth="1"/>
    <col min="6424" max="6424" width="1.77734375" style="1" customWidth="1"/>
    <col min="6425" max="6425" width="12.77734375" style="1" customWidth="1"/>
    <col min="6426" max="6426" width="1.77734375" style="1" customWidth="1"/>
    <col min="6427" max="6428" width="0" style="1" hidden="1" customWidth="1"/>
    <col min="6429" max="6429" width="12.77734375" style="1" customWidth="1"/>
    <col min="6430" max="6430" width="17.88671875" style="1" customWidth="1"/>
    <col min="6431" max="6431" width="11.77734375" style="1" customWidth="1"/>
    <col min="6432" max="6432" width="12" style="1" customWidth="1"/>
    <col min="6433" max="6656" width="27.5546875" style="1"/>
    <col min="6657" max="6657" width="19.44140625" style="1" customWidth="1"/>
    <col min="6658" max="6659" width="12.77734375" style="1" customWidth="1"/>
    <col min="6660" max="6660" width="13" style="1" customWidth="1"/>
    <col min="6661" max="6662" width="12.77734375" style="1" customWidth="1"/>
    <col min="6663" max="6665" width="0" style="1" hidden="1" customWidth="1"/>
    <col min="6666" max="6674" width="12.77734375" style="1" customWidth="1"/>
    <col min="6675" max="6675" width="0" style="1" hidden="1" customWidth="1"/>
    <col min="6676" max="6679" width="12.77734375" style="1" customWidth="1"/>
    <col min="6680" max="6680" width="1.77734375" style="1" customWidth="1"/>
    <col min="6681" max="6681" width="12.77734375" style="1" customWidth="1"/>
    <col min="6682" max="6682" width="1.77734375" style="1" customWidth="1"/>
    <col min="6683" max="6684" width="0" style="1" hidden="1" customWidth="1"/>
    <col min="6685" max="6685" width="12.77734375" style="1" customWidth="1"/>
    <col min="6686" max="6686" width="17.88671875" style="1" customWidth="1"/>
    <col min="6687" max="6687" width="11.77734375" style="1" customWidth="1"/>
    <col min="6688" max="6688" width="12" style="1" customWidth="1"/>
    <col min="6689" max="6912" width="27.5546875" style="1"/>
    <col min="6913" max="6913" width="19.44140625" style="1" customWidth="1"/>
    <col min="6914" max="6915" width="12.77734375" style="1" customWidth="1"/>
    <col min="6916" max="6916" width="13" style="1" customWidth="1"/>
    <col min="6917" max="6918" width="12.77734375" style="1" customWidth="1"/>
    <col min="6919" max="6921" width="0" style="1" hidden="1" customWidth="1"/>
    <col min="6922" max="6930" width="12.77734375" style="1" customWidth="1"/>
    <col min="6931" max="6931" width="0" style="1" hidden="1" customWidth="1"/>
    <col min="6932" max="6935" width="12.77734375" style="1" customWidth="1"/>
    <col min="6936" max="6936" width="1.77734375" style="1" customWidth="1"/>
    <col min="6937" max="6937" width="12.77734375" style="1" customWidth="1"/>
    <col min="6938" max="6938" width="1.77734375" style="1" customWidth="1"/>
    <col min="6939" max="6940" width="0" style="1" hidden="1" customWidth="1"/>
    <col min="6941" max="6941" width="12.77734375" style="1" customWidth="1"/>
    <col min="6942" max="6942" width="17.88671875" style="1" customWidth="1"/>
    <col min="6943" max="6943" width="11.77734375" style="1" customWidth="1"/>
    <col min="6944" max="6944" width="12" style="1" customWidth="1"/>
    <col min="6945" max="7168" width="27.5546875" style="1"/>
    <col min="7169" max="7169" width="19.44140625" style="1" customWidth="1"/>
    <col min="7170" max="7171" width="12.77734375" style="1" customWidth="1"/>
    <col min="7172" max="7172" width="13" style="1" customWidth="1"/>
    <col min="7173" max="7174" width="12.77734375" style="1" customWidth="1"/>
    <col min="7175" max="7177" width="0" style="1" hidden="1" customWidth="1"/>
    <col min="7178" max="7186" width="12.77734375" style="1" customWidth="1"/>
    <col min="7187" max="7187" width="0" style="1" hidden="1" customWidth="1"/>
    <col min="7188" max="7191" width="12.77734375" style="1" customWidth="1"/>
    <col min="7192" max="7192" width="1.77734375" style="1" customWidth="1"/>
    <col min="7193" max="7193" width="12.77734375" style="1" customWidth="1"/>
    <col min="7194" max="7194" width="1.77734375" style="1" customWidth="1"/>
    <col min="7195" max="7196" width="0" style="1" hidden="1" customWidth="1"/>
    <col min="7197" max="7197" width="12.77734375" style="1" customWidth="1"/>
    <col min="7198" max="7198" width="17.88671875" style="1" customWidth="1"/>
    <col min="7199" max="7199" width="11.77734375" style="1" customWidth="1"/>
    <col min="7200" max="7200" width="12" style="1" customWidth="1"/>
    <col min="7201" max="7424" width="27.5546875" style="1"/>
    <col min="7425" max="7425" width="19.44140625" style="1" customWidth="1"/>
    <col min="7426" max="7427" width="12.77734375" style="1" customWidth="1"/>
    <col min="7428" max="7428" width="13" style="1" customWidth="1"/>
    <col min="7429" max="7430" width="12.77734375" style="1" customWidth="1"/>
    <col min="7431" max="7433" width="0" style="1" hidden="1" customWidth="1"/>
    <col min="7434" max="7442" width="12.77734375" style="1" customWidth="1"/>
    <col min="7443" max="7443" width="0" style="1" hidden="1" customWidth="1"/>
    <col min="7444" max="7447" width="12.77734375" style="1" customWidth="1"/>
    <col min="7448" max="7448" width="1.77734375" style="1" customWidth="1"/>
    <col min="7449" max="7449" width="12.77734375" style="1" customWidth="1"/>
    <col min="7450" max="7450" width="1.77734375" style="1" customWidth="1"/>
    <col min="7451" max="7452" width="0" style="1" hidden="1" customWidth="1"/>
    <col min="7453" max="7453" width="12.77734375" style="1" customWidth="1"/>
    <col min="7454" max="7454" width="17.88671875" style="1" customWidth="1"/>
    <col min="7455" max="7455" width="11.77734375" style="1" customWidth="1"/>
    <col min="7456" max="7456" width="12" style="1" customWidth="1"/>
    <col min="7457" max="7680" width="27.5546875" style="1"/>
    <col min="7681" max="7681" width="19.44140625" style="1" customWidth="1"/>
    <col min="7682" max="7683" width="12.77734375" style="1" customWidth="1"/>
    <col min="7684" max="7684" width="13" style="1" customWidth="1"/>
    <col min="7685" max="7686" width="12.77734375" style="1" customWidth="1"/>
    <col min="7687" max="7689" width="0" style="1" hidden="1" customWidth="1"/>
    <col min="7690" max="7698" width="12.77734375" style="1" customWidth="1"/>
    <col min="7699" max="7699" width="0" style="1" hidden="1" customWidth="1"/>
    <col min="7700" max="7703" width="12.77734375" style="1" customWidth="1"/>
    <col min="7704" max="7704" width="1.77734375" style="1" customWidth="1"/>
    <col min="7705" max="7705" width="12.77734375" style="1" customWidth="1"/>
    <col min="7706" max="7706" width="1.77734375" style="1" customWidth="1"/>
    <col min="7707" max="7708" width="0" style="1" hidden="1" customWidth="1"/>
    <col min="7709" max="7709" width="12.77734375" style="1" customWidth="1"/>
    <col min="7710" max="7710" width="17.88671875" style="1" customWidth="1"/>
    <col min="7711" max="7711" width="11.77734375" style="1" customWidth="1"/>
    <col min="7712" max="7712" width="12" style="1" customWidth="1"/>
    <col min="7713" max="7936" width="27.5546875" style="1"/>
    <col min="7937" max="7937" width="19.44140625" style="1" customWidth="1"/>
    <col min="7938" max="7939" width="12.77734375" style="1" customWidth="1"/>
    <col min="7940" max="7940" width="13" style="1" customWidth="1"/>
    <col min="7941" max="7942" width="12.77734375" style="1" customWidth="1"/>
    <col min="7943" max="7945" width="0" style="1" hidden="1" customWidth="1"/>
    <col min="7946" max="7954" width="12.77734375" style="1" customWidth="1"/>
    <col min="7955" max="7955" width="0" style="1" hidden="1" customWidth="1"/>
    <col min="7956" max="7959" width="12.77734375" style="1" customWidth="1"/>
    <col min="7960" max="7960" width="1.77734375" style="1" customWidth="1"/>
    <col min="7961" max="7961" width="12.77734375" style="1" customWidth="1"/>
    <col min="7962" max="7962" width="1.77734375" style="1" customWidth="1"/>
    <col min="7963" max="7964" width="0" style="1" hidden="1" customWidth="1"/>
    <col min="7965" max="7965" width="12.77734375" style="1" customWidth="1"/>
    <col min="7966" max="7966" width="17.88671875" style="1" customWidth="1"/>
    <col min="7967" max="7967" width="11.77734375" style="1" customWidth="1"/>
    <col min="7968" max="7968" width="12" style="1" customWidth="1"/>
    <col min="7969" max="8192" width="27.5546875" style="1"/>
    <col min="8193" max="8193" width="19.44140625" style="1" customWidth="1"/>
    <col min="8194" max="8195" width="12.77734375" style="1" customWidth="1"/>
    <col min="8196" max="8196" width="13" style="1" customWidth="1"/>
    <col min="8197" max="8198" width="12.77734375" style="1" customWidth="1"/>
    <col min="8199" max="8201" width="0" style="1" hidden="1" customWidth="1"/>
    <col min="8202" max="8210" width="12.77734375" style="1" customWidth="1"/>
    <col min="8211" max="8211" width="0" style="1" hidden="1" customWidth="1"/>
    <col min="8212" max="8215" width="12.77734375" style="1" customWidth="1"/>
    <col min="8216" max="8216" width="1.77734375" style="1" customWidth="1"/>
    <col min="8217" max="8217" width="12.77734375" style="1" customWidth="1"/>
    <col min="8218" max="8218" width="1.77734375" style="1" customWidth="1"/>
    <col min="8219" max="8220" width="0" style="1" hidden="1" customWidth="1"/>
    <col min="8221" max="8221" width="12.77734375" style="1" customWidth="1"/>
    <col min="8222" max="8222" width="17.88671875" style="1" customWidth="1"/>
    <col min="8223" max="8223" width="11.77734375" style="1" customWidth="1"/>
    <col min="8224" max="8224" width="12" style="1" customWidth="1"/>
    <col min="8225" max="8448" width="27.5546875" style="1"/>
    <col min="8449" max="8449" width="19.44140625" style="1" customWidth="1"/>
    <col min="8450" max="8451" width="12.77734375" style="1" customWidth="1"/>
    <col min="8452" max="8452" width="13" style="1" customWidth="1"/>
    <col min="8453" max="8454" width="12.77734375" style="1" customWidth="1"/>
    <col min="8455" max="8457" width="0" style="1" hidden="1" customWidth="1"/>
    <col min="8458" max="8466" width="12.77734375" style="1" customWidth="1"/>
    <col min="8467" max="8467" width="0" style="1" hidden="1" customWidth="1"/>
    <col min="8468" max="8471" width="12.77734375" style="1" customWidth="1"/>
    <col min="8472" max="8472" width="1.77734375" style="1" customWidth="1"/>
    <col min="8473" max="8473" width="12.77734375" style="1" customWidth="1"/>
    <col min="8474" max="8474" width="1.77734375" style="1" customWidth="1"/>
    <col min="8475" max="8476" width="0" style="1" hidden="1" customWidth="1"/>
    <col min="8477" max="8477" width="12.77734375" style="1" customWidth="1"/>
    <col min="8478" max="8478" width="17.88671875" style="1" customWidth="1"/>
    <col min="8479" max="8479" width="11.77734375" style="1" customWidth="1"/>
    <col min="8480" max="8480" width="12" style="1" customWidth="1"/>
    <col min="8481" max="8704" width="27.5546875" style="1"/>
    <col min="8705" max="8705" width="19.44140625" style="1" customWidth="1"/>
    <col min="8706" max="8707" width="12.77734375" style="1" customWidth="1"/>
    <col min="8708" max="8708" width="13" style="1" customWidth="1"/>
    <col min="8709" max="8710" width="12.77734375" style="1" customWidth="1"/>
    <col min="8711" max="8713" width="0" style="1" hidden="1" customWidth="1"/>
    <col min="8714" max="8722" width="12.77734375" style="1" customWidth="1"/>
    <col min="8723" max="8723" width="0" style="1" hidden="1" customWidth="1"/>
    <col min="8724" max="8727" width="12.77734375" style="1" customWidth="1"/>
    <col min="8728" max="8728" width="1.77734375" style="1" customWidth="1"/>
    <col min="8729" max="8729" width="12.77734375" style="1" customWidth="1"/>
    <col min="8730" max="8730" width="1.77734375" style="1" customWidth="1"/>
    <col min="8731" max="8732" width="0" style="1" hidden="1" customWidth="1"/>
    <col min="8733" max="8733" width="12.77734375" style="1" customWidth="1"/>
    <col min="8734" max="8734" width="17.88671875" style="1" customWidth="1"/>
    <col min="8735" max="8735" width="11.77734375" style="1" customWidth="1"/>
    <col min="8736" max="8736" width="12" style="1" customWidth="1"/>
    <col min="8737" max="8960" width="27.5546875" style="1"/>
    <col min="8961" max="8961" width="19.44140625" style="1" customWidth="1"/>
    <col min="8962" max="8963" width="12.77734375" style="1" customWidth="1"/>
    <col min="8964" max="8964" width="13" style="1" customWidth="1"/>
    <col min="8965" max="8966" width="12.77734375" style="1" customWidth="1"/>
    <col min="8967" max="8969" width="0" style="1" hidden="1" customWidth="1"/>
    <col min="8970" max="8978" width="12.77734375" style="1" customWidth="1"/>
    <col min="8979" max="8979" width="0" style="1" hidden="1" customWidth="1"/>
    <col min="8980" max="8983" width="12.77734375" style="1" customWidth="1"/>
    <col min="8984" max="8984" width="1.77734375" style="1" customWidth="1"/>
    <col min="8985" max="8985" width="12.77734375" style="1" customWidth="1"/>
    <col min="8986" max="8986" width="1.77734375" style="1" customWidth="1"/>
    <col min="8987" max="8988" width="0" style="1" hidden="1" customWidth="1"/>
    <col min="8989" max="8989" width="12.77734375" style="1" customWidth="1"/>
    <col min="8990" max="8990" width="17.88671875" style="1" customWidth="1"/>
    <col min="8991" max="8991" width="11.77734375" style="1" customWidth="1"/>
    <col min="8992" max="8992" width="12" style="1" customWidth="1"/>
    <col min="8993" max="9216" width="27.5546875" style="1"/>
    <col min="9217" max="9217" width="19.44140625" style="1" customWidth="1"/>
    <col min="9218" max="9219" width="12.77734375" style="1" customWidth="1"/>
    <col min="9220" max="9220" width="13" style="1" customWidth="1"/>
    <col min="9221" max="9222" width="12.77734375" style="1" customWidth="1"/>
    <col min="9223" max="9225" width="0" style="1" hidden="1" customWidth="1"/>
    <col min="9226" max="9234" width="12.77734375" style="1" customWidth="1"/>
    <col min="9235" max="9235" width="0" style="1" hidden="1" customWidth="1"/>
    <col min="9236" max="9239" width="12.77734375" style="1" customWidth="1"/>
    <col min="9240" max="9240" width="1.77734375" style="1" customWidth="1"/>
    <col min="9241" max="9241" width="12.77734375" style="1" customWidth="1"/>
    <col min="9242" max="9242" width="1.77734375" style="1" customWidth="1"/>
    <col min="9243" max="9244" width="0" style="1" hidden="1" customWidth="1"/>
    <col min="9245" max="9245" width="12.77734375" style="1" customWidth="1"/>
    <col min="9246" max="9246" width="17.88671875" style="1" customWidth="1"/>
    <col min="9247" max="9247" width="11.77734375" style="1" customWidth="1"/>
    <col min="9248" max="9248" width="12" style="1" customWidth="1"/>
    <col min="9249" max="9472" width="27.5546875" style="1"/>
    <col min="9473" max="9473" width="19.44140625" style="1" customWidth="1"/>
    <col min="9474" max="9475" width="12.77734375" style="1" customWidth="1"/>
    <col min="9476" max="9476" width="13" style="1" customWidth="1"/>
    <col min="9477" max="9478" width="12.77734375" style="1" customWidth="1"/>
    <col min="9479" max="9481" width="0" style="1" hidden="1" customWidth="1"/>
    <col min="9482" max="9490" width="12.77734375" style="1" customWidth="1"/>
    <col min="9491" max="9491" width="0" style="1" hidden="1" customWidth="1"/>
    <col min="9492" max="9495" width="12.77734375" style="1" customWidth="1"/>
    <col min="9496" max="9496" width="1.77734375" style="1" customWidth="1"/>
    <col min="9497" max="9497" width="12.77734375" style="1" customWidth="1"/>
    <col min="9498" max="9498" width="1.77734375" style="1" customWidth="1"/>
    <col min="9499" max="9500" width="0" style="1" hidden="1" customWidth="1"/>
    <col min="9501" max="9501" width="12.77734375" style="1" customWidth="1"/>
    <col min="9502" max="9502" width="17.88671875" style="1" customWidth="1"/>
    <col min="9503" max="9503" width="11.77734375" style="1" customWidth="1"/>
    <col min="9504" max="9504" width="12" style="1" customWidth="1"/>
    <col min="9505" max="9728" width="27.5546875" style="1"/>
    <col min="9729" max="9729" width="19.44140625" style="1" customWidth="1"/>
    <col min="9730" max="9731" width="12.77734375" style="1" customWidth="1"/>
    <col min="9732" max="9732" width="13" style="1" customWidth="1"/>
    <col min="9733" max="9734" width="12.77734375" style="1" customWidth="1"/>
    <col min="9735" max="9737" width="0" style="1" hidden="1" customWidth="1"/>
    <col min="9738" max="9746" width="12.77734375" style="1" customWidth="1"/>
    <col min="9747" max="9747" width="0" style="1" hidden="1" customWidth="1"/>
    <col min="9748" max="9751" width="12.77734375" style="1" customWidth="1"/>
    <col min="9752" max="9752" width="1.77734375" style="1" customWidth="1"/>
    <col min="9753" max="9753" width="12.77734375" style="1" customWidth="1"/>
    <col min="9754" max="9754" width="1.77734375" style="1" customWidth="1"/>
    <col min="9755" max="9756" width="0" style="1" hidden="1" customWidth="1"/>
    <col min="9757" max="9757" width="12.77734375" style="1" customWidth="1"/>
    <col min="9758" max="9758" width="17.88671875" style="1" customWidth="1"/>
    <col min="9759" max="9759" width="11.77734375" style="1" customWidth="1"/>
    <col min="9760" max="9760" width="12" style="1" customWidth="1"/>
    <col min="9761" max="9984" width="27.5546875" style="1"/>
    <col min="9985" max="9985" width="19.44140625" style="1" customWidth="1"/>
    <col min="9986" max="9987" width="12.77734375" style="1" customWidth="1"/>
    <col min="9988" max="9988" width="13" style="1" customWidth="1"/>
    <col min="9989" max="9990" width="12.77734375" style="1" customWidth="1"/>
    <col min="9991" max="9993" width="0" style="1" hidden="1" customWidth="1"/>
    <col min="9994" max="10002" width="12.77734375" style="1" customWidth="1"/>
    <col min="10003" max="10003" width="0" style="1" hidden="1" customWidth="1"/>
    <col min="10004" max="10007" width="12.77734375" style="1" customWidth="1"/>
    <col min="10008" max="10008" width="1.77734375" style="1" customWidth="1"/>
    <col min="10009" max="10009" width="12.77734375" style="1" customWidth="1"/>
    <col min="10010" max="10010" width="1.77734375" style="1" customWidth="1"/>
    <col min="10011" max="10012" width="0" style="1" hidden="1" customWidth="1"/>
    <col min="10013" max="10013" width="12.77734375" style="1" customWidth="1"/>
    <col min="10014" max="10014" width="17.88671875" style="1" customWidth="1"/>
    <col min="10015" max="10015" width="11.77734375" style="1" customWidth="1"/>
    <col min="10016" max="10016" width="12" style="1" customWidth="1"/>
    <col min="10017" max="10240" width="27.5546875" style="1"/>
    <col min="10241" max="10241" width="19.44140625" style="1" customWidth="1"/>
    <col min="10242" max="10243" width="12.77734375" style="1" customWidth="1"/>
    <col min="10244" max="10244" width="13" style="1" customWidth="1"/>
    <col min="10245" max="10246" width="12.77734375" style="1" customWidth="1"/>
    <col min="10247" max="10249" width="0" style="1" hidden="1" customWidth="1"/>
    <col min="10250" max="10258" width="12.77734375" style="1" customWidth="1"/>
    <col min="10259" max="10259" width="0" style="1" hidden="1" customWidth="1"/>
    <col min="10260" max="10263" width="12.77734375" style="1" customWidth="1"/>
    <col min="10264" max="10264" width="1.77734375" style="1" customWidth="1"/>
    <col min="10265" max="10265" width="12.77734375" style="1" customWidth="1"/>
    <col min="10266" max="10266" width="1.77734375" style="1" customWidth="1"/>
    <col min="10267" max="10268" width="0" style="1" hidden="1" customWidth="1"/>
    <col min="10269" max="10269" width="12.77734375" style="1" customWidth="1"/>
    <col min="10270" max="10270" width="17.88671875" style="1" customWidth="1"/>
    <col min="10271" max="10271" width="11.77734375" style="1" customWidth="1"/>
    <col min="10272" max="10272" width="12" style="1" customWidth="1"/>
    <col min="10273" max="10496" width="27.5546875" style="1"/>
    <col min="10497" max="10497" width="19.44140625" style="1" customWidth="1"/>
    <col min="10498" max="10499" width="12.77734375" style="1" customWidth="1"/>
    <col min="10500" max="10500" width="13" style="1" customWidth="1"/>
    <col min="10501" max="10502" width="12.77734375" style="1" customWidth="1"/>
    <col min="10503" max="10505" width="0" style="1" hidden="1" customWidth="1"/>
    <col min="10506" max="10514" width="12.77734375" style="1" customWidth="1"/>
    <col min="10515" max="10515" width="0" style="1" hidden="1" customWidth="1"/>
    <col min="10516" max="10519" width="12.77734375" style="1" customWidth="1"/>
    <col min="10520" max="10520" width="1.77734375" style="1" customWidth="1"/>
    <col min="10521" max="10521" width="12.77734375" style="1" customWidth="1"/>
    <col min="10522" max="10522" width="1.77734375" style="1" customWidth="1"/>
    <col min="10523" max="10524" width="0" style="1" hidden="1" customWidth="1"/>
    <col min="10525" max="10525" width="12.77734375" style="1" customWidth="1"/>
    <col min="10526" max="10526" width="17.88671875" style="1" customWidth="1"/>
    <col min="10527" max="10527" width="11.77734375" style="1" customWidth="1"/>
    <col min="10528" max="10528" width="12" style="1" customWidth="1"/>
    <col min="10529" max="10752" width="27.5546875" style="1"/>
    <col min="10753" max="10753" width="19.44140625" style="1" customWidth="1"/>
    <col min="10754" max="10755" width="12.77734375" style="1" customWidth="1"/>
    <col min="10756" max="10756" width="13" style="1" customWidth="1"/>
    <col min="10757" max="10758" width="12.77734375" style="1" customWidth="1"/>
    <col min="10759" max="10761" width="0" style="1" hidden="1" customWidth="1"/>
    <col min="10762" max="10770" width="12.77734375" style="1" customWidth="1"/>
    <col min="10771" max="10771" width="0" style="1" hidden="1" customWidth="1"/>
    <col min="10772" max="10775" width="12.77734375" style="1" customWidth="1"/>
    <col min="10776" max="10776" width="1.77734375" style="1" customWidth="1"/>
    <col min="10777" max="10777" width="12.77734375" style="1" customWidth="1"/>
    <col min="10778" max="10778" width="1.77734375" style="1" customWidth="1"/>
    <col min="10779" max="10780" width="0" style="1" hidden="1" customWidth="1"/>
    <col min="10781" max="10781" width="12.77734375" style="1" customWidth="1"/>
    <col min="10782" max="10782" width="17.88671875" style="1" customWidth="1"/>
    <col min="10783" max="10783" width="11.77734375" style="1" customWidth="1"/>
    <col min="10784" max="10784" width="12" style="1" customWidth="1"/>
    <col min="10785" max="11008" width="27.5546875" style="1"/>
    <col min="11009" max="11009" width="19.44140625" style="1" customWidth="1"/>
    <col min="11010" max="11011" width="12.77734375" style="1" customWidth="1"/>
    <col min="11012" max="11012" width="13" style="1" customWidth="1"/>
    <col min="11013" max="11014" width="12.77734375" style="1" customWidth="1"/>
    <col min="11015" max="11017" width="0" style="1" hidden="1" customWidth="1"/>
    <col min="11018" max="11026" width="12.77734375" style="1" customWidth="1"/>
    <col min="11027" max="11027" width="0" style="1" hidden="1" customWidth="1"/>
    <col min="11028" max="11031" width="12.77734375" style="1" customWidth="1"/>
    <col min="11032" max="11032" width="1.77734375" style="1" customWidth="1"/>
    <col min="11033" max="11033" width="12.77734375" style="1" customWidth="1"/>
    <col min="11034" max="11034" width="1.77734375" style="1" customWidth="1"/>
    <col min="11035" max="11036" width="0" style="1" hidden="1" customWidth="1"/>
    <col min="11037" max="11037" width="12.77734375" style="1" customWidth="1"/>
    <col min="11038" max="11038" width="17.88671875" style="1" customWidth="1"/>
    <col min="11039" max="11039" width="11.77734375" style="1" customWidth="1"/>
    <col min="11040" max="11040" width="12" style="1" customWidth="1"/>
    <col min="11041" max="11264" width="27.5546875" style="1"/>
    <col min="11265" max="11265" width="19.44140625" style="1" customWidth="1"/>
    <col min="11266" max="11267" width="12.77734375" style="1" customWidth="1"/>
    <col min="11268" max="11268" width="13" style="1" customWidth="1"/>
    <col min="11269" max="11270" width="12.77734375" style="1" customWidth="1"/>
    <col min="11271" max="11273" width="0" style="1" hidden="1" customWidth="1"/>
    <col min="11274" max="11282" width="12.77734375" style="1" customWidth="1"/>
    <col min="11283" max="11283" width="0" style="1" hidden="1" customWidth="1"/>
    <col min="11284" max="11287" width="12.77734375" style="1" customWidth="1"/>
    <col min="11288" max="11288" width="1.77734375" style="1" customWidth="1"/>
    <col min="11289" max="11289" width="12.77734375" style="1" customWidth="1"/>
    <col min="11290" max="11290" width="1.77734375" style="1" customWidth="1"/>
    <col min="11291" max="11292" width="0" style="1" hidden="1" customWidth="1"/>
    <col min="11293" max="11293" width="12.77734375" style="1" customWidth="1"/>
    <col min="11294" max="11294" width="17.88671875" style="1" customWidth="1"/>
    <col min="11295" max="11295" width="11.77734375" style="1" customWidth="1"/>
    <col min="11296" max="11296" width="12" style="1" customWidth="1"/>
    <col min="11297" max="11520" width="27.5546875" style="1"/>
    <col min="11521" max="11521" width="19.44140625" style="1" customWidth="1"/>
    <col min="11522" max="11523" width="12.77734375" style="1" customWidth="1"/>
    <col min="11524" max="11524" width="13" style="1" customWidth="1"/>
    <col min="11525" max="11526" width="12.77734375" style="1" customWidth="1"/>
    <col min="11527" max="11529" width="0" style="1" hidden="1" customWidth="1"/>
    <col min="11530" max="11538" width="12.77734375" style="1" customWidth="1"/>
    <col min="11539" max="11539" width="0" style="1" hidden="1" customWidth="1"/>
    <col min="11540" max="11543" width="12.77734375" style="1" customWidth="1"/>
    <col min="11544" max="11544" width="1.77734375" style="1" customWidth="1"/>
    <col min="11545" max="11545" width="12.77734375" style="1" customWidth="1"/>
    <col min="11546" max="11546" width="1.77734375" style="1" customWidth="1"/>
    <col min="11547" max="11548" width="0" style="1" hidden="1" customWidth="1"/>
    <col min="11549" max="11549" width="12.77734375" style="1" customWidth="1"/>
    <col min="11550" max="11550" width="17.88671875" style="1" customWidth="1"/>
    <col min="11551" max="11551" width="11.77734375" style="1" customWidth="1"/>
    <col min="11552" max="11552" width="12" style="1" customWidth="1"/>
    <col min="11553" max="11776" width="27.5546875" style="1"/>
    <col min="11777" max="11777" width="19.44140625" style="1" customWidth="1"/>
    <col min="11778" max="11779" width="12.77734375" style="1" customWidth="1"/>
    <col min="11780" max="11780" width="13" style="1" customWidth="1"/>
    <col min="11781" max="11782" width="12.77734375" style="1" customWidth="1"/>
    <col min="11783" max="11785" width="0" style="1" hidden="1" customWidth="1"/>
    <col min="11786" max="11794" width="12.77734375" style="1" customWidth="1"/>
    <col min="11795" max="11795" width="0" style="1" hidden="1" customWidth="1"/>
    <col min="11796" max="11799" width="12.77734375" style="1" customWidth="1"/>
    <col min="11800" max="11800" width="1.77734375" style="1" customWidth="1"/>
    <col min="11801" max="11801" width="12.77734375" style="1" customWidth="1"/>
    <col min="11802" max="11802" width="1.77734375" style="1" customWidth="1"/>
    <col min="11803" max="11804" width="0" style="1" hidden="1" customWidth="1"/>
    <col min="11805" max="11805" width="12.77734375" style="1" customWidth="1"/>
    <col min="11806" max="11806" width="17.88671875" style="1" customWidth="1"/>
    <col min="11807" max="11807" width="11.77734375" style="1" customWidth="1"/>
    <col min="11808" max="11808" width="12" style="1" customWidth="1"/>
    <col min="11809" max="12032" width="27.5546875" style="1"/>
    <col min="12033" max="12033" width="19.44140625" style="1" customWidth="1"/>
    <col min="12034" max="12035" width="12.77734375" style="1" customWidth="1"/>
    <col min="12036" max="12036" width="13" style="1" customWidth="1"/>
    <col min="12037" max="12038" width="12.77734375" style="1" customWidth="1"/>
    <col min="12039" max="12041" width="0" style="1" hidden="1" customWidth="1"/>
    <col min="12042" max="12050" width="12.77734375" style="1" customWidth="1"/>
    <col min="12051" max="12051" width="0" style="1" hidden="1" customWidth="1"/>
    <col min="12052" max="12055" width="12.77734375" style="1" customWidth="1"/>
    <col min="12056" max="12056" width="1.77734375" style="1" customWidth="1"/>
    <col min="12057" max="12057" width="12.77734375" style="1" customWidth="1"/>
    <col min="12058" max="12058" width="1.77734375" style="1" customWidth="1"/>
    <col min="12059" max="12060" width="0" style="1" hidden="1" customWidth="1"/>
    <col min="12061" max="12061" width="12.77734375" style="1" customWidth="1"/>
    <col min="12062" max="12062" width="17.88671875" style="1" customWidth="1"/>
    <col min="12063" max="12063" width="11.77734375" style="1" customWidth="1"/>
    <col min="12064" max="12064" width="12" style="1" customWidth="1"/>
    <col min="12065" max="12288" width="27.5546875" style="1"/>
    <col min="12289" max="12289" width="19.44140625" style="1" customWidth="1"/>
    <col min="12290" max="12291" width="12.77734375" style="1" customWidth="1"/>
    <col min="12292" max="12292" width="13" style="1" customWidth="1"/>
    <col min="12293" max="12294" width="12.77734375" style="1" customWidth="1"/>
    <col min="12295" max="12297" width="0" style="1" hidden="1" customWidth="1"/>
    <col min="12298" max="12306" width="12.77734375" style="1" customWidth="1"/>
    <col min="12307" max="12307" width="0" style="1" hidden="1" customWidth="1"/>
    <col min="12308" max="12311" width="12.77734375" style="1" customWidth="1"/>
    <col min="12312" max="12312" width="1.77734375" style="1" customWidth="1"/>
    <col min="12313" max="12313" width="12.77734375" style="1" customWidth="1"/>
    <col min="12314" max="12314" width="1.77734375" style="1" customWidth="1"/>
    <col min="12315" max="12316" width="0" style="1" hidden="1" customWidth="1"/>
    <col min="12317" max="12317" width="12.77734375" style="1" customWidth="1"/>
    <col min="12318" max="12318" width="17.88671875" style="1" customWidth="1"/>
    <col min="12319" max="12319" width="11.77734375" style="1" customWidth="1"/>
    <col min="12320" max="12320" width="12" style="1" customWidth="1"/>
    <col min="12321" max="12544" width="27.5546875" style="1"/>
    <col min="12545" max="12545" width="19.44140625" style="1" customWidth="1"/>
    <col min="12546" max="12547" width="12.77734375" style="1" customWidth="1"/>
    <col min="12548" max="12548" width="13" style="1" customWidth="1"/>
    <col min="12549" max="12550" width="12.77734375" style="1" customWidth="1"/>
    <col min="12551" max="12553" width="0" style="1" hidden="1" customWidth="1"/>
    <col min="12554" max="12562" width="12.77734375" style="1" customWidth="1"/>
    <col min="12563" max="12563" width="0" style="1" hidden="1" customWidth="1"/>
    <col min="12564" max="12567" width="12.77734375" style="1" customWidth="1"/>
    <col min="12568" max="12568" width="1.77734375" style="1" customWidth="1"/>
    <col min="12569" max="12569" width="12.77734375" style="1" customWidth="1"/>
    <col min="12570" max="12570" width="1.77734375" style="1" customWidth="1"/>
    <col min="12571" max="12572" width="0" style="1" hidden="1" customWidth="1"/>
    <col min="12573" max="12573" width="12.77734375" style="1" customWidth="1"/>
    <col min="12574" max="12574" width="17.88671875" style="1" customWidth="1"/>
    <col min="12575" max="12575" width="11.77734375" style="1" customWidth="1"/>
    <col min="12576" max="12576" width="12" style="1" customWidth="1"/>
    <col min="12577" max="12800" width="27.5546875" style="1"/>
    <col min="12801" max="12801" width="19.44140625" style="1" customWidth="1"/>
    <col min="12802" max="12803" width="12.77734375" style="1" customWidth="1"/>
    <col min="12804" max="12804" width="13" style="1" customWidth="1"/>
    <col min="12805" max="12806" width="12.77734375" style="1" customWidth="1"/>
    <col min="12807" max="12809" width="0" style="1" hidden="1" customWidth="1"/>
    <col min="12810" max="12818" width="12.77734375" style="1" customWidth="1"/>
    <col min="12819" max="12819" width="0" style="1" hidden="1" customWidth="1"/>
    <col min="12820" max="12823" width="12.77734375" style="1" customWidth="1"/>
    <col min="12824" max="12824" width="1.77734375" style="1" customWidth="1"/>
    <col min="12825" max="12825" width="12.77734375" style="1" customWidth="1"/>
    <col min="12826" max="12826" width="1.77734375" style="1" customWidth="1"/>
    <col min="12827" max="12828" width="0" style="1" hidden="1" customWidth="1"/>
    <col min="12829" max="12829" width="12.77734375" style="1" customWidth="1"/>
    <col min="12830" max="12830" width="17.88671875" style="1" customWidth="1"/>
    <col min="12831" max="12831" width="11.77734375" style="1" customWidth="1"/>
    <col min="12832" max="12832" width="12" style="1" customWidth="1"/>
    <col min="12833" max="13056" width="27.5546875" style="1"/>
    <col min="13057" max="13057" width="19.44140625" style="1" customWidth="1"/>
    <col min="13058" max="13059" width="12.77734375" style="1" customWidth="1"/>
    <col min="13060" max="13060" width="13" style="1" customWidth="1"/>
    <col min="13061" max="13062" width="12.77734375" style="1" customWidth="1"/>
    <col min="13063" max="13065" width="0" style="1" hidden="1" customWidth="1"/>
    <col min="13066" max="13074" width="12.77734375" style="1" customWidth="1"/>
    <col min="13075" max="13075" width="0" style="1" hidden="1" customWidth="1"/>
    <col min="13076" max="13079" width="12.77734375" style="1" customWidth="1"/>
    <col min="13080" max="13080" width="1.77734375" style="1" customWidth="1"/>
    <col min="13081" max="13081" width="12.77734375" style="1" customWidth="1"/>
    <col min="13082" max="13082" width="1.77734375" style="1" customWidth="1"/>
    <col min="13083" max="13084" width="0" style="1" hidden="1" customWidth="1"/>
    <col min="13085" max="13085" width="12.77734375" style="1" customWidth="1"/>
    <col min="13086" max="13086" width="17.88671875" style="1" customWidth="1"/>
    <col min="13087" max="13087" width="11.77734375" style="1" customWidth="1"/>
    <col min="13088" max="13088" width="12" style="1" customWidth="1"/>
    <col min="13089" max="13312" width="27.5546875" style="1"/>
    <col min="13313" max="13313" width="19.44140625" style="1" customWidth="1"/>
    <col min="13314" max="13315" width="12.77734375" style="1" customWidth="1"/>
    <col min="13316" max="13316" width="13" style="1" customWidth="1"/>
    <col min="13317" max="13318" width="12.77734375" style="1" customWidth="1"/>
    <col min="13319" max="13321" width="0" style="1" hidden="1" customWidth="1"/>
    <col min="13322" max="13330" width="12.77734375" style="1" customWidth="1"/>
    <col min="13331" max="13331" width="0" style="1" hidden="1" customWidth="1"/>
    <col min="13332" max="13335" width="12.77734375" style="1" customWidth="1"/>
    <col min="13336" max="13336" width="1.77734375" style="1" customWidth="1"/>
    <col min="13337" max="13337" width="12.77734375" style="1" customWidth="1"/>
    <col min="13338" max="13338" width="1.77734375" style="1" customWidth="1"/>
    <col min="13339" max="13340" width="0" style="1" hidden="1" customWidth="1"/>
    <col min="13341" max="13341" width="12.77734375" style="1" customWidth="1"/>
    <col min="13342" max="13342" width="17.88671875" style="1" customWidth="1"/>
    <col min="13343" max="13343" width="11.77734375" style="1" customWidth="1"/>
    <col min="13344" max="13344" width="12" style="1" customWidth="1"/>
    <col min="13345" max="13568" width="27.5546875" style="1"/>
    <col min="13569" max="13569" width="19.44140625" style="1" customWidth="1"/>
    <col min="13570" max="13571" width="12.77734375" style="1" customWidth="1"/>
    <col min="13572" max="13572" width="13" style="1" customWidth="1"/>
    <col min="13573" max="13574" width="12.77734375" style="1" customWidth="1"/>
    <col min="13575" max="13577" width="0" style="1" hidden="1" customWidth="1"/>
    <col min="13578" max="13586" width="12.77734375" style="1" customWidth="1"/>
    <col min="13587" max="13587" width="0" style="1" hidden="1" customWidth="1"/>
    <col min="13588" max="13591" width="12.77734375" style="1" customWidth="1"/>
    <col min="13592" max="13592" width="1.77734375" style="1" customWidth="1"/>
    <col min="13593" max="13593" width="12.77734375" style="1" customWidth="1"/>
    <col min="13594" max="13594" width="1.77734375" style="1" customWidth="1"/>
    <col min="13595" max="13596" width="0" style="1" hidden="1" customWidth="1"/>
    <col min="13597" max="13597" width="12.77734375" style="1" customWidth="1"/>
    <col min="13598" max="13598" width="17.88671875" style="1" customWidth="1"/>
    <col min="13599" max="13599" width="11.77734375" style="1" customWidth="1"/>
    <col min="13600" max="13600" width="12" style="1" customWidth="1"/>
    <col min="13601" max="13824" width="27.5546875" style="1"/>
    <col min="13825" max="13825" width="19.44140625" style="1" customWidth="1"/>
    <col min="13826" max="13827" width="12.77734375" style="1" customWidth="1"/>
    <col min="13828" max="13828" width="13" style="1" customWidth="1"/>
    <col min="13829" max="13830" width="12.77734375" style="1" customWidth="1"/>
    <col min="13831" max="13833" width="0" style="1" hidden="1" customWidth="1"/>
    <col min="13834" max="13842" width="12.77734375" style="1" customWidth="1"/>
    <col min="13843" max="13843" width="0" style="1" hidden="1" customWidth="1"/>
    <col min="13844" max="13847" width="12.77734375" style="1" customWidth="1"/>
    <col min="13848" max="13848" width="1.77734375" style="1" customWidth="1"/>
    <col min="13849" max="13849" width="12.77734375" style="1" customWidth="1"/>
    <col min="13850" max="13850" width="1.77734375" style="1" customWidth="1"/>
    <col min="13851" max="13852" width="0" style="1" hidden="1" customWidth="1"/>
    <col min="13853" max="13853" width="12.77734375" style="1" customWidth="1"/>
    <col min="13854" max="13854" width="17.88671875" style="1" customWidth="1"/>
    <col min="13855" max="13855" width="11.77734375" style="1" customWidth="1"/>
    <col min="13856" max="13856" width="12" style="1" customWidth="1"/>
    <col min="13857" max="14080" width="27.5546875" style="1"/>
    <col min="14081" max="14081" width="19.44140625" style="1" customWidth="1"/>
    <col min="14082" max="14083" width="12.77734375" style="1" customWidth="1"/>
    <col min="14084" max="14084" width="13" style="1" customWidth="1"/>
    <col min="14085" max="14086" width="12.77734375" style="1" customWidth="1"/>
    <col min="14087" max="14089" width="0" style="1" hidden="1" customWidth="1"/>
    <col min="14090" max="14098" width="12.77734375" style="1" customWidth="1"/>
    <col min="14099" max="14099" width="0" style="1" hidden="1" customWidth="1"/>
    <col min="14100" max="14103" width="12.77734375" style="1" customWidth="1"/>
    <col min="14104" max="14104" width="1.77734375" style="1" customWidth="1"/>
    <col min="14105" max="14105" width="12.77734375" style="1" customWidth="1"/>
    <col min="14106" max="14106" width="1.77734375" style="1" customWidth="1"/>
    <col min="14107" max="14108" width="0" style="1" hidden="1" customWidth="1"/>
    <col min="14109" max="14109" width="12.77734375" style="1" customWidth="1"/>
    <col min="14110" max="14110" width="17.88671875" style="1" customWidth="1"/>
    <col min="14111" max="14111" width="11.77734375" style="1" customWidth="1"/>
    <col min="14112" max="14112" width="12" style="1" customWidth="1"/>
    <col min="14113" max="14336" width="27.5546875" style="1"/>
    <col min="14337" max="14337" width="19.44140625" style="1" customWidth="1"/>
    <col min="14338" max="14339" width="12.77734375" style="1" customWidth="1"/>
    <col min="14340" max="14340" width="13" style="1" customWidth="1"/>
    <col min="14341" max="14342" width="12.77734375" style="1" customWidth="1"/>
    <col min="14343" max="14345" width="0" style="1" hidden="1" customWidth="1"/>
    <col min="14346" max="14354" width="12.77734375" style="1" customWidth="1"/>
    <col min="14355" max="14355" width="0" style="1" hidden="1" customWidth="1"/>
    <col min="14356" max="14359" width="12.77734375" style="1" customWidth="1"/>
    <col min="14360" max="14360" width="1.77734375" style="1" customWidth="1"/>
    <col min="14361" max="14361" width="12.77734375" style="1" customWidth="1"/>
    <col min="14362" max="14362" width="1.77734375" style="1" customWidth="1"/>
    <col min="14363" max="14364" width="0" style="1" hidden="1" customWidth="1"/>
    <col min="14365" max="14365" width="12.77734375" style="1" customWidth="1"/>
    <col min="14366" max="14366" width="17.88671875" style="1" customWidth="1"/>
    <col min="14367" max="14367" width="11.77734375" style="1" customWidth="1"/>
    <col min="14368" max="14368" width="12" style="1" customWidth="1"/>
    <col min="14369" max="14592" width="27.5546875" style="1"/>
    <col min="14593" max="14593" width="19.44140625" style="1" customWidth="1"/>
    <col min="14594" max="14595" width="12.77734375" style="1" customWidth="1"/>
    <col min="14596" max="14596" width="13" style="1" customWidth="1"/>
    <col min="14597" max="14598" width="12.77734375" style="1" customWidth="1"/>
    <col min="14599" max="14601" width="0" style="1" hidden="1" customWidth="1"/>
    <col min="14602" max="14610" width="12.77734375" style="1" customWidth="1"/>
    <col min="14611" max="14611" width="0" style="1" hidden="1" customWidth="1"/>
    <col min="14612" max="14615" width="12.77734375" style="1" customWidth="1"/>
    <col min="14616" max="14616" width="1.77734375" style="1" customWidth="1"/>
    <col min="14617" max="14617" width="12.77734375" style="1" customWidth="1"/>
    <col min="14618" max="14618" width="1.77734375" style="1" customWidth="1"/>
    <col min="14619" max="14620" width="0" style="1" hidden="1" customWidth="1"/>
    <col min="14621" max="14621" width="12.77734375" style="1" customWidth="1"/>
    <col min="14622" max="14622" width="17.88671875" style="1" customWidth="1"/>
    <col min="14623" max="14623" width="11.77734375" style="1" customWidth="1"/>
    <col min="14624" max="14624" width="12" style="1" customWidth="1"/>
    <col min="14625" max="14848" width="27.5546875" style="1"/>
    <col min="14849" max="14849" width="19.44140625" style="1" customWidth="1"/>
    <col min="14850" max="14851" width="12.77734375" style="1" customWidth="1"/>
    <col min="14852" max="14852" width="13" style="1" customWidth="1"/>
    <col min="14853" max="14854" width="12.77734375" style="1" customWidth="1"/>
    <col min="14855" max="14857" width="0" style="1" hidden="1" customWidth="1"/>
    <col min="14858" max="14866" width="12.77734375" style="1" customWidth="1"/>
    <col min="14867" max="14867" width="0" style="1" hidden="1" customWidth="1"/>
    <col min="14868" max="14871" width="12.77734375" style="1" customWidth="1"/>
    <col min="14872" max="14872" width="1.77734375" style="1" customWidth="1"/>
    <col min="14873" max="14873" width="12.77734375" style="1" customWidth="1"/>
    <col min="14874" max="14874" width="1.77734375" style="1" customWidth="1"/>
    <col min="14875" max="14876" width="0" style="1" hidden="1" customWidth="1"/>
    <col min="14877" max="14877" width="12.77734375" style="1" customWidth="1"/>
    <col min="14878" max="14878" width="17.88671875" style="1" customWidth="1"/>
    <col min="14879" max="14879" width="11.77734375" style="1" customWidth="1"/>
    <col min="14880" max="14880" width="12" style="1" customWidth="1"/>
    <col min="14881" max="15104" width="27.5546875" style="1"/>
    <col min="15105" max="15105" width="19.44140625" style="1" customWidth="1"/>
    <col min="15106" max="15107" width="12.77734375" style="1" customWidth="1"/>
    <col min="15108" max="15108" width="13" style="1" customWidth="1"/>
    <col min="15109" max="15110" width="12.77734375" style="1" customWidth="1"/>
    <col min="15111" max="15113" width="0" style="1" hidden="1" customWidth="1"/>
    <col min="15114" max="15122" width="12.77734375" style="1" customWidth="1"/>
    <col min="15123" max="15123" width="0" style="1" hidden="1" customWidth="1"/>
    <col min="15124" max="15127" width="12.77734375" style="1" customWidth="1"/>
    <col min="15128" max="15128" width="1.77734375" style="1" customWidth="1"/>
    <col min="15129" max="15129" width="12.77734375" style="1" customWidth="1"/>
    <col min="15130" max="15130" width="1.77734375" style="1" customWidth="1"/>
    <col min="15131" max="15132" width="0" style="1" hidden="1" customWidth="1"/>
    <col min="15133" max="15133" width="12.77734375" style="1" customWidth="1"/>
    <col min="15134" max="15134" width="17.88671875" style="1" customWidth="1"/>
    <col min="15135" max="15135" width="11.77734375" style="1" customWidth="1"/>
    <col min="15136" max="15136" width="12" style="1" customWidth="1"/>
    <col min="15137" max="15360" width="27.5546875" style="1"/>
    <col min="15361" max="15361" width="19.44140625" style="1" customWidth="1"/>
    <col min="15362" max="15363" width="12.77734375" style="1" customWidth="1"/>
    <col min="15364" max="15364" width="13" style="1" customWidth="1"/>
    <col min="15365" max="15366" width="12.77734375" style="1" customWidth="1"/>
    <col min="15367" max="15369" width="0" style="1" hidden="1" customWidth="1"/>
    <col min="15370" max="15378" width="12.77734375" style="1" customWidth="1"/>
    <col min="15379" max="15379" width="0" style="1" hidden="1" customWidth="1"/>
    <col min="15380" max="15383" width="12.77734375" style="1" customWidth="1"/>
    <col min="15384" max="15384" width="1.77734375" style="1" customWidth="1"/>
    <col min="15385" max="15385" width="12.77734375" style="1" customWidth="1"/>
    <col min="15386" max="15386" width="1.77734375" style="1" customWidth="1"/>
    <col min="15387" max="15388" width="0" style="1" hidden="1" customWidth="1"/>
    <col min="15389" max="15389" width="12.77734375" style="1" customWidth="1"/>
    <col min="15390" max="15390" width="17.88671875" style="1" customWidth="1"/>
    <col min="15391" max="15391" width="11.77734375" style="1" customWidth="1"/>
    <col min="15392" max="15392" width="12" style="1" customWidth="1"/>
    <col min="15393" max="15616" width="27.5546875" style="1"/>
    <col min="15617" max="15617" width="19.44140625" style="1" customWidth="1"/>
    <col min="15618" max="15619" width="12.77734375" style="1" customWidth="1"/>
    <col min="15620" max="15620" width="13" style="1" customWidth="1"/>
    <col min="15621" max="15622" width="12.77734375" style="1" customWidth="1"/>
    <col min="15623" max="15625" width="0" style="1" hidden="1" customWidth="1"/>
    <col min="15626" max="15634" width="12.77734375" style="1" customWidth="1"/>
    <col min="15635" max="15635" width="0" style="1" hidden="1" customWidth="1"/>
    <col min="15636" max="15639" width="12.77734375" style="1" customWidth="1"/>
    <col min="15640" max="15640" width="1.77734375" style="1" customWidth="1"/>
    <col min="15641" max="15641" width="12.77734375" style="1" customWidth="1"/>
    <col min="15642" max="15642" width="1.77734375" style="1" customWidth="1"/>
    <col min="15643" max="15644" width="0" style="1" hidden="1" customWidth="1"/>
    <col min="15645" max="15645" width="12.77734375" style="1" customWidth="1"/>
    <col min="15646" max="15646" width="17.88671875" style="1" customWidth="1"/>
    <col min="15647" max="15647" width="11.77734375" style="1" customWidth="1"/>
    <col min="15648" max="15648" width="12" style="1" customWidth="1"/>
    <col min="15649" max="15872" width="27.5546875" style="1"/>
    <col min="15873" max="15873" width="19.44140625" style="1" customWidth="1"/>
    <col min="15874" max="15875" width="12.77734375" style="1" customWidth="1"/>
    <col min="15876" max="15876" width="13" style="1" customWidth="1"/>
    <col min="15877" max="15878" width="12.77734375" style="1" customWidth="1"/>
    <col min="15879" max="15881" width="0" style="1" hidden="1" customWidth="1"/>
    <col min="15882" max="15890" width="12.77734375" style="1" customWidth="1"/>
    <col min="15891" max="15891" width="0" style="1" hidden="1" customWidth="1"/>
    <col min="15892" max="15895" width="12.77734375" style="1" customWidth="1"/>
    <col min="15896" max="15896" width="1.77734375" style="1" customWidth="1"/>
    <col min="15897" max="15897" width="12.77734375" style="1" customWidth="1"/>
    <col min="15898" max="15898" width="1.77734375" style="1" customWidth="1"/>
    <col min="15899" max="15900" width="0" style="1" hidden="1" customWidth="1"/>
    <col min="15901" max="15901" width="12.77734375" style="1" customWidth="1"/>
    <col min="15902" max="15902" width="17.88671875" style="1" customWidth="1"/>
    <col min="15903" max="15903" width="11.77734375" style="1" customWidth="1"/>
    <col min="15904" max="15904" width="12" style="1" customWidth="1"/>
    <col min="15905" max="16128" width="27.5546875" style="1"/>
    <col min="16129" max="16129" width="19.44140625" style="1" customWidth="1"/>
    <col min="16130" max="16131" width="12.77734375" style="1" customWidth="1"/>
    <col min="16132" max="16132" width="13" style="1" customWidth="1"/>
    <col min="16133" max="16134" width="12.77734375" style="1" customWidth="1"/>
    <col min="16135" max="16137" width="0" style="1" hidden="1" customWidth="1"/>
    <col min="16138" max="16146" width="12.77734375" style="1" customWidth="1"/>
    <col min="16147" max="16147" width="0" style="1" hidden="1" customWidth="1"/>
    <col min="16148" max="16151" width="12.77734375" style="1" customWidth="1"/>
    <col min="16152" max="16152" width="1.77734375" style="1" customWidth="1"/>
    <col min="16153" max="16153" width="12.77734375" style="1" customWidth="1"/>
    <col min="16154" max="16154" width="1.77734375" style="1" customWidth="1"/>
    <col min="16155" max="16156" width="0" style="1" hidden="1" customWidth="1"/>
    <col min="16157" max="16157" width="12.77734375" style="1" customWidth="1"/>
    <col min="16158" max="16158" width="17.88671875" style="1" customWidth="1"/>
    <col min="16159" max="16159" width="11.77734375" style="1" customWidth="1"/>
    <col min="16160" max="16160" width="12" style="1" customWidth="1"/>
    <col min="16161" max="16384" width="27.5546875" style="1"/>
  </cols>
  <sheetData>
    <row r="1" spans="1:52" ht="36.75" customHeight="1" x14ac:dyDescent="0.25">
      <c r="A1" s="65"/>
      <c r="B1" s="50"/>
      <c r="C1" s="64"/>
      <c r="D1" s="50"/>
      <c r="E1" s="50"/>
      <c r="F1" s="50"/>
      <c r="G1" s="50"/>
      <c r="H1" s="50"/>
      <c r="I1" s="50"/>
      <c r="J1" s="50"/>
      <c r="K1" s="50"/>
      <c r="M1" s="63"/>
      <c r="O1" s="50"/>
      <c r="P1" s="50"/>
      <c r="Q1" s="50"/>
      <c r="R1" s="50"/>
      <c r="S1" s="50"/>
      <c r="T1" s="50"/>
      <c r="U1" s="50"/>
      <c r="V1" s="50"/>
      <c r="W1" s="62" t="s">
        <v>94</v>
      </c>
      <c r="Y1" s="61"/>
      <c r="AA1" s="61"/>
      <c r="AC1" s="61"/>
    </row>
    <row r="2" spans="1:52" s="57" customFormat="1" ht="18" customHeight="1" x14ac:dyDescent="0.2">
      <c r="A2" s="60"/>
      <c r="B2" s="27"/>
      <c r="C2" s="27"/>
      <c r="D2" s="28"/>
      <c r="E2" s="27"/>
      <c r="F2" s="27"/>
      <c r="G2" s="27"/>
      <c r="H2" s="27"/>
      <c r="I2" s="27"/>
      <c r="J2" s="27"/>
      <c r="K2" s="27"/>
      <c r="M2" s="59"/>
      <c r="N2" s="58"/>
      <c r="O2" s="27"/>
      <c r="P2" s="27"/>
      <c r="Q2" s="27"/>
      <c r="R2" s="27"/>
      <c r="S2" s="27"/>
      <c r="T2" s="27"/>
      <c r="U2" s="27"/>
      <c r="V2" s="27"/>
      <c r="W2" s="5"/>
      <c r="Y2" s="5"/>
      <c r="AA2" s="5"/>
      <c r="AC2" s="5"/>
    </row>
    <row r="3" spans="1:52" ht="21" customHeight="1" x14ac:dyDescent="0.2">
      <c r="A3" s="56"/>
      <c r="B3" s="50"/>
      <c r="C3" s="50"/>
      <c r="D3" s="56"/>
      <c r="E3" s="50"/>
      <c r="F3" s="51"/>
      <c r="G3" s="50"/>
      <c r="H3" s="50"/>
      <c r="I3" s="51"/>
      <c r="J3" s="50"/>
      <c r="K3" s="50"/>
      <c r="M3" s="55"/>
      <c r="N3" s="54"/>
      <c r="O3" s="50"/>
      <c r="P3" s="50"/>
      <c r="Q3" s="50"/>
      <c r="R3" s="50"/>
      <c r="S3" s="50"/>
      <c r="T3" s="50"/>
      <c r="U3" s="50"/>
      <c r="V3" s="50"/>
      <c r="W3" s="5"/>
      <c r="Y3" s="5"/>
      <c r="AA3" s="5"/>
      <c r="AC3" s="5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50"/>
      <c r="B5" s="50"/>
      <c r="C5" s="50"/>
      <c r="D5" s="50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49"/>
      <c r="Y5" s="48"/>
      <c r="AA5" s="48"/>
      <c r="AC5" s="48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84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84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89"/>
      <c r="T8" s="245" t="s">
        <v>62</v>
      </c>
      <c r="U8" s="83" t="s">
        <v>61</v>
      </c>
      <c r="V8" s="84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24"/>
      <c r="AE8" s="24"/>
      <c r="AF8" s="24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84" t="s">
        <v>51</v>
      </c>
      <c r="O9" s="83" t="s">
        <v>50</v>
      </c>
      <c r="P9" s="251"/>
      <c r="Q9" s="83"/>
      <c r="R9" s="83" t="s">
        <v>49</v>
      </c>
      <c r="S9" s="84"/>
      <c r="T9" s="246"/>
      <c r="U9" s="83" t="s">
        <v>48</v>
      </c>
      <c r="V9" s="84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24"/>
      <c r="AE9" s="24"/>
      <c r="AF9" s="24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866688.84149999998</v>
      </c>
      <c r="C10" s="40">
        <v>0</v>
      </c>
      <c r="D10" s="76">
        <f>B10+C10</f>
        <v>866688.84149999998</v>
      </c>
      <c r="E10" s="40">
        <v>35.008399999999995</v>
      </c>
      <c r="F10" s="76">
        <f>D10+E10</f>
        <v>866723.84990000003</v>
      </c>
      <c r="G10" s="40">
        <v>0</v>
      </c>
      <c r="H10" s="40">
        <v>0</v>
      </c>
      <c r="I10" s="40">
        <v>0</v>
      </c>
      <c r="J10" s="40">
        <v>7758.1889000000001</v>
      </c>
      <c r="K10" s="40">
        <v>1846.998</v>
      </c>
      <c r="L10" s="40">
        <v>0</v>
      </c>
      <c r="M10" s="40">
        <v>13999.742199999999</v>
      </c>
      <c r="N10" s="40">
        <v>2056.4866000000002</v>
      </c>
      <c r="O10" s="40">
        <v>4232.1670999999997</v>
      </c>
      <c r="P10" s="40">
        <v>149.78904740000002</v>
      </c>
      <c r="Q10" s="40">
        <v>6628.4624999999996</v>
      </c>
      <c r="R10" s="40">
        <v>124.44429463948171</v>
      </c>
      <c r="S10" s="40">
        <v>0</v>
      </c>
      <c r="T10" s="40">
        <v>89.767231873086672</v>
      </c>
      <c r="U10" s="40">
        <v>0</v>
      </c>
      <c r="V10" s="40">
        <v>2719.2284</v>
      </c>
      <c r="W10" s="76">
        <f t="shared" ref="W10:W32" si="0">SUM(F10:V10)</f>
        <v>906329.12417391257</v>
      </c>
      <c r="X10" s="36"/>
      <c r="Y10" s="42">
        <v>104762.17878</v>
      </c>
      <c r="Z10" s="38"/>
      <c r="AA10" s="109">
        <v>0</v>
      </c>
      <c r="AB10" s="36"/>
      <c r="AC10" s="76">
        <f>+W10+Y10+AA10</f>
        <v>1011091.3029539125</v>
      </c>
      <c r="AD10" s="29"/>
      <c r="AE10" s="25"/>
      <c r="AF10" s="113"/>
      <c r="AG10" s="129"/>
      <c r="AH10" s="130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108704.3867</v>
      </c>
      <c r="C11" s="40">
        <v>0</v>
      </c>
      <c r="D11" s="76">
        <f t="shared" ref="D11:D32" si="1">B11+C11</f>
        <v>108704.3867</v>
      </c>
      <c r="E11" s="40">
        <v>1.7832999999999999</v>
      </c>
      <c r="F11" s="76">
        <f t="shared" ref="F11:F32" si="2">D11+E11</f>
        <v>108706.17</v>
      </c>
      <c r="G11" s="40">
        <v>0</v>
      </c>
      <c r="H11" s="40">
        <v>0</v>
      </c>
      <c r="I11" s="40">
        <v>0</v>
      </c>
      <c r="J11" s="40">
        <v>973.07030000000009</v>
      </c>
      <c r="K11" s="40">
        <v>0</v>
      </c>
      <c r="L11" s="40">
        <v>0</v>
      </c>
      <c r="M11" s="40">
        <v>0</v>
      </c>
      <c r="N11" s="40">
        <v>257.93860000000001</v>
      </c>
      <c r="O11" s="40">
        <v>443.86440000000005</v>
      </c>
      <c r="P11" s="40">
        <v>225.75387858000002</v>
      </c>
      <c r="Q11" s="40">
        <v>959.98419999999999</v>
      </c>
      <c r="R11" s="40">
        <v>189.68170154157454</v>
      </c>
      <c r="S11" s="40">
        <v>0</v>
      </c>
      <c r="T11" s="40">
        <v>135.2922734802973</v>
      </c>
      <c r="U11" s="40">
        <v>2.2000000000000002</v>
      </c>
      <c r="V11" s="40">
        <v>341.0643</v>
      </c>
      <c r="W11" s="76">
        <f t="shared" si="0"/>
        <v>112235.01965360188</v>
      </c>
      <c r="X11" s="36"/>
      <c r="Y11" s="42">
        <v>576.85680000000002</v>
      </c>
      <c r="Z11" s="38"/>
      <c r="AA11" s="43">
        <v>0</v>
      </c>
      <c r="AB11" s="36"/>
      <c r="AC11" s="76">
        <f t="shared" ref="AC11:AC38" si="3">+W11+Y11+AA11</f>
        <v>112811.87645360187</v>
      </c>
      <c r="AD11" s="29"/>
      <c r="AE11" s="25"/>
      <c r="AF11" s="113"/>
      <c r="AG11" s="129"/>
      <c r="AH11" s="130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350438.61719999998</v>
      </c>
      <c r="C12" s="40">
        <v>0</v>
      </c>
      <c r="D12" s="76">
        <f t="shared" si="1"/>
        <v>350438.61719999998</v>
      </c>
      <c r="E12" s="40">
        <v>10.441700000000001</v>
      </c>
      <c r="F12" s="76">
        <f>D12+E12</f>
        <v>350449.0589</v>
      </c>
      <c r="G12" s="40">
        <v>0</v>
      </c>
      <c r="H12" s="40">
        <v>0</v>
      </c>
      <c r="I12" s="40">
        <v>0</v>
      </c>
      <c r="J12" s="40">
        <v>3136.9609</v>
      </c>
      <c r="K12" s="40">
        <v>630.7577</v>
      </c>
      <c r="L12" s="40">
        <v>0</v>
      </c>
      <c r="M12" s="40">
        <v>4780.9719999999998</v>
      </c>
      <c r="N12" s="40">
        <v>831.52890000000002</v>
      </c>
      <c r="O12" s="40">
        <v>2320.8807999999999</v>
      </c>
      <c r="P12" s="40">
        <v>149.78904740000002</v>
      </c>
      <c r="Q12" s="40">
        <v>2582.8147000000004</v>
      </c>
      <c r="R12" s="40">
        <v>116.79563767963104</v>
      </c>
      <c r="S12" s="40">
        <v>0</v>
      </c>
      <c r="T12" s="40">
        <v>89.767231873086672</v>
      </c>
      <c r="U12" s="40">
        <v>0.5</v>
      </c>
      <c r="V12" s="40">
        <v>1099.5048999999999</v>
      </c>
      <c r="W12" s="76">
        <f t="shared" si="0"/>
        <v>366189.33071695268</v>
      </c>
      <c r="X12" s="36"/>
      <c r="Y12" s="42">
        <v>3365.3199599999998</v>
      </c>
      <c r="Z12" s="38"/>
      <c r="AA12" s="43">
        <v>0</v>
      </c>
      <c r="AB12" s="36"/>
      <c r="AC12" s="76">
        <f t="shared" si="3"/>
        <v>369554.65067695267</v>
      </c>
      <c r="AD12" s="29"/>
      <c r="AE12" s="25"/>
      <c r="AF12" s="113"/>
      <c r="AG12" s="129"/>
      <c r="AH12" s="130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146712.9135</v>
      </c>
      <c r="C13" s="40">
        <v>0</v>
      </c>
      <c r="D13" s="76">
        <f t="shared" si="1"/>
        <v>146712.9135</v>
      </c>
      <c r="E13" s="40">
        <v>3.2166999999999999</v>
      </c>
      <c r="F13" s="76">
        <f t="shared" si="2"/>
        <v>146716.13019999999</v>
      </c>
      <c r="G13" s="40">
        <v>0</v>
      </c>
      <c r="H13" s="40">
        <v>0</v>
      </c>
      <c r="I13" s="40">
        <v>0</v>
      </c>
      <c r="J13" s="40">
        <v>1313.3046999999999</v>
      </c>
      <c r="K13" s="40">
        <v>201.68710000000002</v>
      </c>
      <c r="L13" s="40">
        <v>0</v>
      </c>
      <c r="M13" s="40">
        <v>1528.7333000000001</v>
      </c>
      <c r="N13" s="40">
        <v>348.12349999999998</v>
      </c>
      <c r="O13" s="40">
        <v>565.77599999999995</v>
      </c>
      <c r="P13" s="40">
        <v>189.63213478</v>
      </c>
      <c r="Q13" s="40">
        <v>2262.8200000000002</v>
      </c>
      <c r="R13" s="40">
        <v>163.21451580454345</v>
      </c>
      <c r="S13" s="40">
        <v>0</v>
      </c>
      <c r="T13" s="40">
        <v>113.64483657927094</v>
      </c>
      <c r="U13" s="40">
        <v>1.5</v>
      </c>
      <c r="V13" s="40">
        <v>460.31290000000001</v>
      </c>
      <c r="W13" s="76">
        <f t="shared" si="0"/>
        <v>153864.87918716381</v>
      </c>
      <c r="X13" s="36"/>
      <c r="Y13" s="42">
        <v>4105.3515600000001</v>
      </c>
      <c r="Z13" s="38"/>
      <c r="AA13" s="43">
        <v>0</v>
      </c>
      <c r="AB13" s="36"/>
      <c r="AC13" s="76">
        <f t="shared" si="3"/>
        <v>157970.23074716382</v>
      </c>
      <c r="AD13" s="29"/>
      <c r="AE13" s="25"/>
      <c r="AF13" s="113"/>
      <c r="AG13" s="129"/>
      <c r="AH13" s="130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196884.16890000002</v>
      </c>
      <c r="C14" s="40">
        <v>0</v>
      </c>
      <c r="D14" s="76">
        <f t="shared" si="1"/>
        <v>196884.16890000002</v>
      </c>
      <c r="E14" s="40">
        <v>2.8</v>
      </c>
      <c r="F14" s="76">
        <f t="shared" si="2"/>
        <v>196886.96890000001</v>
      </c>
      <c r="G14" s="40">
        <v>0</v>
      </c>
      <c r="H14" s="40">
        <v>0</v>
      </c>
      <c r="I14" s="40">
        <v>0</v>
      </c>
      <c r="J14" s="40">
        <v>1762.414</v>
      </c>
      <c r="K14" s="40">
        <v>158.56029999999998</v>
      </c>
      <c r="L14" s="40">
        <v>0</v>
      </c>
      <c r="M14" s="40">
        <v>1201.8440000000001</v>
      </c>
      <c r="N14" s="40">
        <v>467.17419999999998</v>
      </c>
      <c r="O14" s="40">
        <v>586.30419999999992</v>
      </c>
      <c r="P14" s="40">
        <v>201.40573319000001</v>
      </c>
      <c r="Q14" s="40">
        <v>2102.8226</v>
      </c>
      <c r="R14" s="40">
        <v>171.19329479778642</v>
      </c>
      <c r="S14" s="40">
        <v>0</v>
      </c>
      <c r="T14" s="40">
        <v>120.70064845479655</v>
      </c>
      <c r="U14" s="40">
        <v>0.5</v>
      </c>
      <c r="V14" s="40">
        <v>617.73</v>
      </c>
      <c r="W14" s="76">
        <f t="shared" si="0"/>
        <v>204277.61787644267</v>
      </c>
      <c r="X14" s="36"/>
      <c r="Y14" s="42">
        <v>5008.7911199999999</v>
      </c>
      <c r="Z14" s="38"/>
      <c r="AA14" s="43">
        <v>0</v>
      </c>
      <c r="AB14" s="36"/>
      <c r="AC14" s="76">
        <f t="shared" si="3"/>
        <v>209286.40899644268</v>
      </c>
      <c r="AD14" s="29"/>
      <c r="AE14" s="25"/>
      <c r="AF14" s="113"/>
      <c r="AG14" s="129"/>
      <c r="AH14" s="130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62416.314899999998</v>
      </c>
      <c r="C15" s="40">
        <v>0</v>
      </c>
      <c r="D15" s="76">
        <f t="shared" si="1"/>
        <v>62416.314899999998</v>
      </c>
      <c r="E15" s="40">
        <v>2.0167000000000002</v>
      </c>
      <c r="F15" s="76">
        <f t="shared" si="2"/>
        <v>62418.331599999998</v>
      </c>
      <c r="G15" s="40">
        <v>0</v>
      </c>
      <c r="H15" s="40">
        <v>0</v>
      </c>
      <c r="I15" s="40">
        <v>0</v>
      </c>
      <c r="J15" s="40">
        <v>558.72130000000004</v>
      </c>
      <c r="K15" s="40">
        <v>62.025800000000004</v>
      </c>
      <c r="L15" s="40">
        <v>0</v>
      </c>
      <c r="M15" s="40">
        <v>470.1388</v>
      </c>
      <c r="N15" s="40">
        <v>148.10599999999999</v>
      </c>
      <c r="O15" s="40">
        <v>498.48690000000005</v>
      </c>
      <c r="P15" s="40">
        <v>211.17048</v>
      </c>
      <c r="Q15" s="40">
        <v>1462.8331000000001</v>
      </c>
      <c r="R15" s="40">
        <v>204.73373877638394</v>
      </c>
      <c r="S15" s="40">
        <v>0</v>
      </c>
      <c r="T15" s="40">
        <v>126.5525735790369</v>
      </c>
      <c r="U15" s="40">
        <v>3</v>
      </c>
      <c r="V15" s="40">
        <v>195.83600000000001</v>
      </c>
      <c r="W15" s="76">
        <f t="shared" si="0"/>
        <v>66359.936292355429</v>
      </c>
      <c r="X15" s="36"/>
      <c r="Y15" s="42">
        <v>953.98043999999993</v>
      </c>
      <c r="Z15" s="38"/>
      <c r="AA15" s="43">
        <v>0</v>
      </c>
      <c r="AB15" s="36"/>
      <c r="AC15" s="76">
        <f t="shared" si="3"/>
        <v>67313.916732355428</v>
      </c>
      <c r="AD15" s="29"/>
      <c r="AE15" s="25"/>
      <c r="AF15" s="113"/>
      <c r="AG15" s="129"/>
      <c r="AH15" s="130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192703.2309</v>
      </c>
      <c r="C16" s="40">
        <v>0</v>
      </c>
      <c r="D16" s="76">
        <f t="shared" si="1"/>
        <v>192703.2309</v>
      </c>
      <c r="E16" s="40">
        <v>5.6249000000000002</v>
      </c>
      <c r="F16" s="76">
        <f t="shared" si="2"/>
        <v>192708.85579999999</v>
      </c>
      <c r="G16" s="40">
        <v>0</v>
      </c>
      <c r="H16" s="40">
        <v>0</v>
      </c>
      <c r="I16" s="40">
        <v>0</v>
      </c>
      <c r="J16" s="40">
        <v>1724.9882</v>
      </c>
      <c r="K16" s="40">
        <v>273.73500000000001</v>
      </c>
      <c r="L16" s="40">
        <v>0</v>
      </c>
      <c r="M16" s="40">
        <v>2074.8367000000003</v>
      </c>
      <c r="N16" s="40">
        <v>457.24619999999999</v>
      </c>
      <c r="O16" s="40">
        <v>773.8098</v>
      </c>
      <c r="P16" s="40">
        <v>173.32933203999997</v>
      </c>
      <c r="Q16" s="40">
        <v>1782.8279</v>
      </c>
      <c r="R16" s="40">
        <v>163.25574641935515</v>
      </c>
      <c r="S16" s="40">
        <v>0</v>
      </c>
      <c r="T16" s="40">
        <v>103.87471320006917</v>
      </c>
      <c r="U16" s="40">
        <v>1.8</v>
      </c>
      <c r="V16" s="40">
        <v>604.60249999999996</v>
      </c>
      <c r="W16" s="76">
        <f t="shared" si="0"/>
        <v>200843.1618916594</v>
      </c>
      <c r="X16" s="36"/>
      <c r="Y16" s="42">
        <v>2314.9654</v>
      </c>
      <c r="Z16" s="38"/>
      <c r="AA16" s="43">
        <v>0</v>
      </c>
      <c r="AB16" s="36"/>
      <c r="AC16" s="76">
        <f t="shared" si="3"/>
        <v>203158.12729165939</v>
      </c>
      <c r="AD16" s="29"/>
      <c r="AE16" s="25"/>
      <c r="AF16" s="113"/>
      <c r="AG16" s="129"/>
      <c r="AH16" s="130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143672.23130000001</v>
      </c>
      <c r="C17" s="40">
        <v>0</v>
      </c>
      <c r="D17" s="76">
        <f t="shared" si="1"/>
        <v>143672.23130000001</v>
      </c>
      <c r="E17" s="40">
        <v>1.7251000000000001</v>
      </c>
      <c r="F17" s="76">
        <f t="shared" si="2"/>
        <v>143673.95640000002</v>
      </c>
      <c r="G17" s="40">
        <v>0</v>
      </c>
      <c r="H17" s="40">
        <v>0</v>
      </c>
      <c r="I17" s="40">
        <v>0</v>
      </c>
      <c r="J17" s="40">
        <v>1286.0858999999998</v>
      </c>
      <c r="K17" s="40">
        <v>73.860500000000002</v>
      </c>
      <c r="L17" s="40">
        <v>0</v>
      </c>
      <c r="M17" s="40">
        <v>559.8424</v>
      </c>
      <c r="N17" s="40">
        <v>340.9117</v>
      </c>
      <c r="O17" s="40">
        <v>402.61009999999999</v>
      </c>
      <c r="P17" s="40">
        <v>232.73474589</v>
      </c>
      <c r="Q17" s="40">
        <v>1828.5413999999998</v>
      </c>
      <c r="R17" s="40">
        <v>176.83974098182821</v>
      </c>
      <c r="S17" s="40">
        <v>0</v>
      </c>
      <c r="T17" s="40">
        <v>139.47584460802284</v>
      </c>
      <c r="U17" s="40">
        <v>2.2000000000000002</v>
      </c>
      <c r="V17" s="40">
        <v>450.77699999999999</v>
      </c>
      <c r="W17" s="76">
        <f t="shared" si="0"/>
        <v>149167.83573147986</v>
      </c>
      <c r="X17" s="36"/>
      <c r="Y17" s="42">
        <v>2470.5517200000004</v>
      </c>
      <c r="Z17" s="38"/>
      <c r="AA17" s="43">
        <v>0</v>
      </c>
      <c r="AB17" s="36"/>
      <c r="AC17" s="76">
        <f t="shared" si="3"/>
        <v>151638.38745147985</v>
      </c>
      <c r="AD17" s="29"/>
      <c r="AE17" s="25"/>
      <c r="AF17" s="113"/>
      <c r="AG17" s="129"/>
      <c r="AH17" s="130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112125.1541</v>
      </c>
      <c r="C18" s="40">
        <v>0</v>
      </c>
      <c r="D18" s="76">
        <f t="shared" si="1"/>
        <v>112125.1541</v>
      </c>
      <c r="E18" s="40">
        <v>2.7749999999999999</v>
      </c>
      <c r="F18" s="76">
        <f t="shared" si="2"/>
        <v>112127.92909999999</v>
      </c>
      <c r="G18" s="40">
        <v>0</v>
      </c>
      <c r="H18" s="40">
        <v>0</v>
      </c>
      <c r="I18" s="40">
        <v>0</v>
      </c>
      <c r="J18" s="40">
        <v>1003.6914</v>
      </c>
      <c r="K18" s="40">
        <v>0</v>
      </c>
      <c r="L18" s="40">
        <v>0</v>
      </c>
      <c r="M18" s="40">
        <v>0</v>
      </c>
      <c r="N18" s="40">
        <v>266.04950000000002</v>
      </c>
      <c r="O18" s="40">
        <v>411.99770000000001</v>
      </c>
      <c r="P18" s="40">
        <v>187.80861593999998</v>
      </c>
      <c r="Q18" s="40">
        <v>1371.4059999999999</v>
      </c>
      <c r="R18" s="40">
        <v>180.71268280213548</v>
      </c>
      <c r="S18" s="40">
        <v>0</v>
      </c>
      <c r="T18" s="40">
        <v>112.55201811417976</v>
      </c>
      <c r="U18" s="40">
        <v>2.2000000000000002</v>
      </c>
      <c r="V18" s="40">
        <v>351.78899999999999</v>
      </c>
      <c r="W18" s="76">
        <f t="shared" si="0"/>
        <v>116016.1360168563</v>
      </c>
      <c r="X18" s="36"/>
      <c r="Y18" s="42">
        <v>2389.2157000000002</v>
      </c>
      <c r="Z18" s="38"/>
      <c r="AA18" s="43">
        <v>0</v>
      </c>
      <c r="AB18" s="36"/>
      <c r="AC18" s="76">
        <f t="shared" si="3"/>
        <v>118405.3517168563</v>
      </c>
      <c r="AD18" s="29"/>
      <c r="AE18" s="25"/>
      <c r="AF18" s="113"/>
      <c r="AG18" s="129"/>
      <c r="AH18" s="130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75561.377500000002</v>
      </c>
      <c r="C19" s="40">
        <v>0</v>
      </c>
      <c r="D19" s="76">
        <f t="shared" si="1"/>
        <v>75561.377500000002</v>
      </c>
      <c r="E19" s="40">
        <v>1.6</v>
      </c>
      <c r="F19" s="76">
        <f t="shared" si="2"/>
        <v>75562.977500000008</v>
      </c>
      <c r="G19" s="40">
        <v>0</v>
      </c>
      <c r="H19" s="40">
        <v>0</v>
      </c>
      <c r="I19" s="40">
        <v>0</v>
      </c>
      <c r="J19" s="40">
        <v>676.3066</v>
      </c>
      <c r="K19" s="40">
        <v>54.466900000000003</v>
      </c>
      <c r="L19" s="40">
        <v>6.0999999999999998E-7</v>
      </c>
      <c r="M19" s="40">
        <v>412.93009999999998</v>
      </c>
      <c r="N19" s="40">
        <v>179.27079999999998</v>
      </c>
      <c r="O19" s="40">
        <v>519.33859999999993</v>
      </c>
      <c r="P19" s="40">
        <v>166.72172232</v>
      </c>
      <c r="Q19" s="40">
        <v>931.97829999999999</v>
      </c>
      <c r="R19" s="40">
        <v>225.0279354941288</v>
      </c>
      <c r="S19" s="40">
        <v>0</v>
      </c>
      <c r="T19" s="40">
        <v>99.914831990251201</v>
      </c>
      <c r="U19" s="40">
        <v>2.5</v>
      </c>
      <c r="V19" s="40">
        <v>237.04420000000002</v>
      </c>
      <c r="W19" s="76">
        <f t="shared" si="0"/>
        <v>79068.477490414385</v>
      </c>
      <c r="X19" s="36"/>
      <c r="Y19" s="42">
        <v>0</v>
      </c>
      <c r="Z19" s="38"/>
      <c r="AA19" s="43">
        <v>0</v>
      </c>
      <c r="AB19" s="36"/>
      <c r="AC19" s="76">
        <f t="shared" si="3"/>
        <v>79068.477490414385</v>
      </c>
      <c r="AD19" s="29"/>
      <c r="AE19" s="25"/>
      <c r="AF19" s="113"/>
      <c r="AG19" s="129"/>
      <c r="AH19" s="130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81718.332599999994</v>
      </c>
      <c r="C20" s="40">
        <v>0</v>
      </c>
      <c r="D20" s="76">
        <f t="shared" si="1"/>
        <v>81718.332599999994</v>
      </c>
      <c r="E20" s="40">
        <v>1.6916</v>
      </c>
      <c r="F20" s="76">
        <f t="shared" si="2"/>
        <v>81720.0242</v>
      </c>
      <c r="G20" s="40">
        <v>0</v>
      </c>
      <c r="H20" s="40">
        <v>0</v>
      </c>
      <c r="I20" s="40">
        <v>0</v>
      </c>
      <c r="J20" s="40">
        <v>731.50390000000004</v>
      </c>
      <c r="K20" s="40">
        <v>0</v>
      </c>
      <c r="L20" s="40">
        <v>0</v>
      </c>
      <c r="M20" s="40">
        <v>0</v>
      </c>
      <c r="N20" s="40">
        <v>193.90350000000001</v>
      </c>
      <c r="O20" s="40">
        <v>402.6069</v>
      </c>
      <c r="P20" s="40">
        <v>219.65949805000002</v>
      </c>
      <c r="Q20" s="40">
        <v>914.27069999999992</v>
      </c>
      <c r="R20" s="40">
        <v>206.82318510080543</v>
      </c>
      <c r="S20" s="40">
        <v>0</v>
      </c>
      <c r="T20" s="40">
        <v>131.63996590993978</v>
      </c>
      <c r="U20" s="40">
        <v>2.2000000000000002</v>
      </c>
      <c r="V20" s="40">
        <v>256.39260000000002</v>
      </c>
      <c r="W20" s="76">
        <f t="shared" si="0"/>
        <v>84779.024449060729</v>
      </c>
      <c r="X20" s="36"/>
      <c r="Y20" s="42">
        <v>748.42807999999991</v>
      </c>
      <c r="Z20" s="38"/>
      <c r="AA20" s="43">
        <v>0</v>
      </c>
      <c r="AB20" s="36"/>
      <c r="AC20" s="76">
        <f t="shared" si="3"/>
        <v>85527.452529060727</v>
      </c>
      <c r="AD20" s="29"/>
      <c r="AE20" s="25"/>
      <c r="AF20" s="113"/>
      <c r="AG20" s="129"/>
      <c r="AH20" s="130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164576.92110000001</v>
      </c>
      <c r="C21" s="40">
        <v>0</v>
      </c>
      <c r="D21" s="76">
        <f t="shared" si="1"/>
        <v>164576.92110000001</v>
      </c>
      <c r="E21" s="40">
        <v>5.1416000000000004</v>
      </c>
      <c r="F21" s="76">
        <f t="shared" si="2"/>
        <v>164582.06270000001</v>
      </c>
      <c r="G21" s="40">
        <v>0</v>
      </c>
      <c r="H21" s="40">
        <v>0</v>
      </c>
      <c r="I21" s="40">
        <v>0</v>
      </c>
      <c r="J21" s="40">
        <v>1473.2148</v>
      </c>
      <c r="K21" s="40">
        <v>0</v>
      </c>
      <c r="L21" s="40">
        <v>0</v>
      </c>
      <c r="M21" s="40">
        <v>0</v>
      </c>
      <c r="N21" s="40">
        <v>390.5138</v>
      </c>
      <c r="O21" s="40">
        <v>815.50740000000008</v>
      </c>
      <c r="P21" s="40">
        <v>170.49836332000001</v>
      </c>
      <c r="Q21" s="40">
        <v>1828.5413999999998</v>
      </c>
      <c r="R21" s="40">
        <v>131.54450928376602</v>
      </c>
      <c r="S21" s="40">
        <v>0</v>
      </c>
      <c r="T21" s="40">
        <v>102.17813905055843</v>
      </c>
      <c r="U21" s="40">
        <v>2.2000000000000002</v>
      </c>
      <c r="V21" s="40">
        <v>516.36429999999996</v>
      </c>
      <c r="W21" s="76">
        <f t="shared" si="0"/>
        <v>170012.62541165427</v>
      </c>
      <c r="X21" s="36"/>
      <c r="Y21" s="42">
        <v>3502.1116400000001</v>
      </c>
      <c r="Z21" s="38"/>
      <c r="AA21" s="43">
        <v>0</v>
      </c>
      <c r="AB21" s="36"/>
      <c r="AC21" s="76">
        <f t="shared" si="3"/>
        <v>173514.73705165426</v>
      </c>
      <c r="AD21" s="29"/>
      <c r="AE21" s="25"/>
      <c r="AF21" s="113"/>
      <c r="AG21" s="129"/>
      <c r="AH21" s="130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130369.247</v>
      </c>
      <c r="C22" s="40">
        <v>0</v>
      </c>
      <c r="D22" s="76">
        <f t="shared" si="1"/>
        <v>130369.247</v>
      </c>
      <c r="E22" s="40">
        <v>2.8416999999999999</v>
      </c>
      <c r="F22" s="76">
        <f t="shared" si="2"/>
        <v>130372.08870000001</v>
      </c>
      <c r="G22" s="40">
        <v>0</v>
      </c>
      <c r="H22" s="40">
        <v>0</v>
      </c>
      <c r="I22" s="40">
        <v>0</v>
      </c>
      <c r="J22" s="40">
        <v>1167.0038999999999</v>
      </c>
      <c r="K22" s="40">
        <v>86.593399999999988</v>
      </c>
      <c r="L22" s="40">
        <v>0</v>
      </c>
      <c r="M22" s="40">
        <v>656.35430000000008</v>
      </c>
      <c r="N22" s="40">
        <v>309.339</v>
      </c>
      <c r="O22" s="40">
        <v>578.33150000000001</v>
      </c>
      <c r="P22" s="40">
        <v>220.53777661000001</v>
      </c>
      <c r="Q22" s="40">
        <v>2148.5361000000003</v>
      </c>
      <c r="R22" s="40">
        <v>150.64455943015338</v>
      </c>
      <c r="S22" s="40">
        <v>0</v>
      </c>
      <c r="T22" s="40">
        <v>132.16631037515438</v>
      </c>
      <c r="U22" s="40">
        <v>2.2000000000000002</v>
      </c>
      <c r="V22" s="40">
        <v>409.02929999999998</v>
      </c>
      <c r="W22" s="76">
        <f t="shared" si="0"/>
        <v>136232.82484641534</v>
      </c>
      <c r="X22" s="36"/>
      <c r="Y22" s="42">
        <v>4624.0367999999999</v>
      </c>
      <c r="Z22" s="38"/>
      <c r="AA22" s="43">
        <v>0</v>
      </c>
      <c r="AB22" s="36"/>
      <c r="AC22" s="76">
        <f t="shared" si="3"/>
        <v>140856.86164641535</v>
      </c>
      <c r="AD22" s="29"/>
      <c r="AE22" s="25"/>
      <c r="AF22" s="113"/>
      <c r="AG22" s="129"/>
      <c r="AH22" s="130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68497.679199999999</v>
      </c>
      <c r="C23" s="40">
        <v>0</v>
      </c>
      <c r="D23" s="76">
        <f t="shared" si="1"/>
        <v>68497.679199999999</v>
      </c>
      <c r="E23" s="40">
        <v>1.4499</v>
      </c>
      <c r="F23" s="76">
        <f t="shared" si="2"/>
        <v>68499.129100000006</v>
      </c>
      <c r="G23" s="40">
        <v>0</v>
      </c>
      <c r="H23" s="40">
        <v>0</v>
      </c>
      <c r="I23" s="40">
        <v>0</v>
      </c>
      <c r="J23" s="40">
        <v>613.15880000000004</v>
      </c>
      <c r="K23" s="40">
        <v>38.9435</v>
      </c>
      <c r="L23" s="40">
        <v>0</v>
      </c>
      <c r="M23" s="40">
        <v>295.18099999999998</v>
      </c>
      <c r="N23" s="40">
        <v>162.52950000000001</v>
      </c>
      <c r="O23" s="40">
        <v>620.65350000000001</v>
      </c>
      <c r="P23" s="40">
        <v>195.84186228000002</v>
      </c>
      <c r="Q23" s="40">
        <v>1965.682</v>
      </c>
      <c r="R23" s="40">
        <v>180.19689479843842</v>
      </c>
      <c r="S23" s="40">
        <v>0</v>
      </c>
      <c r="T23" s="40">
        <v>117.36627054004609</v>
      </c>
      <c r="U23" s="40">
        <v>2.5</v>
      </c>
      <c r="V23" s="40">
        <v>214.90779999999998</v>
      </c>
      <c r="W23" s="76">
        <f t="shared" si="0"/>
        <v>72906.090227618493</v>
      </c>
      <c r="X23" s="36"/>
      <c r="Y23" s="42">
        <v>1283.0107600000001</v>
      </c>
      <c r="Z23" s="38"/>
      <c r="AA23" s="43">
        <v>0</v>
      </c>
      <c r="AB23" s="36"/>
      <c r="AC23" s="76">
        <f t="shared" si="3"/>
        <v>74189.100987618498</v>
      </c>
      <c r="AD23" s="29"/>
      <c r="AE23" s="25"/>
      <c r="AF23" s="113"/>
      <c r="AG23" s="129"/>
      <c r="AH23" s="130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99582.340200000006</v>
      </c>
      <c r="C24" s="40">
        <v>0</v>
      </c>
      <c r="D24" s="76">
        <f t="shared" si="1"/>
        <v>99582.340200000006</v>
      </c>
      <c r="E24" s="40">
        <v>1.2167000000000001</v>
      </c>
      <c r="F24" s="76">
        <f t="shared" si="2"/>
        <v>99583.556900000011</v>
      </c>
      <c r="G24" s="40">
        <v>0</v>
      </c>
      <c r="H24" s="40">
        <v>0</v>
      </c>
      <c r="I24" s="40">
        <v>0</v>
      </c>
      <c r="J24" s="40">
        <v>891.41399999999999</v>
      </c>
      <c r="K24" s="40">
        <v>0</v>
      </c>
      <c r="L24" s="40">
        <v>0</v>
      </c>
      <c r="M24" s="40">
        <v>0</v>
      </c>
      <c r="N24" s="40">
        <v>236.29390000000001</v>
      </c>
      <c r="O24" s="40">
        <v>493.2242</v>
      </c>
      <c r="P24" s="40">
        <v>181.97214603</v>
      </c>
      <c r="Q24" s="40">
        <v>2057.1091000000001</v>
      </c>
      <c r="R24" s="40">
        <v>138.60628100398984</v>
      </c>
      <c r="S24" s="40">
        <v>0</v>
      </c>
      <c r="T24" s="40">
        <v>109.0542740613122</v>
      </c>
      <c r="U24" s="40">
        <v>2.5</v>
      </c>
      <c r="V24" s="40">
        <v>312.44409999999999</v>
      </c>
      <c r="W24" s="76">
        <f t="shared" si="0"/>
        <v>104006.17490109532</v>
      </c>
      <c r="X24" s="36"/>
      <c r="Y24" s="42">
        <v>1200.82224</v>
      </c>
      <c r="Z24" s="38"/>
      <c r="AA24" s="43">
        <v>0</v>
      </c>
      <c r="AB24" s="36"/>
      <c r="AC24" s="76">
        <f t="shared" si="3"/>
        <v>105206.99714109531</v>
      </c>
      <c r="AD24" s="29"/>
      <c r="AE24" s="25"/>
      <c r="AF24" s="113"/>
      <c r="AG24" s="129"/>
      <c r="AH24" s="130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151273.93669999999</v>
      </c>
      <c r="C25" s="40">
        <v>0</v>
      </c>
      <c r="D25" s="76">
        <f t="shared" si="1"/>
        <v>151273.93669999999</v>
      </c>
      <c r="E25" s="40">
        <v>3.3167</v>
      </c>
      <c r="F25" s="76">
        <f t="shared" si="2"/>
        <v>151277.25339999999</v>
      </c>
      <c r="G25" s="40">
        <v>0</v>
      </c>
      <c r="H25" s="40">
        <v>0</v>
      </c>
      <c r="I25" s="40">
        <v>0</v>
      </c>
      <c r="J25" s="40">
        <v>1354.1328000000001</v>
      </c>
      <c r="K25" s="40">
        <v>0</v>
      </c>
      <c r="L25" s="40">
        <v>0</v>
      </c>
      <c r="M25" s="40">
        <v>0</v>
      </c>
      <c r="N25" s="40">
        <v>358.95059999999995</v>
      </c>
      <c r="O25" s="40">
        <v>607.32269999999994</v>
      </c>
      <c r="P25" s="40">
        <v>186.16524572999998</v>
      </c>
      <c r="Q25" s="40">
        <v>1828.5413999999998</v>
      </c>
      <c r="R25" s="40">
        <v>217.35064463757229</v>
      </c>
      <c r="S25" s="40">
        <v>0</v>
      </c>
      <c r="T25" s="40">
        <v>111.5671610895686</v>
      </c>
      <c r="U25" s="40">
        <v>2.5</v>
      </c>
      <c r="V25" s="40">
        <v>474.62920000000003</v>
      </c>
      <c r="W25" s="76">
        <f t="shared" si="0"/>
        <v>156418.41315145709</v>
      </c>
      <c r="X25" s="36"/>
      <c r="Y25" s="42">
        <v>6513.7788</v>
      </c>
      <c r="Z25" s="38"/>
      <c r="AA25" s="43">
        <v>0</v>
      </c>
      <c r="AB25" s="36"/>
      <c r="AC25" s="76">
        <f t="shared" si="3"/>
        <v>162932.19195145709</v>
      </c>
      <c r="AD25" s="29"/>
      <c r="AE25" s="25"/>
      <c r="AF25" s="113"/>
      <c r="AG25" s="129"/>
      <c r="AH25" s="130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133409.92910000001</v>
      </c>
      <c r="C26" s="40">
        <v>0</v>
      </c>
      <c r="D26" s="76">
        <f t="shared" si="1"/>
        <v>133409.92910000001</v>
      </c>
      <c r="E26" s="40">
        <v>2.5083000000000002</v>
      </c>
      <c r="F26" s="76">
        <f t="shared" si="2"/>
        <v>133412.4374</v>
      </c>
      <c r="G26" s="40">
        <v>0</v>
      </c>
      <c r="H26" s="40">
        <v>0</v>
      </c>
      <c r="I26" s="40">
        <v>0</v>
      </c>
      <c r="J26" s="40">
        <v>1194.2226000000001</v>
      </c>
      <c r="K26" s="40">
        <v>0</v>
      </c>
      <c r="L26" s="40">
        <v>0</v>
      </c>
      <c r="M26" s="40">
        <v>0</v>
      </c>
      <c r="N26" s="40">
        <v>316.56020000000001</v>
      </c>
      <c r="O26" s="40">
        <v>445.08959999999996</v>
      </c>
      <c r="P26" s="40">
        <v>172.46790190999999</v>
      </c>
      <c r="Q26" s="40">
        <v>1668.5440000000001</v>
      </c>
      <c r="R26" s="40">
        <v>131.11413211062316</v>
      </c>
      <c r="S26" s="40">
        <v>0</v>
      </c>
      <c r="T26" s="40">
        <v>103.35846586475633</v>
      </c>
      <c r="U26" s="40">
        <v>2.2000000000000002</v>
      </c>
      <c r="V26" s="40">
        <v>418.57769999999999</v>
      </c>
      <c r="W26" s="76">
        <f t="shared" si="0"/>
        <v>137864.57199988537</v>
      </c>
      <c r="X26" s="36"/>
      <c r="Y26" s="42">
        <v>1510.5526599999998</v>
      </c>
      <c r="Z26" s="38"/>
      <c r="AA26" s="43">
        <v>0</v>
      </c>
      <c r="AB26" s="36"/>
      <c r="AC26" s="76">
        <f t="shared" si="3"/>
        <v>139375.12465988536</v>
      </c>
      <c r="AD26" s="29"/>
      <c r="AE26" s="25"/>
      <c r="AF26" s="113"/>
      <c r="AG26" s="129"/>
      <c r="AH26" s="130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90080.208499999993</v>
      </c>
      <c r="C27" s="40">
        <v>0</v>
      </c>
      <c r="D27" s="76">
        <f t="shared" si="1"/>
        <v>90080.208499999993</v>
      </c>
      <c r="E27" s="40">
        <v>1.5751000000000002</v>
      </c>
      <c r="F27" s="76">
        <f t="shared" si="2"/>
        <v>90081.783599999995</v>
      </c>
      <c r="G27" s="40">
        <v>0</v>
      </c>
      <c r="H27" s="40">
        <v>0</v>
      </c>
      <c r="I27" s="40">
        <v>0</v>
      </c>
      <c r="J27" s="40">
        <v>806.35540000000003</v>
      </c>
      <c r="K27" s="40">
        <v>0</v>
      </c>
      <c r="L27" s="40">
        <v>0</v>
      </c>
      <c r="M27" s="40">
        <v>0</v>
      </c>
      <c r="N27" s="40">
        <v>213.7406</v>
      </c>
      <c r="O27" s="40">
        <v>376.93150000000003</v>
      </c>
      <c r="P27" s="40">
        <v>168.95349163999998</v>
      </c>
      <c r="Q27" s="40">
        <v>1668.5440000000001</v>
      </c>
      <c r="R27" s="40">
        <v>148.9852914058101</v>
      </c>
      <c r="S27" s="40">
        <v>0</v>
      </c>
      <c r="T27" s="40">
        <v>101.25231132113817</v>
      </c>
      <c r="U27" s="40">
        <v>2.2000000000000002</v>
      </c>
      <c r="V27" s="40">
        <v>282.62259999999998</v>
      </c>
      <c r="W27" s="76">
        <f t="shared" si="0"/>
        <v>93851.36879436695</v>
      </c>
      <c r="X27" s="36"/>
      <c r="Y27" s="42">
        <v>0</v>
      </c>
      <c r="Z27" s="38"/>
      <c r="AA27" s="43">
        <v>0</v>
      </c>
      <c r="AB27" s="36"/>
      <c r="AC27" s="76">
        <f t="shared" si="3"/>
        <v>93851.36879436695</v>
      </c>
      <c r="AD27" s="29"/>
      <c r="AE27" s="25"/>
      <c r="AF27" s="113"/>
      <c r="AG27" s="129"/>
      <c r="AH27" s="130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62416.314899999998</v>
      </c>
      <c r="C28" s="40">
        <v>0</v>
      </c>
      <c r="D28" s="76">
        <f t="shared" si="1"/>
        <v>62416.314899999998</v>
      </c>
      <c r="E28" s="40">
        <v>0.70829999999999993</v>
      </c>
      <c r="F28" s="76">
        <f t="shared" si="2"/>
        <v>62417.023199999996</v>
      </c>
      <c r="G28" s="40">
        <v>0</v>
      </c>
      <c r="H28" s="40">
        <v>0</v>
      </c>
      <c r="I28" s="40">
        <v>0</v>
      </c>
      <c r="J28" s="40">
        <v>558.72130000000004</v>
      </c>
      <c r="K28" s="40">
        <v>50.494599999999998</v>
      </c>
      <c r="L28" s="40">
        <v>0</v>
      </c>
      <c r="M28" s="40">
        <v>382.73509999999999</v>
      </c>
      <c r="N28" s="40">
        <v>148.10599999999999</v>
      </c>
      <c r="O28" s="40">
        <v>398.39400000000001</v>
      </c>
      <c r="P28" s="40">
        <v>237.72706611999999</v>
      </c>
      <c r="Q28" s="40">
        <v>1462.8331000000001</v>
      </c>
      <c r="R28" s="40">
        <v>310.18977392343163</v>
      </c>
      <c r="S28" s="40">
        <v>0</v>
      </c>
      <c r="T28" s="40">
        <v>142.46769732172419</v>
      </c>
      <c r="U28" s="40">
        <v>3</v>
      </c>
      <c r="V28" s="40">
        <v>195.83600000000001</v>
      </c>
      <c r="W28" s="76">
        <f t="shared" si="0"/>
        <v>66307.527837365138</v>
      </c>
      <c r="X28" s="36"/>
      <c r="Y28" s="42">
        <v>208.63968</v>
      </c>
      <c r="Z28" s="38"/>
      <c r="AA28" s="43">
        <v>0</v>
      </c>
      <c r="AB28" s="36"/>
      <c r="AC28" s="76">
        <f t="shared" si="3"/>
        <v>66516.167517365131</v>
      </c>
      <c r="AD28" s="29"/>
      <c r="AE28" s="25"/>
      <c r="AF28" s="113"/>
      <c r="AG28" s="129"/>
      <c r="AH28" s="130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359594.65820000001</v>
      </c>
      <c r="C29" s="40">
        <v>0</v>
      </c>
      <c r="D29" s="76">
        <f t="shared" si="1"/>
        <v>359594.65820000001</v>
      </c>
      <c r="E29" s="40">
        <v>11.290799999999999</v>
      </c>
      <c r="F29" s="76">
        <f t="shared" si="2"/>
        <v>359605.94900000002</v>
      </c>
      <c r="G29" s="40">
        <v>0</v>
      </c>
      <c r="H29" s="40">
        <v>0</v>
      </c>
      <c r="I29" s="40">
        <v>0</v>
      </c>
      <c r="J29" s="40">
        <v>3218.5257000000001</v>
      </c>
      <c r="K29" s="40">
        <v>694.20090000000005</v>
      </c>
      <c r="L29" s="40">
        <v>2.4199999999999997E-6</v>
      </c>
      <c r="M29" s="40">
        <v>5262.9511999999995</v>
      </c>
      <c r="N29" s="40">
        <v>853.15240000000006</v>
      </c>
      <c r="O29" s="40">
        <v>1767.5985000000001</v>
      </c>
      <c r="P29" s="40">
        <v>149.78904740000002</v>
      </c>
      <c r="Q29" s="40">
        <v>2632.8387000000002</v>
      </c>
      <c r="R29" s="40">
        <v>106.35432030472856</v>
      </c>
      <c r="S29" s="40">
        <v>0</v>
      </c>
      <c r="T29" s="40">
        <v>89.767231873086672</v>
      </c>
      <c r="U29" s="40">
        <v>0.5</v>
      </c>
      <c r="V29" s="40">
        <v>1128.0969</v>
      </c>
      <c r="W29" s="76">
        <f t="shared" si="0"/>
        <v>375509.72390199784</v>
      </c>
      <c r="X29" s="36"/>
      <c r="Y29" s="42">
        <v>3835.6484</v>
      </c>
      <c r="Z29" s="38"/>
      <c r="AA29" s="43">
        <v>0</v>
      </c>
      <c r="AB29" s="36"/>
      <c r="AC29" s="76">
        <f t="shared" si="3"/>
        <v>379345.37230199785</v>
      </c>
      <c r="AD29" s="29"/>
      <c r="AE29" s="25"/>
      <c r="AF29" s="113"/>
      <c r="AG29" s="129"/>
      <c r="AH29" s="130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163056.57999999999</v>
      </c>
      <c r="C30" s="40">
        <v>0</v>
      </c>
      <c r="D30" s="76">
        <f t="shared" si="1"/>
        <v>163056.57999999999</v>
      </c>
      <c r="E30" s="40">
        <v>2.6333000000000002</v>
      </c>
      <c r="F30" s="76">
        <f t="shared" si="2"/>
        <v>163059.21329999997</v>
      </c>
      <c r="G30" s="40">
        <v>0</v>
      </c>
      <c r="H30" s="40">
        <v>0</v>
      </c>
      <c r="I30" s="40">
        <v>0</v>
      </c>
      <c r="J30" s="40">
        <v>1459.6053999999999</v>
      </c>
      <c r="K30" s="40">
        <v>0</v>
      </c>
      <c r="L30" s="40">
        <v>0</v>
      </c>
      <c r="M30" s="40">
        <v>0</v>
      </c>
      <c r="N30" s="40">
        <v>386.90800000000002</v>
      </c>
      <c r="O30" s="40">
        <v>794.86209999999994</v>
      </c>
      <c r="P30" s="40">
        <v>199.71613778999998</v>
      </c>
      <c r="Q30" s="40">
        <v>1965.682</v>
      </c>
      <c r="R30" s="40">
        <v>177.17772931917102</v>
      </c>
      <c r="S30" s="40">
        <v>0</v>
      </c>
      <c r="T30" s="40">
        <v>119.68808908902932</v>
      </c>
      <c r="U30" s="40">
        <v>2.2000000000000002</v>
      </c>
      <c r="V30" s="40">
        <v>511.59640000000002</v>
      </c>
      <c r="W30" s="76">
        <f t="shared" si="0"/>
        <v>168676.6491561982</v>
      </c>
      <c r="X30" s="36"/>
      <c r="Y30" s="42">
        <v>4052.6128599999997</v>
      </c>
      <c r="Z30" s="38"/>
      <c r="AA30" s="43">
        <v>0</v>
      </c>
      <c r="AB30" s="36"/>
      <c r="AC30" s="76">
        <f t="shared" si="3"/>
        <v>172729.26201619819</v>
      </c>
      <c r="AD30" s="29"/>
      <c r="AE30" s="25"/>
      <c r="AF30" s="113"/>
      <c r="AG30" s="129"/>
      <c r="AH30" s="130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187762.12239999999</v>
      </c>
      <c r="C31" s="40">
        <v>0</v>
      </c>
      <c r="D31" s="76">
        <f t="shared" si="1"/>
        <v>187762.12239999999</v>
      </c>
      <c r="E31" s="40">
        <v>4.6500000000000004</v>
      </c>
      <c r="F31" s="76">
        <f t="shared" si="2"/>
        <v>187766.77239999999</v>
      </c>
      <c r="G31" s="40">
        <v>0</v>
      </c>
      <c r="H31" s="40">
        <v>0</v>
      </c>
      <c r="I31" s="40">
        <v>0</v>
      </c>
      <c r="J31" s="40">
        <v>1680.7578000000001</v>
      </c>
      <c r="K31" s="40">
        <v>0</v>
      </c>
      <c r="L31" s="40">
        <v>0</v>
      </c>
      <c r="M31" s="40">
        <v>0</v>
      </c>
      <c r="N31" s="40">
        <v>445.52949999999998</v>
      </c>
      <c r="O31" s="40">
        <v>590.80160000000001</v>
      </c>
      <c r="P31" s="40">
        <v>153.82489507</v>
      </c>
      <c r="Q31" s="40">
        <v>1919.9684999999999</v>
      </c>
      <c r="R31" s="40">
        <v>162.86716424612501</v>
      </c>
      <c r="S31" s="40">
        <v>0</v>
      </c>
      <c r="T31" s="40">
        <v>92.185879124293479</v>
      </c>
      <c r="U31" s="40">
        <v>2.2000000000000002</v>
      </c>
      <c r="V31" s="40">
        <v>589.10980000000006</v>
      </c>
      <c r="W31" s="76">
        <f t="shared" si="0"/>
        <v>193404.01753844041</v>
      </c>
      <c r="X31" s="36"/>
      <c r="Y31" s="42">
        <v>7233.5334999999995</v>
      </c>
      <c r="Z31" s="38"/>
      <c r="AA31" s="43">
        <v>0</v>
      </c>
      <c r="AB31" s="36"/>
      <c r="AC31" s="76">
        <f t="shared" si="3"/>
        <v>200637.5510384404</v>
      </c>
      <c r="AD31" s="29"/>
      <c r="AE31" s="25"/>
      <c r="AF31" s="113"/>
      <c r="AG31" s="129"/>
      <c r="AH31" s="130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48675.700799999999</v>
      </c>
      <c r="C32" s="40">
        <v>0</v>
      </c>
      <c r="D32" s="76">
        <f t="shared" si="1"/>
        <v>48675.700799999999</v>
      </c>
      <c r="E32" s="40">
        <v>1</v>
      </c>
      <c r="F32" s="76">
        <f t="shared" si="2"/>
        <v>48676.700799999999</v>
      </c>
      <c r="G32" s="40">
        <v>0</v>
      </c>
      <c r="H32" s="40">
        <v>0</v>
      </c>
      <c r="I32" s="40">
        <v>0</v>
      </c>
      <c r="J32" s="40">
        <v>435.71909999999997</v>
      </c>
      <c r="K32" s="40">
        <v>4.4790000000000001</v>
      </c>
      <c r="L32" s="40">
        <v>0</v>
      </c>
      <c r="M32" s="40">
        <v>33.949300000000001</v>
      </c>
      <c r="N32" s="40">
        <v>115.5017</v>
      </c>
      <c r="O32" s="40">
        <v>325.39029999999997</v>
      </c>
      <c r="P32" s="40">
        <v>174.82279440000002</v>
      </c>
      <c r="Q32" s="40">
        <v>1211.4087</v>
      </c>
      <c r="R32" s="40">
        <v>104.94427277853656</v>
      </c>
      <c r="S32" s="40">
        <v>0</v>
      </c>
      <c r="T32" s="40">
        <v>104.76973178729438</v>
      </c>
      <c r="U32" s="40">
        <v>3</v>
      </c>
      <c r="V32" s="40">
        <v>152.7243</v>
      </c>
      <c r="W32" s="76">
        <f t="shared" si="0"/>
        <v>51343.409998965835</v>
      </c>
      <c r="X32" s="36"/>
      <c r="Y32" s="42">
        <v>106.04267999999999</v>
      </c>
      <c r="Z32" s="38"/>
      <c r="AA32" s="37">
        <v>0</v>
      </c>
      <c r="AB32" s="36"/>
      <c r="AC32" s="76">
        <f t="shared" si="3"/>
        <v>51449.452678965834</v>
      </c>
      <c r="AD32" s="29"/>
      <c r="AE32" s="25"/>
      <c r="AF32" s="113"/>
      <c r="AG32" s="129"/>
      <c r="AH32" s="130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>SUM(B10:B32)</f>
        <v>3996921.2072000005</v>
      </c>
      <c r="C33" s="79">
        <f>SUM(C10:C32)</f>
        <v>0</v>
      </c>
      <c r="D33" s="79">
        <f>SUM(D10:D32)</f>
        <v>3996921.2072000005</v>
      </c>
      <c r="E33" s="79">
        <f t="shared" ref="E33:W33" si="4">SUM(E10:E32)</f>
        <v>107.0158</v>
      </c>
      <c r="F33" s="79">
        <f>SUM(F10:F32)</f>
        <v>3997028.2230000012</v>
      </c>
      <c r="G33" s="79">
        <f t="shared" si="4"/>
        <v>0</v>
      </c>
      <c r="H33" s="79">
        <f t="shared" si="4"/>
        <v>0</v>
      </c>
      <c r="I33" s="79">
        <f t="shared" si="4"/>
        <v>0</v>
      </c>
      <c r="J33" s="79">
        <f t="shared" si="4"/>
        <v>35778.067700000007</v>
      </c>
      <c r="K33" s="79">
        <f t="shared" si="4"/>
        <v>4176.8027000000011</v>
      </c>
      <c r="L33" s="79">
        <f t="shared" si="4"/>
        <v>3.0299999999999998E-6</v>
      </c>
      <c r="M33" s="79">
        <f t="shared" si="4"/>
        <v>31660.210400000004</v>
      </c>
      <c r="N33" s="79">
        <f t="shared" si="4"/>
        <v>9483.8647000000001</v>
      </c>
      <c r="O33" s="79">
        <f t="shared" si="4"/>
        <v>18971.949399999998</v>
      </c>
      <c r="P33" s="79">
        <f t="shared" si="4"/>
        <v>4320.1109638900007</v>
      </c>
      <c r="Q33" s="79">
        <f t="shared" si="4"/>
        <v>45186.990400000002</v>
      </c>
      <c r="R33" s="79">
        <f>SUM(R10:R32)</f>
        <v>3882.6980472800001</v>
      </c>
      <c r="S33" s="79">
        <f t="shared" si="4"/>
        <v>0</v>
      </c>
      <c r="T33" s="79">
        <f t="shared" si="4"/>
        <v>2589.0037311599999</v>
      </c>
      <c r="U33" s="79">
        <f t="shared" si="4"/>
        <v>45.800000000000004</v>
      </c>
      <c r="V33" s="79">
        <f t="shared" si="4"/>
        <v>12540.220200000002</v>
      </c>
      <c r="W33" s="79">
        <f t="shared" si="4"/>
        <v>4165663.9412453598</v>
      </c>
      <c r="X33" s="47"/>
      <c r="Y33" s="78">
        <f>SUM(Y10:Y32)</f>
        <v>160766.42957999997</v>
      </c>
      <c r="Z33" s="38"/>
      <c r="AA33" s="110">
        <f>SUM(AA10:AA32)</f>
        <v>0</v>
      </c>
      <c r="AB33" s="46"/>
      <c r="AC33" s="77">
        <f>SUM(AC10:AC32)</f>
        <v>4326430.3708253587</v>
      </c>
      <c r="AD33" s="29"/>
      <c r="AE33" s="25"/>
      <c r="AF33" s="113"/>
      <c r="AG33" s="131"/>
      <c r="AH33" s="130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97353.401700000002</v>
      </c>
      <c r="C34" s="40">
        <v>0</v>
      </c>
      <c r="D34" s="76">
        <f>B34+C34</f>
        <v>97353.401700000002</v>
      </c>
      <c r="E34" s="40">
        <v>0</v>
      </c>
      <c r="F34" s="76">
        <f>D34+E34</f>
        <v>97353.401700000002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594.27599999999995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97947.6777</v>
      </c>
      <c r="X34" s="36"/>
      <c r="Y34" s="42"/>
      <c r="Z34" s="38"/>
      <c r="AA34" s="109">
        <v>0</v>
      </c>
      <c r="AB34" s="36"/>
      <c r="AC34" s="76">
        <f>+W34+Y34+AA34</f>
        <v>97947.6777</v>
      </c>
      <c r="AD34" s="29"/>
      <c r="AE34" s="25"/>
      <c r="AF34" s="113"/>
      <c r="AG34" s="129"/>
      <c r="AH34" s="130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 t="shared" si="3"/>
        <v>0</v>
      </c>
      <c r="AD35" s="29"/>
      <c r="AF35" s="113"/>
      <c r="AG35" s="129"/>
      <c r="AH35" s="130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2798214.9170999997</v>
      </c>
      <c r="C36" s="40">
        <v>0</v>
      </c>
      <c r="D36" s="76">
        <f>B36+C36</f>
        <v>2798214.9170999997</v>
      </c>
      <c r="E36" s="40">
        <v>0</v>
      </c>
      <c r="F36" s="76">
        <f>D36+E36</f>
        <v>2798214.9170999997</v>
      </c>
      <c r="G36" s="40">
        <v>0</v>
      </c>
      <c r="H36" s="40">
        <v>0</v>
      </c>
      <c r="I36" s="40">
        <v>0</v>
      </c>
      <c r="J36" s="40">
        <v>25919.0615</v>
      </c>
      <c r="K36" s="40">
        <v>0</v>
      </c>
      <c r="L36" s="40">
        <v>0</v>
      </c>
      <c r="M36" s="40">
        <v>0</v>
      </c>
      <c r="N36" s="40">
        <v>0</v>
      </c>
      <c r="O36" s="40">
        <v>31547.495699999999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2855681.4742999994</v>
      </c>
      <c r="X36" s="36"/>
      <c r="Y36" s="42">
        <f>-SUM(Y33)</f>
        <v>-160766.42957999997</v>
      </c>
      <c r="Z36" s="38"/>
      <c r="AA36" s="43">
        <f>-(AA33+AA34)</f>
        <v>0</v>
      </c>
      <c r="AB36" s="36"/>
      <c r="AC36" s="76">
        <f>+W36+Y36+AA36</f>
        <v>2694915.0447199997</v>
      </c>
      <c r="AD36" s="29"/>
      <c r="AE36" s="25"/>
      <c r="AF36" s="113"/>
      <c r="AG36" s="129"/>
      <c r="AH36" s="130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471804.59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29199.9925</v>
      </c>
      <c r="W37" s="76">
        <f>SUM(F37:V37)</f>
        <v>501004.58250000002</v>
      </c>
      <c r="X37" s="36"/>
      <c r="Y37" s="42"/>
      <c r="Z37" s="38"/>
      <c r="AA37" s="43"/>
      <c r="AB37" s="36"/>
      <c r="AC37" s="76">
        <f t="shared" si="3"/>
        <v>501004.58250000002</v>
      </c>
      <c r="AD37" s="29"/>
      <c r="AE37" s="25"/>
      <c r="AF37" s="113"/>
      <c r="AG37" s="129"/>
      <c r="AH37" s="130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69538.14409999999</v>
      </c>
      <c r="C38" s="39">
        <v>0</v>
      </c>
      <c r="D38" s="76">
        <f>B38+C38</f>
        <v>69538.14409999999</v>
      </c>
      <c r="E38" s="39">
        <v>0</v>
      </c>
      <c r="F38" s="76">
        <f>D38+E38</f>
        <v>69538.14409999999</v>
      </c>
      <c r="G38" s="39">
        <v>0</v>
      </c>
      <c r="H38" s="39">
        <v>0</v>
      </c>
      <c r="I38" s="39">
        <v>0</v>
      </c>
      <c r="J38" s="39">
        <v>622.45580000000007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70160.599899999987</v>
      </c>
      <c r="X38" s="36"/>
      <c r="Y38" s="35"/>
      <c r="Z38" s="38"/>
      <c r="AA38" s="37"/>
      <c r="AB38" s="36"/>
      <c r="AC38" s="75">
        <f t="shared" si="3"/>
        <v>70160.599899999987</v>
      </c>
      <c r="AD38" s="29"/>
      <c r="AE38" s="25"/>
      <c r="AF38" s="113"/>
      <c r="AG38" s="129"/>
      <c r="AH38" s="130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27" customFormat="1" ht="20.100000000000001" customHeight="1" x14ac:dyDescent="0.2">
      <c r="A39" s="74" t="s">
        <v>15</v>
      </c>
      <c r="B39" s="73">
        <f>+SUM(B33:B38)</f>
        <v>6962073.4700999996</v>
      </c>
      <c r="C39" s="73">
        <f>+SUM(C33:C38)</f>
        <v>0</v>
      </c>
      <c r="D39" s="73">
        <f>+SUM(D33:D38)</f>
        <v>6962073.4700999996</v>
      </c>
      <c r="E39" s="73">
        <f t="shared" ref="E39:V39" si="5">+SUM(E33:E38)</f>
        <v>107.0158</v>
      </c>
      <c r="F39" s="73">
        <f>SUM(F33:F38)</f>
        <v>6962180.4859000007</v>
      </c>
      <c r="G39" s="73">
        <f t="shared" si="5"/>
        <v>0</v>
      </c>
      <c r="H39" s="73">
        <f t="shared" si="5"/>
        <v>0</v>
      </c>
      <c r="I39" s="73">
        <f t="shared" si="5"/>
        <v>0</v>
      </c>
      <c r="J39" s="73">
        <f t="shared" si="5"/>
        <v>62319.585000000014</v>
      </c>
      <c r="K39" s="73">
        <f t="shared" si="5"/>
        <v>4176.8027000000011</v>
      </c>
      <c r="L39" s="73">
        <f t="shared" si="5"/>
        <v>3.0299999999999998E-6</v>
      </c>
      <c r="M39" s="73">
        <f t="shared" si="5"/>
        <v>503464.80040000001</v>
      </c>
      <c r="N39" s="73">
        <f t="shared" si="5"/>
        <v>9483.8647000000001</v>
      </c>
      <c r="O39" s="73">
        <f t="shared" si="5"/>
        <v>50519.445099999997</v>
      </c>
      <c r="P39" s="73">
        <f t="shared" si="5"/>
        <v>4320.1109638900007</v>
      </c>
      <c r="Q39" s="73">
        <f t="shared" si="5"/>
        <v>45781.2664</v>
      </c>
      <c r="R39" s="73">
        <f t="shared" si="5"/>
        <v>3882.6980472800001</v>
      </c>
      <c r="S39" s="73">
        <f t="shared" si="5"/>
        <v>0</v>
      </c>
      <c r="T39" s="73">
        <f t="shared" si="5"/>
        <v>2589.0037311599999</v>
      </c>
      <c r="U39" s="73">
        <f t="shared" si="5"/>
        <v>45.800000000000004</v>
      </c>
      <c r="V39" s="73">
        <f t="shared" si="5"/>
        <v>41740.212700000004</v>
      </c>
      <c r="W39" s="73">
        <f>+SUM(W33:W38)</f>
        <v>7690458.2756453585</v>
      </c>
      <c r="X39" s="33"/>
      <c r="Y39" s="32">
        <f>+SUM(Y33:Y38)</f>
        <v>0</v>
      </c>
      <c r="Z39" s="31"/>
      <c r="AA39" s="111"/>
      <c r="AB39" s="30"/>
      <c r="AC39" s="72">
        <f>+SUM(AC33:AC38)</f>
        <v>7690458.2756453585</v>
      </c>
      <c r="AD39" s="29"/>
      <c r="AE39" s="25"/>
      <c r="AF39" s="113"/>
      <c r="AG39" s="132"/>
      <c r="AH39" s="133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1:52" ht="15" customHeight="1" x14ac:dyDescent="0.2">
      <c r="R40" s="29"/>
      <c r="T40" s="29"/>
      <c r="X40" s="26"/>
      <c r="Y40" s="26"/>
      <c r="Z40" s="26"/>
      <c r="AA40" s="26"/>
      <c r="AB40" s="26"/>
      <c r="AC40" s="26"/>
      <c r="AF40" s="114"/>
      <c r="AG40" s="129"/>
      <c r="AH40" s="129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26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8"/>
      <c r="Y42" s="128"/>
      <c r="Z42" s="128"/>
      <c r="AA42" s="128"/>
      <c r="AB42" s="128"/>
      <c r="AC42" s="128"/>
      <c r="AD42" s="126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11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6" customFormat="1" ht="15" customHeight="1" x14ac:dyDescent="0.2">
      <c r="A44" s="23" t="s">
        <v>14</v>
      </c>
      <c r="B44" s="22"/>
      <c r="C44" s="22"/>
      <c r="D44" s="21"/>
      <c r="E44" s="17">
        <v>2554819.2510000002</v>
      </c>
      <c r="F44" s="116"/>
      <c r="J44" s="4" t="s">
        <v>13</v>
      </c>
      <c r="K44" s="7" t="s">
        <v>12</v>
      </c>
      <c r="W44" s="20"/>
      <c r="AD44" s="7"/>
      <c r="AE44" s="7"/>
      <c r="AF44" s="7"/>
    </row>
    <row r="45" spans="1:52" s="6" customFormat="1" ht="15" customHeight="1" x14ac:dyDescent="0.2">
      <c r="A45" s="124" t="s">
        <v>11</v>
      </c>
      <c r="B45" s="125"/>
      <c r="C45" s="125"/>
      <c r="D45" s="18"/>
      <c r="E45" s="17">
        <v>4072606.0170999998</v>
      </c>
      <c r="F45" s="116"/>
      <c r="K45" s="7" t="s">
        <v>10</v>
      </c>
      <c r="W45" s="4"/>
      <c r="Y45" s="4"/>
      <c r="AA45" s="4"/>
      <c r="AC45" s="4"/>
      <c r="AD45" s="7"/>
      <c r="AE45" s="7"/>
      <c r="AF45" s="7"/>
    </row>
    <row r="46" spans="1:52" s="6" customFormat="1" ht="15" hidden="1" customHeight="1" x14ac:dyDescent="0.2">
      <c r="A46" s="233"/>
      <c r="B46" s="234"/>
      <c r="C46" s="234"/>
      <c r="D46" s="18"/>
      <c r="E46" s="17"/>
      <c r="F46" s="116"/>
      <c r="K46" s="6" t="s">
        <v>9</v>
      </c>
      <c r="AD46" s="7"/>
      <c r="AE46" s="7"/>
      <c r="AF46" s="7"/>
    </row>
    <row r="47" spans="1:52" s="6" customFormat="1" ht="15" customHeight="1" x14ac:dyDescent="0.2">
      <c r="A47" s="19" t="s">
        <v>8</v>
      </c>
      <c r="B47" s="125"/>
      <c r="C47" s="125"/>
      <c r="D47" s="18"/>
      <c r="E47" s="17">
        <v>296788.03200000001</v>
      </c>
      <c r="F47" s="116"/>
      <c r="K47" s="7" t="s">
        <v>7</v>
      </c>
      <c r="AD47" s="7"/>
      <c r="AE47" s="7"/>
      <c r="AF47" s="7"/>
    </row>
    <row r="48" spans="1:52" s="6" customFormat="1" ht="15" customHeight="1" x14ac:dyDescent="0.2">
      <c r="A48" s="19" t="s">
        <v>6</v>
      </c>
      <c r="B48" s="125"/>
      <c r="C48" s="125"/>
      <c r="D48" s="18"/>
      <c r="E48" s="17">
        <v>100.18300000000001</v>
      </c>
      <c r="F48" s="116"/>
      <c r="K48" s="7" t="s">
        <v>119</v>
      </c>
      <c r="AD48" s="7"/>
      <c r="AE48" s="7"/>
      <c r="AF48" s="7"/>
    </row>
    <row r="49" spans="1:52" s="6" customFormat="1" ht="15" customHeight="1" x14ac:dyDescent="0.2">
      <c r="A49" s="124" t="s">
        <v>5</v>
      </c>
      <c r="B49" s="125"/>
      <c r="C49" s="125"/>
      <c r="D49" s="18"/>
      <c r="E49" s="17">
        <v>5962.2912000000006</v>
      </c>
      <c r="F49" s="116"/>
      <c r="AD49" s="7"/>
      <c r="AE49" s="7"/>
      <c r="AF49" s="7"/>
    </row>
    <row r="50" spans="1:52" s="6" customFormat="1" ht="15" customHeight="1" x14ac:dyDescent="0.2">
      <c r="A50" s="124" t="s">
        <v>4</v>
      </c>
      <c r="B50" s="125"/>
      <c r="C50" s="125"/>
      <c r="D50" s="18"/>
      <c r="E50" s="17">
        <v>23584.432000000001</v>
      </c>
      <c r="F50" s="116"/>
    </row>
    <row r="51" spans="1:52" s="6" customFormat="1" ht="15" customHeight="1" x14ac:dyDescent="0.2">
      <c r="A51" s="19" t="s">
        <v>3</v>
      </c>
      <c r="B51" s="125"/>
      <c r="C51" s="125"/>
      <c r="D51" s="18"/>
      <c r="E51" s="17">
        <v>8320.2795999994287</v>
      </c>
      <c r="F51" s="116"/>
    </row>
    <row r="52" spans="1:52" s="70" customFormat="1" ht="20.100000000000001" customHeight="1" x14ac:dyDescent="0.2">
      <c r="A52" s="237" t="s">
        <v>100</v>
      </c>
      <c r="B52" s="238"/>
      <c r="C52" s="238"/>
      <c r="D52" s="112"/>
      <c r="E52" s="71">
        <f>SUM(E44:E51)</f>
        <v>6962180.4858999988</v>
      </c>
      <c r="F52" s="118"/>
    </row>
    <row r="53" spans="1:52" s="6" customFormat="1" ht="15" customHeight="1" x14ac:dyDescent="0.2">
      <c r="A53" s="233"/>
      <c r="B53" s="234"/>
      <c r="C53" s="234"/>
      <c r="D53" s="18"/>
      <c r="E53" s="17">
        <v>0</v>
      </c>
      <c r="F53" s="116"/>
    </row>
    <row r="54" spans="1:52" s="6" customFormat="1" ht="15" customHeight="1" x14ac:dyDescent="0.2">
      <c r="A54" s="233" t="s">
        <v>2</v>
      </c>
      <c r="B54" s="234"/>
      <c r="C54" s="234"/>
      <c r="D54" s="18"/>
      <c r="E54" s="17">
        <v>45.8</v>
      </c>
      <c r="F54" s="116"/>
    </row>
    <row r="55" spans="1:52" s="6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6962134.685899999</v>
      </c>
      <c r="F55" s="116"/>
    </row>
    <row r="56" spans="1:52" x14ac:dyDescent="0.2">
      <c r="A56" s="6"/>
      <c r="B56" s="6"/>
      <c r="C56" s="6"/>
      <c r="D56" s="6"/>
      <c r="E56" s="2"/>
      <c r="F56" s="16"/>
      <c r="G56" s="14"/>
      <c r="H56" s="14"/>
      <c r="I56" s="14"/>
      <c r="J56" s="15"/>
      <c r="K56" s="6"/>
      <c r="L56" s="14"/>
      <c r="M56" s="14"/>
      <c r="N56" s="14"/>
      <c r="O56" s="7"/>
      <c r="P56" s="7"/>
      <c r="Q56" s="7"/>
      <c r="R56" s="7"/>
      <c r="S56" s="7"/>
      <c r="T56" s="7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6"/>
      <c r="C57" s="6"/>
      <c r="D57" s="6"/>
      <c r="E57" s="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67" t="s">
        <v>105</v>
      </c>
      <c r="B58" s="6"/>
      <c r="C58" s="6"/>
      <c r="D58" s="6"/>
      <c r="E58" s="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D59" s="7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66" t="s">
        <v>96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V60" s="2"/>
      <c r="W60" s="4"/>
      <c r="X60" s="6"/>
      <c r="Y60" s="5"/>
      <c r="Z60" s="2"/>
      <c r="AA60" s="4"/>
      <c r="AB60" s="2"/>
      <c r="AC60" s="4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4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A52:C52"/>
    <mergeCell ref="A53:C53"/>
    <mergeCell ref="A54:C54"/>
    <mergeCell ref="A55:C55"/>
    <mergeCell ref="G6:I7"/>
    <mergeCell ref="R6:T6"/>
    <mergeCell ref="R7:T7"/>
    <mergeCell ref="P8:P9"/>
    <mergeCell ref="T8:T9"/>
    <mergeCell ref="A46:C46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:E33 F33:F39 E39 W33" formula="1"/>
    <ignoredError sqref="W9:Y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Z77"/>
  <sheetViews>
    <sheetView showGridLines="0" showZeros="0" topLeftCell="J13" zoomScaleNormal="100" workbookViewId="0">
      <selection activeCell="K49" sqref="K49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256" width="27.5546875" style="1"/>
    <col min="257" max="257" width="19.44140625" style="1" customWidth="1"/>
    <col min="258" max="259" width="12.77734375" style="1" customWidth="1"/>
    <col min="260" max="260" width="13" style="1" customWidth="1"/>
    <col min="261" max="262" width="12.77734375" style="1" customWidth="1"/>
    <col min="263" max="265" width="0" style="1" hidden="1" customWidth="1"/>
    <col min="266" max="274" width="12.77734375" style="1" customWidth="1"/>
    <col min="275" max="275" width="0" style="1" hidden="1" customWidth="1"/>
    <col min="276" max="279" width="12.77734375" style="1" customWidth="1"/>
    <col min="280" max="280" width="1.77734375" style="1" customWidth="1"/>
    <col min="281" max="281" width="12.77734375" style="1" customWidth="1"/>
    <col min="282" max="282" width="1.77734375" style="1" customWidth="1"/>
    <col min="283" max="284" width="0" style="1" hidden="1" customWidth="1"/>
    <col min="285" max="285" width="12.77734375" style="1" customWidth="1"/>
    <col min="286" max="286" width="17.88671875" style="1" customWidth="1"/>
    <col min="287" max="287" width="11.77734375" style="1" customWidth="1"/>
    <col min="288" max="288" width="12" style="1" customWidth="1"/>
    <col min="289" max="512" width="27.5546875" style="1"/>
    <col min="513" max="513" width="19.44140625" style="1" customWidth="1"/>
    <col min="514" max="515" width="12.77734375" style="1" customWidth="1"/>
    <col min="516" max="516" width="13" style="1" customWidth="1"/>
    <col min="517" max="518" width="12.77734375" style="1" customWidth="1"/>
    <col min="519" max="521" width="0" style="1" hidden="1" customWidth="1"/>
    <col min="522" max="530" width="12.77734375" style="1" customWidth="1"/>
    <col min="531" max="531" width="0" style="1" hidden="1" customWidth="1"/>
    <col min="532" max="535" width="12.77734375" style="1" customWidth="1"/>
    <col min="536" max="536" width="1.77734375" style="1" customWidth="1"/>
    <col min="537" max="537" width="12.77734375" style="1" customWidth="1"/>
    <col min="538" max="538" width="1.77734375" style="1" customWidth="1"/>
    <col min="539" max="540" width="0" style="1" hidden="1" customWidth="1"/>
    <col min="541" max="541" width="12.77734375" style="1" customWidth="1"/>
    <col min="542" max="542" width="17.88671875" style="1" customWidth="1"/>
    <col min="543" max="543" width="11.77734375" style="1" customWidth="1"/>
    <col min="544" max="544" width="12" style="1" customWidth="1"/>
    <col min="545" max="768" width="27.5546875" style="1"/>
    <col min="769" max="769" width="19.44140625" style="1" customWidth="1"/>
    <col min="770" max="771" width="12.77734375" style="1" customWidth="1"/>
    <col min="772" max="772" width="13" style="1" customWidth="1"/>
    <col min="773" max="774" width="12.77734375" style="1" customWidth="1"/>
    <col min="775" max="777" width="0" style="1" hidden="1" customWidth="1"/>
    <col min="778" max="786" width="12.77734375" style="1" customWidth="1"/>
    <col min="787" max="787" width="0" style="1" hidden="1" customWidth="1"/>
    <col min="788" max="791" width="12.77734375" style="1" customWidth="1"/>
    <col min="792" max="792" width="1.77734375" style="1" customWidth="1"/>
    <col min="793" max="793" width="12.77734375" style="1" customWidth="1"/>
    <col min="794" max="794" width="1.77734375" style="1" customWidth="1"/>
    <col min="795" max="796" width="0" style="1" hidden="1" customWidth="1"/>
    <col min="797" max="797" width="12.77734375" style="1" customWidth="1"/>
    <col min="798" max="798" width="17.88671875" style="1" customWidth="1"/>
    <col min="799" max="799" width="11.77734375" style="1" customWidth="1"/>
    <col min="800" max="800" width="12" style="1" customWidth="1"/>
    <col min="801" max="1024" width="27.5546875" style="1"/>
    <col min="1025" max="1025" width="19.44140625" style="1" customWidth="1"/>
    <col min="1026" max="1027" width="12.77734375" style="1" customWidth="1"/>
    <col min="1028" max="1028" width="13" style="1" customWidth="1"/>
    <col min="1029" max="1030" width="12.77734375" style="1" customWidth="1"/>
    <col min="1031" max="1033" width="0" style="1" hidden="1" customWidth="1"/>
    <col min="1034" max="1042" width="12.77734375" style="1" customWidth="1"/>
    <col min="1043" max="1043" width="0" style="1" hidden="1" customWidth="1"/>
    <col min="1044" max="1047" width="12.77734375" style="1" customWidth="1"/>
    <col min="1048" max="1048" width="1.77734375" style="1" customWidth="1"/>
    <col min="1049" max="1049" width="12.77734375" style="1" customWidth="1"/>
    <col min="1050" max="1050" width="1.77734375" style="1" customWidth="1"/>
    <col min="1051" max="1052" width="0" style="1" hidden="1" customWidth="1"/>
    <col min="1053" max="1053" width="12.77734375" style="1" customWidth="1"/>
    <col min="1054" max="1054" width="17.88671875" style="1" customWidth="1"/>
    <col min="1055" max="1055" width="11.77734375" style="1" customWidth="1"/>
    <col min="1056" max="1056" width="12" style="1" customWidth="1"/>
    <col min="1057" max="1280" width="27.5546875" style="1"/>
    <col min="1281" max="1281" width="19.44140625" style="1" customWidth="1"/>
    <col min="1282" max="1283" width="12.77734375" style="1" customWidth="1"/>
    <col min="1284" max="1284" width="13" style="1" customWidth="1"/>
    <col min="1285" max="1286" width="12.77734375" style="1" customWidth="1"/>
    <col min="1287" max="1289" width="0" style="1" hidden="1" customWidth="1"/>
    <col min="1290" max="1298" width="12.77734375" style="1" customWidth="1"/>
    <col min="1299" max="1299" width="0" style="1" hidden="1" customWidth="1"/>
    <col min="1300" max="1303" width="12.77734375" style="1" customWidth="1"/>
    <col min="1304" max="1304" width="1.77734375" style="1" customWidth="1"/>
    <col min="1305" max="1305" width="12.77734375" style="1" customWidth="1"/>
    <col min="1306" max="1306" width="1.77734375" style="1" customWidth="1"/>
    <col min="1307" max="1308" width="0" style="1" hidden="1" customWidth="1"/>
    <col min="1309" max="1309" width="12.77734375" style="1" customWidth="1"/>
    <col min="1310" max="1310" width="17.88671875" style="1" customWidth="1"/>
    <col min="1311" max="1311" width="11.77734375" style="1" customWidth="1"/>
    <col min="1312" max="1312" width="12" style="1" customWidth="1"/>
    <col min="1313" max="1536" width="27.5546875" style="1"/>
    <col min="1537" max="1537" width="19.44140625" style="1" customWidth="1"/>
    <col min="1538" max="1539" width="12.77734375" style="1" customWidth="1"/>
    <col min="1540" max="1540" width="13" style="1" customWidth="1"/>
    <col min="1541" max="1542" width="12.77734375" style="1" customWidth="1"/>
    <col min="1543" max="1545" width="0" style="1" hidden="1" customWidth="1"/>
    <col min="1546" max="1554" width="12.77734375" style="1" customWidth="1"/>
    <col min="1555" max="1555" width="0" style="1" hidden="1" customWidth="1"/>
    <col min="1556" max="1559" width="12.77734375" style="1" customWidth="1"/>
    <col min="1560" max="1560" width="1.77734375" style="1" customWidth="1"/>
    <col min="1561" max="1561" width="12.77734375" style="1" customWidth="1"/>
    <col min="1562" max="1562" width="1.77734375" style="1" customWidth="1"/>
    <col min="1563" max="1564" width="0" style="1" hidden="1" customWidth="1"/>
    <col min="1565" max="1565" width="12.77734375" style="1" customWidth="1"/>
    <col min="1566" max="1566" width="17.88671875" style="1" customWidth="1"/>
    <col min="1567" max="1567" width="11.77734375" style="1" customWidth="1"/>
    <col min="1568" max="1568" width="12" style="1" customWidth="1"/>
    <col min="1569" max="1792" width="27.5546875" style="1"/>
    <col min="1793" max="1793" width="19.44140625" style="1" customWidth="1"/>
    <col min="1794" max="1795" width="12.77734375" style="1" customWidth="1"/>
    <col min="1796" max="1796" width="13" style="1" customWidth="1"/>
    <col min="1797" max="1798" width="12.77734375" style="1" customWidth="1"/>
    <col min="1799" max="1801" width="0" style="1" hidden="1" customWidth="1"/>
    <col min="1802" max="1810" width="12.77734375" style="1" customWidth="1"/>
    <col min="1811" max="1811" width="0" style="1" hidden="1" customWidth="1"/>
    <col min="1812" max="1815" width="12.77734375" style="1" customWidth="1"/>
    <col min="1816" max="1816" width="1.77734375" style="1" customWidth="1"/>
    <col min="1817" max="1817" width="12.77734375" style="1" customWidth="1"/>
    <col min="1818" max="1818" width="1.77734375" style="1" customWidth="1"/>
    <col min="1819" max="1820" width="0" style="1" hidden="1" customWidth="1"/>
    <col min="1821" max="1821" width="12.77734375" style="1" customWidth="1"/>
    <col min="1822" max="1822" width="17.88671875" style="1" customWidth="1"/>
    <col min="1823" max="1823" width="11.77734375" style="1" customWidth="1"/>
    <col min="1824" max="1824" width="12" style="1" customWidth="1"/>
    <col min="1825" max="2048" width="27.5546875" style="1"/>
    <col min="2049" max="2049" width="19.44140625" style="1" customWidth="1"/>
    <col min="2050" max="2051" width="12.77734375" style="1" customWidth="1"/>
    <col min="2052" max="2052" width="13" style="1" customWidth="1"/>
    <col min="2053" max="2054" width="12.77734375" style="1" customWidth="1"/>
    <col min="2055" max="2057" width="0" style="1" hidden="1" customWidth="1"/>
    <col min="2058" max="2066" width="12.77734375" style="1" customWidth="1"/>
    <col min="2067" max="2067" width="0" style="1" hidden="1" customWidth="1"/>
    <col min="2068" max="2071" width="12.77734375" style="1" customWidth="1"/>
    <col min="2072" max="2072" width="1.77734375" style="1" customWidth="1"/>
    <col min="2073" max="2073" width="12.77734375" style="1" customWidth="1"/>
    <col min="2074" max="2074" width="1.77734375" style="1" customWidth="1"/>
    <col min="2075" max="2076" width="0" style="1" hidden="1" customWidth="1"/>
    <col min="2077" max="2077" width="12.77734375" style="1" customWidth="1"/>
    <col min="2078" max="2078" width="17.88671875" style="1" customWidth="1"/>
    <col min="2079" max="2079" width="11.77734375" style="1" customWidth="1"/>
    <col min="2080" max="2080" width="12" style="1" customWidth="1"/>
    <col min="2081" max="2304" width="27.5546875" style="1"/>
    <col min="2305" max="2305" width="19.44140625" style="1" customWidth="1"/>
    <col min="2306" max="2307" width="12.77734375" style="1" customWidth="1"/>
    <col min="2308" max="2308" width="13" style="1" customWidth="1"/>
    <col min="2309" max="2310" width="12.77734375" style="1" customWidth="1"/>
    <col min="2311" max="2313" width="0" style="1" hidden="1" customWidth="1"/>
    <col min="2314" max="2322" width="12.77734375" style="1" customWidth="1"/>
    <col min="2323" max="2323" width="0" style="1" hidden="1" customWidth="1"/>
    <col min="2324" max="2327" width="12.77734375" style="1" customWidth="1"/>
    <col min="2328" max="2328" width="1.77734375" style="1" customWidth="1"/>
    <col min="2329" max="2329" width="12.77734375" style="1" customWidth="1"/>
    <col min="2330" max="2330" width="1.77734375" style="1" customWidth="1"/>
    <col min="2331" max="2332" width="0" style="1" hidden="1" customWidth="1"/>
    <col min="2333" max="2333" width="12.77734375" style="1" customWidth="1"/>
    <col min="2334" max="2334" width="17.88671875" style="1" customWidth="1"/>
    <col min="2335" max="2335" width="11.77734375" style="1" customWidth="1"/>
    <col min="2336" max="2336" width="12" style="1" customWidth="1"/>
    <col min="2337" max="2560" width="27.5546875" style="1"/>
    <col min="2561" max="2561" width="19.44140625" style="1" customWidth="1"/>
    <col min="2562" max="2563" width="12.77734375" style="1" customWidth="1"/>
    <col min="2564" max="2564" width="13" style="1" customWidth="1"/>
    <col min="2565" max="2566" width="12.77734375" style="1" customWidth="1"/>
    <col min="2567" max="2569" width="0" style="1" hidden="1" customWidth="1"/>
    <col min="2570" max="2578" width="12.77734375" style="1" customWidth="1"/>
    <col min="2579" max="2579" width="0" style="1" hidden="1" customWidth="1"/>
    <col min="2580" max="2583" width="12.77734375" style="1" customWidth="1"/>
    <col min="2584" max="2584" width="1.77734375" style="1" customWidth="1"/>
    <col min="2585" max="2585" width="12.77734375" style="1" customWidth="1"/>
    <col min="2586" max="2586" width="1.77734375" style="1" customWidth="1"/>
    <col min="2587" max="2588" width="0" style="1" hidden="1" customWidth="1"/>
    <col min="2589" max="2589" width="12.77734375" style="1" customWidth="1"/>
    <col min="2590" max="2590" width="17.88671875" style="1" customWidth="1"/>
    <col min="2591" max="2591" width="11.77734375" style="1" customWidth="1"/>
    <col min="2592" max="2592" width="12" style="1" customWidth="1"/>
    <col min="2593" max="2816" width="27.5546875" style="1"/>
    <col min="2817" max="2817" width="19.44140625" style="1" customWidth="1"/>
    <col min="2818" max="2819" width="12.77734375" style="1" customWidth="1"/>
    <col min="2820" max="2820" width="13" style="1" customWidth="1"/>
    <col min="2821" max="2822" width="12.77734375" style="1" customWidth="1"/>
    <col min="2823" max="2825" width="0" style="1" hidden="1" customWidth="1"/>
    <col min="2826" max="2834" width="12.77734375" style="1" customWidth="1"/>
    <col min="2835" max="2835" width="0" style="1" hidden="1" customWidth="1"/>
    <col min="2836" max="2839" width="12.77734375" style="1" customWidth="1"/>
    <col min="2840" max="2840" width="1.77734375" style="1" customWidth="1"/>
    <col min="2841" max="2841" width="12.77734375" style="1" customWidth="1"/>
    <col min="2842" max="2842" width="1.77734375" style="1" customWidth="1"/>
    <col min="2843" max="2844" width="0" style="1" hidden="1" customWidth="1"/>
    <col min="2845" max="2845" width="12.77734375" style="1" customWidth="1"/>
    <col min="2846" max="2846" width="17.88671875" style="1" customWidth="1"/>
    <col min="2847" max="2847" width="11.77734375" style="1" customWidth="1"/>
    <col min="2848" max="2848" width="12" style="1" customWidth="1"/>
    <col min="2849" max="3072" width="27.5546875" style="1"/>
    <col min="3073" max="3073" width="19.44140625" style="1" customWidth="1"/>
    <col min="3074" max="3075" width="12.77734375" style="1" customWidth="1"/>
    <col min="3076" max="3076" width="13" style="1" customWidth="1"/>
    <col min="3077" max="3078" width="12.77734375" style="1" customWidth="1"/>
    <col min="3079" max="3081" width="0" style="1" hidden="1" customWidth="1"/>
    <col min="3082" max="3090" width="12.77734375" style="1" customWidth="1"/>
    <col min="3091" max="3091" width="0" style="1" hidden="1" customWidth="1"/>
    <col min="3092" max="3095" width="12.77734375" style="1" customWidth="1"/>
    <col min="3096" max="3096" width="1.77734375" style="1" customWidth="1"/>
    <col min="3097" max="3097" width="12.77734375" style="1" customWidth="1"/>
    <col min="3098" max="3098" width="1.77734375" style="1" customWidth="1"/>
    <col min="3099" max="3100" width="0" style="1" hidden="1" customWidth="1"/>
    <col min="3101" max="3101" width="12.77734375" style="1" customWidth="1"/>
    <col min="3102" max="3102" width="17.88671875" style="1" customWidth="1"/>
    <col min="3103" max="3103" width="11.77734375" style="1" customWidth="1"/>
    <col min="3104" max="3104" width="12" style="1" customWidth="1"/>
    <col min="3105" max="3328" width="27.5546875" style="1"/>
    <col min="3329" max="3329" width="19.44140625" style="1" customWidth="1"/>
    <col min="3330" max="3331" width="12.77734375" style="1" customWidth="1"/>
    <col min="3332" max="3332" width="13" style="1" customWidth="1"/>
    <col min="3333" max="3334" width="12.77734375" style="1" customWidth="1"/>
    <col min="3335" max="3337" width="0" style="1" hidden="1" customWidth="1"/>
    <col min="3338" max="3346" width="12.77734375" style="1" customWidth="1"/>
    <col min="3347" max="3347" width="0" style="1" hidden="1" customWidth="1"/>
    <col min="3348" max="3351" width="12.77734375" style="1" customWidth="1"/>
    <col min="3352" max="3352" width="1.77734375" style="1" customWidth="1"/>
    <col min="3353" max="3353" width="12.77734375" style="1" customWidth="1"/>
    <col min="3354" max="3354" width="1.77734375" style="1" customWidth="1"/>
    <col min="3355" max="3356" width="0" style="1" hidden="1" customWidth="1"/>
    <col min="3357" max="3357" width="12.77734375" style="1" customWidth="1"/>
    <col min="3358" max="3358" width="17.88671875" style="1" customWidth="1"/>
    <col min="3359" max="3359" width="11.77734375" style="1" customWidth="1"/>
    <col min="3360" max="3360" width="12" style="1" customWidth="1"/>
    <col min="3361" max="3584" width="27.5546875" style="1"/>
    <col min="3585" max="3585" width="19.44140625" style="1" customWidth="1"/>
    <col min="3586" max="3587" width="12.77734375" style="1" customWidth="1"/>
    <col min="3588" max="3588" width="13" style="1" customWidth="1"/>
    <col min="3589" max="3590" width="12.77734375" style="1" customWidth="1"/>
    <col min="3591" max="3593" width="0" style="1" hidden="1" customWidth="1"/>
    <col min="3594" max="3602" width="12.77734375" style="1" customWidth="1"/>
    <col min="3603" max="3603" width="0" style="1" hidden="1" customWidth="1"/>
    <col min="3604" max="3607" width="12.77734375" style="1" customWidth="1"/>
    <col min="3608" max="3608" width="1.77734375" style="1" customWidth="1"/>
    <col min="3609" max="3609" width="12.77734375" style="1" customWidth="1"/>
    <col min="3610" max="3610" width="1.77734375" style="1" customWidth="1"/>
    <col min="3611" max="3612" width="0" style="1" hidden="1" customWidth="1"/>
    <col min="3613" max="3613" width="12.77734375" style="1" customWidth="1"/>
    <col min="3614" max="3614" width="17.88671875" style="1" customWidth="1"/>
    <col min="3615" max="3615" width="11.77734375" style="1" customWidth="1"/>
    <col min="3616" max="3616" width="12" style="1" customWidth="1"/>
    <col min="3617" max="3840" width="27.5546875" style="1"/>
    <col min="3841" max="3841" width="19.44140625" style="1" customWidth="1"/>
    <col min="3842" max="3843" width="12.77734375" style="1" customWidth="1"/>
    <col min="3844" max="3844" width="13" style="1" customWidth="1"/>
    <col min="3845" max="3846" width="12.77734375" style="1" customWidth="1"/>
    <col min="3847" max="3849" width="0" style="1" hidden="1" customWidth="1"/>
    <col min="3850" max="3858" width="12.77734375" style="1" customWidth="1"/>
    <col min="3859" max="3859" width="0" style="1" hidden="1" customWidth="1"/>
    <col min="3860" max="3863" width="12.77734375" style="1" customWidth="1"/>
    <col min="3864" max="3864" width="1.77734375" style="1" customWidth="1"/>
    <col min="3865" max="3865" width="12.77734375" style="1" customWidth="1"/>
    <col min="3866" max="3866" width="1.77734375" style="1" customWidth="1"/>
    <col min="3867" max="3868" width="0" style="1" hidden="1" customWidth="1"/>
    <col min="3869" max="3869" width="12.77734375" style="1" customWidth="1"/>
    <col min="3870" max="3870" width="17.88671875" style="1" customWidth="1"/>
    <col min="3871" max="3871" width="11.77734375" style="1" customWidth="1"/>
    <col min="3872" max="3872" width="12" style="1" customWidth="1"/>
    <col min="3873" max="4096" width="27.5546875" style="1"/>
    <col min="4097" max="4097" width="19.44140625" style="1" customWidth="1"/>
    <col min="4098" max="4099" width="12.77734375" style="1" customWidth="1"/>
    <col min="4100" max="4100" width="13" style="1" customWidth="1"/>
    <col min="4101" max="4102" width="12.77734375" style="1" customWidth="1"/>
    <col min="4103" max="4105" width="0" style="1" hidden="1" customWidth="1"/>
    <col min="4106" max="4114" width="12.77734375" style="1" customWidth="1"/>
    <col min="4115" max="4115" width="0" style="1" hidden="1" customWidth="1"/>
    <col min="4116" max="4119" width="12.77734375" style="1" customWidth="1"/>
    <col min="4120" max="4120" width="1.77734375" style="1" customWidth="1"/>
    <col min="4121" max="4121" width="12.77734375" style="1" customWidth="1"/>
    <col min="4122" max="4122" width="1.77734375" style="1" customWidth="1"/>
    <col min="4123" max="4124" width="0" style="1" hidden="1" customWidth="1"/>
    <col min="4125" max="4125" width="12.77734375" style="1" customWidth="1"/>
    <col min="4126" max="4126" width="17.88671875" style="1" customWidth="1"/>
    <col min="4127" max="4127" width="11.77734375" style="1" customWidth="1"/>
    <col min="4128" max="4128" width="12" style="1" customWidth="1"/>
    <col min="4129" max="4352" width="27.5546875" style="1"/>
    <col min="4353" max="4353" width="19.44140625" style="1" customWidth="1"/>
    <col min="4354" max="4355" width="12.77734375" style="1" customWidth="1"/>
    <col min="4356" max="4356" width="13" style="1" customWidth="1"/>
    <col min="4357" max="4358" width="12.77734375" style="1" customWidth="1"/>
    <col min="4359" max="4361" width="0" style="1" hidden="1" customWidth="1"/>
    <col min="4362" max="4370" width="12.77734375" style="1" customWidth="1"/>
    <col min="4371" max="4371" width="0" style="1" hidden="1" customWidth="1"/>
    <col min="4372" max="4375" width="12.77734375" style="1" customWidth="1"/>
    <col min="4376" max="4376" width="1.77734375" style="1" customWidth="1"/>
    <col min="4377" max="4377" width="12.77734375" style="1" customWidth="1"/>
    <col min="4378" max="4378" width="1.77734375" style="1" customWidth="1"/>
    <col min="4379" max="4380" width="0" style="1" hidden="1" customWidth="1"/>
    <col min="4381" max="4381" width="12.77734375" style="1" customWidth="1"/>
    <col min="4382" max="4382" width="17.88671875" style="1" customWidth="1"/>
    <col min="4383" max="4383" width="11.77734375" style="1" customWidth="1"/>
    <col min="4384" max="4384" width="12" style="1" customWidth="1"/>
    <col min="4385" max="4608" width="27.5546875" style="1"/>
    <col min="4609" max="4609" width="19.44140625" style="1" customWidth="1"/>
    <col min="4610" max="4611" width="12.77734375" style="1" customWidth="1"/>
    <col min="4612" max="4612" width="13" style="1" customWidth="1"/>
    <col min="4613" max="4614" width="12.77734375" style="1" customWidth="1"/>
    <col min="4615" max="4617" width="0" style="1" hidden="1" customWidth="1"/>
    <col min="4618" max="4626" width="12.77734375" style="1" customWidth="1"/>
    <col min="4627" max="4627" width="0" style="1" hidden="1" customWidth="1"/>
    <col min="4628" max="4631" width="12.77734375" style="1" customWidth="1"/>
    <col min="4632" max="4632" width="1.77734375" style="1" customWidth="1"/>
    <col min="4633" max="4633" width="12.77734375" style="1" customWidth="1"/>
    <col min="4634" max="4634" width="1.77734375" style="1" customWidth="1"/>
    <col min="4635" max="4636" width="0" style="1" hidden="1" customWidth="1"/>
    <col min="4637" max="4637" width="12.77734375" style="1" customWidth="1"/>
    <col min="4638" max="4638" width="17.88671875" style="1" customWidth="1"/>
    <col min="4639" max="4639" width="11.77734375" style="1" customWidth="1"/>
    <col min="4640" max="4640" width="12" style="1" customWidth="1"/>
    <col min="4641" max="4864" width="27.5546875" style="1"/>
    <col min="4865" max="4865" width="19.44140625" style="1" customWidth="1"/>
    <col min="4866" max="4867" width="12.77734375" style="1" customWidth="1"/>
    <col min="4868" max="4868" width="13" style="1" customWidth="1"/>
    <col min="4869" max="4870" width="12.77734375" style="1" customWidth="1"/>
    <col min="4871" max="4873" width="0" style="1" hidden="1" customWidth="1"/>
    <col min="4874" max="4882" width="12.77734375" style="1" customWidth="1"/>
    <col min="4883" max="4883" width="0" style="1" hidden="1" customWidth="1"/>
    <col min="4884" max="4887" width="12.77734375" style="1" customWidth="1"/>
    <col min="4888" max="4888" width="1.77734375" style="1" customWidth="1"/>
    <col min="4889" max="4889" width="12.77734375" style="1" customWidth="1"/>
    <col min="4890" max="4890" width="1.77734375" style="1" customWidth="1"/>
    <col min="4891" max="4892" width="0" style="1" hidden="1" customWidth="1"/>
    <col min="4893" max="4893" width="12.77734375" style="1" customWidth="1"/>
    <col min="4894" max="4894" width="17.88671875" style="1" customWidth="1"/>
    <col min="4895" max="4895" width="11.77734375" style="1" customWidth="1"/>
    <col min="4896" max="4896" width="12" style="1" customWidth="1"/>
    <col min="4897" max="5120" width="27.5546875" style="1"/>
    <col min="5121" max="5121" width="19.44140625" style="1" customWidth="1"/>
    <col min="5122" max="5123" width="12.77734375" style="1" customWidth="1"/>
    <col min="5124" max="5124" width="13" style="1" customWidth="1"/>
    <col min="5125" max="5126" width="12.77734375" style="1" customWidth="1"/>
    <col min="5127" max="5129" width="0" style="1" hidden="1" customWidth="1"/>
    <col min="5130" max="5138" width="12.77734375" style="1" customWidth="1"/>
    <col min="5139" max="5139" width="0" style="1" hidden="1" customWidth="1"/>
    <col min="5140" max="5143" width="12.77734375" style="1" customWidth="1"/>
    <col min="5144" max="5144" width="1.77734375" style="1" customWidth="1"/>
    <col min="5145" max="5145" width="12.77734375" style="1" customWidth="1"/>
    <col min="5146" max="5146" width="1.77734375" style="1" customWidth="1"/>
    <col min="5147" max="5148" width="0" style="1" hidden="1" customWidth="1"/>
    <col min="5149" max="5149" width="12.77734375" style="1" customWidth="1"/>
    <col min="5150" max="5150" width="17.88671875" style="1" customWidth="1"/>
    <col min="5151" max="5151" width="11.77734375" style="1" customWidth="1"/>
    <col min="5152" max="5152" width="12" style="1" customWidth="1"/>
    <col min="5153" max="5376" width="27.5546875" style="1"/>
    <col min="5377" max="5377" width="19.44140625" style="1" customWidth="1"/>
    <col min="5378" max="5379" width="12.77734375" style="1" customWidth="1"/>
    <col min="5380" max="5380" width="13" style="1" customWidth="1"/>
    <col min="5381" max="5382" width="12.77734375" style="1" customWidth="1"/>
    <col min="5383" max="5385" width="0" style="1" hidden="1" customWidth="1"/>
    <col min="5386" max="5394" width="12.77734375" style="1" customWidth="1"/>
    <col min="5395" max="5395" width="0" style="1" hidden="1" customWidth="1"/>
    <col min="5396" max="5399" width="12.77734375" style="1" customWidth="1"/>
    <col min="5400" max="5400" width="1.77734375" style="1" customWidth="1"/>
    <col min="5401" max="5401" width="12.77734375" style="1" customWidth="1"/>
    <col min="5402" max="5402" width="1.77734375" style="1" customWidth="1"/>
    <col min="5403" max="5404" width="0" style="1" hidden="1" customWidth="1"/>
    <col min="5405" max="5405" width="12.77734375" style="1" customWidth="1"/>
    <col min="5406" max="5406" width="17.88671875" style="1" customWidth="1"/>
    <col min="5407" max="5407" width="11.77734375" style="1" customWidth="1"/>
    <col min="5408" max="5408" width="12" style="1" customWidth="1"/>
    <col min="5409" max="5632" width="27.5546875" style="1"/>
    <col min="5633" max="5633" width="19.44140625" style="1" customWidth="1"/>
    <col min="5634" max="5635" width="12.77734375" style="1" customWidth="1"/>
    <col min="5636" max="5636" width="13" style="1" customWidth="1"/>
    <col min="5637" max="5638" width="12.77734375" style="1" customWidth="1"/>
    <col min="5639" max="5641" width="0" style="1" hidden="1" customWidth="1"/>
    <col min="5642" max="5650" width="12.77734375" style="1" customWidth="1"/>
    <col min="5651" max="5651" width="0" style="1" hidden="1" customWidth="1"/>
    <col min="5652" max="5655" width="12.77734375" style="1" customWidth="1"/>
    <col min="5656" max="5656" width="1.77734375" style="1" customWidth="1"/>
    <col min="5657" max="5657" width="12.77734375" style="1" customWidth="1"/>
    <col min="5658" max="5658" width="1.77734375" style="1" customWidth="1"/>
    <col min="5659" max="5660" width="0" style="1" hidden="1" customWidth="1"/>
    <col min="5661" max="5661" width="12.77734375" style="1" customWidth="1"/>
    <col min="5662" max="5662" width="17.88671875" style="1" customWidth="1"/>
    <col min="5663" max="5663" width="11.77734375" style="1" customWidth="1"/>
    <col min="5664" max="5664" width="12" style="1" customWidth="1"/>
    <col min="5665" max="5888" width="27.5546875" style="1"/>
    <col min="5889" max="5889" width="19.44140625" style="1" customWidth="1"/>
    <col min="5890" max="5891" width="12.77734375" style="1" customWidth="1"/>
    <col min="5892" max="5892" width="13" style="1" customWidth="1"/>
    <col min="5893" max="5894" width="12.77734375" style="1" customWidth="1"/>
    <col min="5895" max="5897" width="0" style="1" hidden="1" customWidth="1"/>
    <col min="5898" max="5906" width="12.77734375" style="1" customWidth="1"/>
    <col min="5907" max="5907" width="0" style="1" hidden="1" customWidth="1"/>
    <col min="5908" max="5911" width="12.77734375" style="1" customWidth="1"/>
    <col min="5912" max="5912" width="1.77734375" style="1" customWidth="1"/>
    <col min="5913" max="5913" width="12.77734375" style="1" customWidth="1"/>
    <col min="5914" max="5914" width="1.77734375" style="1" customWidth="1"/>
    <col min="5915" max="5916" width="0" style="1" hidden="1" customWidth="1"/>
    <col min="5917" max="5917" width="12.77734375" style="1" customWidth="1"/>
    <col min="5918" max="5918" width="17.88671875" style="1" customWidth="1"/>
    <col min="5919" max="5919" width="11.77734375" style="1" customWidth="1"/>
    <col min="5920" max="5920" width="12" style="1" customWidth="1"/>
    <col min="5921" max="6144" width="27.5546875" style="1"/>
    <col min="6145" max="6145" width="19.44140625" style="1" customWidth="1"/>
    <col min="6146" max="6147" width="12.77734375" style="1" customWidth="1"/>
    <col min="6148" max="6148" width="13" style="1" customWidth="1"/>
    <col min="6149" max="6150" width="12.77734375" style="1" customWidth="1"/>
    <col min="6151" max="6153" width="0" style="1" hidden="1" customWidth="1"/>
    <col min="6154" max="6162" width="12.77734375" style="1" customWidth="1"/>
    <col min="6163" max="6163" width="0" style="1" hidden="1" customWidth="1"/>
    <col min="6164" max="6167" width="12.77734375" style="1" customWidth="1"/>
    <col min="6168" max="6168" width="1.77734375" style="1" customWidth="1"/>
    <col min="6169" max="6169" width="12.77734375" style="1" customWidth="1"/>
    <col min="6170" max="6170" width="1.77734375" style="1" customWidth="1"/>
    <col min="6171" max="6172" width="0" style="1" hidden="1" customWidth="1"/>
    <col min="6173" max="6173" width="12.77734375" style="1" customWidth="1"/>
    <col min="6174" max="6174" width="17.88671875" style="1" customWidth="1"/>
    <col min="6175" max="6175" width="11.77734375" style="1" customWidth="1"/>
    <col min="6176" max="6176" width="12" style="1" customWidth="1"/>
    <col min="6177" max="6400" width="27.5546875" style="1"/>
    <col min="6401" max="6401" width="19.44140625" style="1" customWidth="1"/>
    <col min="6402" max="6403" width="12.77734375" style="1" customWidth="1"/>
    <col min="6404" max="6404" width="13" style="1" customWidth="1"/>
    <col min="6405" max="6406" width="12.77734375" style="1" customWidth="1"/>
    <col min="6407" max="6409" width="0" style="1" hidden="1" customWidth="1"/>
    <col min="6410" max="6418" width="12.77734375" style="1" customWidth="1"/>
    <col min="6419" max="6419" width="0" style="1" hidden="1" customWidth="1"/>
    <col min="6420" max="6423" width="12.77734375" style="1" customWidth="1"/>
    <col min="6424" max="6424" width="1.77734375" style="1" customWidth="1"/>
    <col min="6425" max="6425" width="12.77734375" style="1" customWidth="1"/>
    <col min="6426" max="6426" width="1.77734375" style="1" customWidth="1"/>
    <col min="6427" max="6428" width="0" style="1" hidden="1" customWidth="1"/>
    <col min="6429" max="6429" width="12.77734375" style="1" customWidth="1"/>
    <col min="6430" max="6430" width="17.88671875" style="1" customWidth="1"/>
    <col min="6431" max="6431" width="11.77734375" style="1" customWidth="1"/>
    <col min="6432" max="6432" width="12" style="1" customWidth="1"/>
    <col min="6433" max="6656" width="27.5546875" style="1"/>
    <col min="6657" max="6657" width="19.44140625" style="1" customWidth="1"/>
    <col min="6658" max="6659" width="12.77734375" style="1" customWidth="1"/>
    <col min="6660" max="6660" width="13" style="1" customWidth="1"/>
    <col min="6661" max="6662" width="12.77734375" style="1" customWidth="1"/>
    <col min="6663" max="6665" width="0" style="1" hidden="1" customWidth="1"/>
    <col min="6666" max="6674" width="12.77734375" style="1" customWidth="1"/>
    <col min="6675" max="6675" width="0" style="1" hidden="1" customWidth="1"/>
    <col min="6676" max="6679" width="12.77734375" style="1" customWidth="1"/>
    <col min="6680" max="6680" width="1.77734375" style="1" customWidth="1"/>
    <col min="6681" max="6681" width="12.77734375" style="1" customWidth="1"/>
    <col min="6682" max="6682" width="1.77734375" style="1" customWidth="1"/>
    <col min="6683" max="6684" width="0" style="1" hidden="1" customWidth="1"/>
    <col min="6685" max="6685" width="12.77734375" style="1" customWidth="1"/>
    <col min="6686" max="6686" width="17.88671875" style="1" customWidth="1"/>
    <col min="6687" max="6687" width="11.77734375" style="1" customWidth="1"/>
    <col min="6688" max="6688" width="12" style="1" customWidth="1"/>
    <col min="6689" max="6912" width="27.5546875" style="1"/>
    <col min="6913" max="6913" width="19.44140625" style="1" customWidth="1"/>
    <col min="6914" max="6915" width="12.77734375" style="1" customWidth="1"/>
    <col min="6916" max="6916" width="13" style="1" customWidth="1"/>
    <col min="6917" max="6918" width="12.77734375" style="1" customWidth="1"/>
    <col min="6919" max="6921" width="0" style="1" hidden="1" customWidth="1"/>
    <col min="6922" max="6930" width="12.77734375" style="1" customWidth="1"/>
    <col min="6931" max="6931" width="0" style="1" hidden="1" customWidth="1"/>
    <col min="6932" max="6935" width="12.77734375" style="1" customWidth="1"/>
    <col min="6936" max="6936" width="1.77734375" style="1" customWidth="1"/>
    <col min="6937" max="6937" width="12.77734375" style="1" customWidth="1"/>
    <col min="6938" max="6938" width="1.77734375" style="1" customWidth="1"/>
    <col min="6939" max="6940" width="0" style="1" hidden="1" customWidth="1"/>
    <col min="6941" max="6941" width="12.77734375" style="1" customWidth="1"/>
    <col min="6942" max="6942" width="17.88671875" style="1" customWidth="1"/>
    <col min="6943" max="6943" width="11.77734375" style="1" customWidth="1"/>
    <col min="6944" max="6944" width="12" style="1" customWidth="1"/>
    <col min="6945" max="7168" width="27.5546875" style="1"/>
    <col min="7169" max="7169" width="19.44140625" style="1" customWidth="1"/>
    <col min="7170" max="7171" width="12.77734375" style="1" customWidth="1"/>
    <col min="7172" max="7172" width="13" style="1" customWidth="1"/>
    <col min="7173" max="7174" width="12.77734375" style="1" customWidth="1"/>
    <col min="7175" max="7177" width="0" style="1" hidden="1" customWidth="1"/>
    <col min="7178" max="7186" width="12.77734375" style="1" customWidth="1"/>
    <col min="7187" max="7187" width="0" style="1" hidden="1" customWidth="1"/>
    <col min="7188" max="7191" width="12.77734375" style="1" customWidth="1"/>
    <col min="7192" max="7192" width="1.77734375" style="1" customWidth="1"/>
    <col min="7193" max="7193" width="12.77734375" style="1" customWidth="1"/>
    <col min="7194" max="7194" width="1.77734375" style="1" customWidth="1"/>
    <col min="7195" max="7196" width="0" style="1" hidden="1" customWidth="1"/>
    <col min="7197" max="7197" width="12.77734375" style="1" customWidth="1"/>
    <col min="7198" max="7198" width="17.88671875" style="1" customWidth="1"/>
    <col min="7199" max="7199" width="11.77734375" style="1" customWidth="1"/>
    <col min="7200" max="7200" width="12" style="1" customWidth="1"/>
    <col min="7201" max="7424" width="27.5546875" style="1"/>
    <col min="7425" max="7425" width="19.44140625" style="1" customWidth="1"/>
    <col min="7426" max="7427" width="12.77734375" style="1" customWidth="1"/>
    <col min="7428" max="7428" width="13" style="1" customWidth="1"/>
    <col min="7429" max="7430" width="12.77734375" style="1" customWidth="1"/>
    <col min="7431" max="7433" width="0" style="1" hidden="1" customWidth="1"/>
    <col min="7434" max="7442" width="12.77734375" style="1" customWidth="1"/>
    <col min="7443" max="7443" width="0" style="1" hidden="1" customWidth="1"/>
    <col min="7444" max="7447" width="12.77734375" style="1" customWidth="1"/>
    <col min="7448" max="7448" width="1.77734375" style="1" customWidth="1"/>
    <col min="7449" max="7449" width="12.77734375" style="1" customWidth="1"/>
    <col min="7450" max="7450" width="1.77734375" style="1" customWidth="1"/>
    <col min="7451" max="7452" width="0" style="1" hidden="1" customWidth="1"/>
    <col min="7453" max="7453" width="12.77734375" style="1" customWidth="1"/>
    <col min="7454" max="7454" width="17.88671875" style="1" customWidth="1"/>
    <col min="7455" max="7455" width="11.77734375" style="1" customWidth="1"/>
    <col min="7456" max="7456" width="12" style="1" customWidth="1"/>
    <col min="7457" max="7680" width="27.5546875" style="1"/>
    <col min="7681" max="7681" width="19.44140625" style="1" customWidth="1"/>
    <col min="7682" max="7683" width="12.77734375" style="1" customWidth="1"/>
    <col min="7684" max="7684" width="13" style="1" customWidth="1"/>
    <col min="7685" max="7686" width="12.77734375" style="1" customWidth="1"/>
    <col min="7687" max="7689" width="0" style="1" hidden="1" customWidth="1"/>
    <col min="7690" max="7698" width="12.77734375" style="1" customWidth="1"/>
    <col min="7699" max="7699" width="0" style="1" hidden="1" customWidth="1"/>
    <col min="7700" max="7703" width="12.77734375" style="1" customWidth="1"/>
    <col min="7704" max="7704" width="1.77734375" style="1" customWidth="1"/>
    <col min="7705" max="7705" width="12.77734375" style="1" customWidth="1"/>
    <col min="7706" max="7706" width="1.77734375" style="1" customWidth="1"/>
    <col min="7707" max="7708" width="0" style="1" hidden="1" customWidth="1"/>
    <col min="7709" max="7709" width="12.77734375" style="1" customWidth="1"/>
    <col min="7710" max="7710" width="17.88671875" style="1" customWidth="1"/>
    <col min="7711" max="7711" width="11.77734375" style="1" customWidth="1"/>
    <col min="7712" max="7712" width="12" style="1" customWidth="1"/>
    <col min="7713" max="7936" width="27.5546875" style="1"/>
    <col min="7937" max="7937" width="19.44140625" style="1" customWidth="1"/>
    <col min="7938" max="7939" width="12.77734375" style="1" customWidth="1"/>
    <col min="7940" max="7940" width="13" style="1" customWidth="1"/>
    <col min="7941" max="7942" width="12.77734375" style="1" customWidth="1"/>
    <col min="7943" max="7945" width="0" style="1" hidden="1" customWidth="1"/>
    <col min="7946" max="7954" width="12.77734375" style="1" customWidth="1"/>
    <col min="7955" max="7955" width="0" style="1" hidden="1" customWidth="1"/>
    <col min="7956" max="7959" width="12.77734375" style="1" customWidth="1"/>
    <col min="7960" max="7960" width="1.77734375" style="1" customWidth="1"/>
    <col min="7961" max="7961" width="12.77734375" style="1" customWidth="1"/>
    <col min="7962" max="7962" width="1.77734375" style="1" customWidth="1"/>
    <col min="7963" max="7964" width="0" style="1" hidden="1" customWidth="1"/>
    <col min="7965" max="7965" width="12.77734375" style="1" customWidth="1"/>
    <col min="7966" max="7966" width="17.88671875" style="1" customWidth="1"/>
    <col min="7967" max="7967" width="11.77734375" style="1" customWidth="1"/>
    <col min="7968" max="7968" width="12" style="1" customWidth="1"/>
    <col min="7969" max="8192" width="27.5546875" style="1"/>
    <col min="8193" max="8193" width="19.44140625" style="1" customWidth="1"/>
    <col min="8194" max="8195" width="12.77734375" style="1" customWidth="1"/>
    <col min="8196" max="8196" width="13" style="1" customWidth="1"/>
    <col min="8197" max="8198" width="12.77734375" style="1" customWidth="1"/>
    <col min="8199" max="8201" width="0" style="1" hidden="1" customWidth="1"/>
    <col min="8202" max="8210" width="12.77734375" style="1" customWidth="1"/>
    <col min="8211" max="8211" width="0" style="1" hidden="1" customWidth="1"/>
    <col min="8212" max="8215" width="12.77734375" style="1" customWidth="1"/>
    <col min="8216" max="8216" width="1.77734375" style="1" customWidth="1"/>
    <col min="8217" max="8217" width="12.77734375" style="1" customWidth="1"/>
    <col min="8218" max="8218" width="1.77734375" style="1" customWidth="1"/>
    <col min="8219" max="8220" width="0" style="1" hidden="1" customWidth="1"/>
    <col min="8221" max="8221" width="12.77734375" style="1" customWidth="1"/>
    <col min="8222" max="8222" width="17.88671875" style="1" customWidth="1"/>
    <col min="8223" max="8223" width="11.77734375" style="1" customWidth="1"/>
    <col min="8224" max="8224" width="12" style="1" customWidth="1"/>
    <col min="8225" max="8448" width="27.5546875" style="1"/>
    <col min="8449" max="8449" width="19.44140625" style="1" customWidth="1"/>
    <col min="8450" max="8451" width="12.77734375" style="1" customWidth="1"/>
    <col min="8452" max="8452" width="13" style="1" customWidth="1"/>
    <col min="8453" max="8454" width="12.77734375" style="1" customWidth="1"/>
    <col min="8455" max="8457" width="0" style="1" hidden="1" customWidth="1"/>
    <col min="8458" max="8466" width="12.77734375" style="1" customWidth="1"/>
    <col min="8467" max="8467" width="0" style="1" hidden="1" customWidth="1"/>
    <col min="8468" max="8471" width="12.77734375" style="1" customWidth="1"/>
    <col min="8472" max="8472" width="1.77734375" style="1" customWidth="1"/>
    <col min="8473" max="8473" width="12.77734375" style="1" customWidth="1"/>
    <col min="8474" max="8474" width="1.77734375" style="1" customWidth="1"/>
    <col min="8475" max="8476" width="0" style="1" hidden="1" customWidth="1"/>
    <col min="8477" max="8477" width="12.77734375" style="1" customWidth="1"/>
    <col min="8478" max="8478" width="17.88671875" style="1" customWidth="1"/>
    <col min="8479" max="8479" width="11.77734375" style="1" customWidth="1"/>
    <col min="8480" max="8480" width="12" style="1" customWidth="1"/>
    <col min="8481" max="8704" width="27.5546875" style="1"/>
    <col min="8705" max="8705" width="19.44140625" style="1" customWidth="1"/>
    <col min="8706" max="8707" width="12.77734375" style="1" customWidth="1"/>
    <col min="8708" max="8708" width="13" style="1" customWidth="1"/>
    <col min="8709" max="8710" width="12.77734375" style="1" customWidth="1"/>
    <col min="8711" max="8713" width="0" style="1" hidden="1" customWidth="1"/>
    <col min="8714" max="8722" width="12.77734375" style="1" customWidth="1"/>
    <col min="8723" max="8723" width="0" style="1" hidden="1" customWidth="1"/>
    <col min="8724" max="8727" width="12.77734375" style="1" customWidth="1"/>
    <col min="8728" max="8728" width="1.77734375" style="1" customWidth="1"/>
    <col min="8729" max="8729" width="12.77734375" style="1" customWidth="1"/>
    <col min="8730" max="8730" width="1.77734375" style="1" customWidth="1"/>
    <col min="8731" max="8732" width="0" style="1" hidden="1" customWidth="1"/>
    <col min="8733" max="8733" width="12.77734375" style="1" customWidth="1"/>
    <col min="8734" max="8734" width="17.88671875" style="1" customWidth="1"/>
    <col min="8735" max="8735" width="11.77734375" style="1" customWidth="1"/>
    <col min="8736" max="8736" width="12" style="1" customWidth="1"/>
    <col min="8737" max="8960" width="27.5546875" style="1"/>
    <col min="8961" max="8961" width="19.44140625" style="1" customWidth="1"/>
    <col min="8962" max="8963" width="12.77734375" style="1" customWidth="1"/>
    <col min="8964" max="8964" width="13" style="1" customWidth="1"/>
    <col min="8965" max="8966" width="12.77734375" style="1" customWidth="1"/>
    <col min="8967" max="8969" width="0" style="1" hidden="1" customWidth="1"/>
    <col min="8970" max="8978" width="12.77734375" style="1" customWidth="1"/>
    <col min="8979" max="8979" width="0" style="1" hidden="1" customWidth="1"/>
    <col min="8980" max="8983" width="12.77734375" style="1" customWidth="1"/>
    <col min="8984" max="8984" width="1.77734375" style="1" customWidth="1"/>
    <col min="8985" max="8985" width="12.77734375" style="1" customWidth="1"/>
    <col min="8986" max="8986" width="1.77734375" style="1" customWidth="1"/>
    <col min="8987" max="8988" width="0" style="1" hidden="1" customWidth="1"/>
    <col min="8989" max="8989" width="12.77734375" style="1" customWidth="1"/>
    <col min="8990" max="8990" width="17.88671875" style="1" customWidth="1"/>
    <col min="8991" max="8991" width="11.77734375" style="1" customWidth="1"/>
    <col min="8992" max="8992" width="12" style="1" customWidth="1"/>
    <col min="8993" max="9216" width="27.5546875" style="1"/>
    <col min="9217" max="9217" width="19.44140625" style="1" customWidth="1"/>
    <col min="9218" max="9219" width="12.77734375" style="1" customWidth="1"/>
    <col min="9220" max="9220" width="13" style="1" customWidth="1"/>
    <col min="9221" max="9222" width="12.77734375" style="1" customWidth="1"/>
    <col min="9223" max="9225" width="0" style="1" hidden="1" customWidth="1"/>
    <col min="9226" max="9234" width="12.77734375" style="1" customWidth="1"/>
    <col min="9235" max="9235" width="0" style="1" hidden="1" customWidth="1"/>
    <col min="9236" max="9239" width="12.77734375" style="1" customWidth="1"/>
    <col min="9240" max="9240" width="1.77734375" style="1" customWidth="1"/>
    <col min="9241" max="9241" width="12.77734375" style="1" customWidth="1"/>
    <col min="9242" max="9242" width="1.77734375" style="1" customWidth="1"/>
    <col min="9243" max="9244" width="0" style="1" hidden="1" customWidth="1"/>
    <col min="9245" max="9245" width="12.77734375" style="1" customWidth="1"/>
    <col min="9246" max="9246" width="17.88671875" style="1" customWidth="1"/>
    <col min="9247" max="9247" width="11.77734375" style="1" customWidth="1"/>
    <col min="9248" max="9248" width="12" style="1" customWidth="1"/>
    <col min="9249" max="9472" width="27.5546875" style="1"/>
    <col min="9473" max="9473" width="19.44140625" style="1" customWidth="1"/>
    <col min="9474" max="9475" width="12.77734375" style="1" customWidth="1"/>
    <col min="9476" max="9476" width="13" style="1" customWidth="1"/>
    <col min="9477" max="9478" width="12.77734375" style="1" customWidth="1"/>
    <col min="9479" max="9481" width="0" style="1" hidden="1" customWidth="1"/>
    <col min="9482" max="9490" width="12.77734375" style="1" customWidth="1"/>
    <col min="9491" max="9491" width="0" style="1" hidden="1" customWidth="1"/>
    <col min="9492" max="9495" width="12.77734375" style="1" customWidth="1"/>
    <col min="9496" max="9496" width="1.77734375" style="1" customWidth="1"/>
    <col min="9497" max="9497" width="12.77734375" style="1" customWidth="1"/>
    <col min="9498" max="9498" width="1.77734375" style="1" customWidth="1"/>
    <col min="9499" max="9500" width="0" style="1" hidden="1" customWidth="1"/>
    <col min="9501" max="9501" width="12.77734375" style="1" customWidth="1"/>
    <col min="9502" max="9502" width="17.88671875" style="1" customWidth="1"/>
    <col min="9503" max="9503" width="11.77734375" style="1" customWidth="1"/>
    <col min="9504" max="9504" width="12" style="1" customWidth="1"/>
    <col min="9505" max="9728" width="27.5546875" style="1"/>
    <col min="9729" max="9729" width="19.44140625" style="1" customWidth="1"/>
    <col min="9730" max="9731" width="12.77734375" style="1" customWidth="1"/>
    <col min="9732" max="9732" width="13" style="1" customWidth="1"/>
    <col min="9733" max="9734" width="12.77734375" style="1" customWidth="1"/>
    <col min="9735" max="9737" width="0" style="1" hidden="1" customWidth="1"/>
    <col min="9738" max="9746" width="12.77734375" style="1" customWidth="1"/>
    <col min="9747" max="9747" width="0" style="1" hidden="1" customWidth="1"/>
    <col min="9748" max="9751" width="12.77734375" style="1" customWidth="1"/>
    <col min="9752" max="9752" width="1.77734375" style="1" customWidth="1"/>
    <col min="9753" max="9753" width="12.77734375" style="1" customWidth="1"/>
    <col min="9754" max="9754" width="1.77734375" style="1" customWidth="1"/>
    <col min="9755" max="9756" width="0" style="1" hidden="1" customWidth="1"/>
    <col min="9757" max="9757" width="12.77734375" style="1" customWidth="1"/>
    <col min="9758" max="9758" width="17.88671875" style="1" customWidth="1"/>
    <col min="9759" max="9759" width="11.77734375" style="1" customWidth="1"/>
    <col min="9760" max="9760" width="12" style="1" customWidth="1"/>
    <col min="9761" max="9984" width="27.5546875" style="1"/>
    <col min="9985" max="9985" width="19.44140625" style="1" customWidth="1"/>
    <col min="9986" max="9987" width="12.77734375" style="1" customWidth="1"/>
    <col min="9988" max="9988" width="13" style="1" customWidth="1"/>
    <col min="9989" max="9990" width="12.77734375" style="1" customWidth="1"/>
    <col min="9991" max="9993" width="0" style="1" hidden="1" customWidth="1"/>
    <col min="9994" max="10002" width="12.77734375" style="1" customWidth="1"/>
    <col min="10003" max="10003" width="0" style="1" hidden="1" customWidth="1"/>
    <col min="10004" max="10007" width="12.77734375" style="1" customWidth="1"/>
    <col min="10008" max="10008" width="1.77734375" style="1" customWidth="1"/>
    <col min="10009" max="10009" width="12.77734375" style="1" customWidth="1"/>
    <col min="10010" max="10010" width="1.77734375" style="1" customWidth="1"/>
    <col min="10011" max="10012" width="0" style="1" hidden="1" customWidth="1"/>
    <col min="10013" max="10013" width="12.77734375" style="1" customWidth="1"/>
    <col min="10014" max="10014" width="17.88671875" style="1" customWidth="1"/>
    <col min="10015" max="10015" width="11.77734375" style="1" customWidth="1"/>
    <col min="10016" max="10016" width="12" style="1" customWidth="1"/>
    <col min="10017" max="10240" width="27.5546875" style="1"/>
    <col min="10241" max="10241" width="19.44140625" style="1" customWidth="1"/>
    <col min="10242" max="10243" width="12.77734375" style="1" customWidth="1"/>
    <col min="10244" max="10244" width="13" style="1" customWidth="1"/>
    <col min="10245" max="10246" width="12.77734375" style="1" customWidth="1"/>
    <col min="10247" max="10249" width="0" style="1" hidden="1" customWidth="1"/>
    <col min="10250" max="10258" width="12.77734375" style="1" customWidth="1"/>
    <col min="10259" max="10259" width="0" style="1" hidden="1" customWidth="1"/>
    <col min="10260" max="10263" width="12.77734375" style="1" customWidth="1"/>
    <col min="10264" max="10264" width="1.77734375" style="1" customWidth="1"/>
    <col min="10265" max="10265" width="12.77734375" style="1" customWidth="1"/>
    <col min="10266" max="10266" width="1.77734375" style="1" customWidth="1"/>
    <col min="10267" max="10268" width="0" style="1" hidden="1" customWidth="1"/>
    <col min="10269" max="10269" width="12.77734375" style="1" customWidth="1"/>
    <col min="10270" max="10270" width="17.88671875" style="1" customWidth="1"/>
    <col min="10271" max="10271" width="11.77734375" style="1" customWidth="1"/>
    <col min="10272" max="10272" width="12" style="1" customWidth="1"/>
    <col min="10273" max="10496" width="27.5546875" style="1"/>
    <col min="10497" max="10497" width="19.44140625" style="1" customWidth="1"/>
    <col min="10498" max="10499" width="12.77734375" style="1" customWidth="1"/>
    <col min="10500" max="10500" width="13" style="1" customWidth="1"/>
    <col min="10501" max="10502" width="12.77734375" style="1" customWidth="1"/>
    <col min="10503" max="10505" width="0" style="1" hidden="1" customWidth="1"/>
    <col min="10506" max="10514" width="12.77734375" style="1" customWidth="1"/>
    <col min="10515" max="10515" width="0" style="1" hidden="1" customWidth="1"/>
    <col min="10516" max="10519" width="12.77734375" style="1" customWidth="1"/>
    <col min="10520" max="10520" width="1.77734375" style="1" customWidth="1"/>
    <col min="10521" max="10521" width="12.77734375" style="1" customWidth="1"/>
    <col min="10522" max="10522" width="1.77734375" style="1" customWidth="1"/>
    <col min="10523" max="10524" width="0" style="1" hidden="1" customWidth="1"/>
    <col min="10525" max="10525" width="12.77734375" style="1" customWidth="1"/>
    <col min="10526" max="10526" width="17.88671875" style="1" customWidth="1"/>
    <col min="10527" max="10527" width="11.77734375" style="1" customWidth="1"/>
    <col min="10528" max="10528" width="12" style="1" customWidth="1"/>
    <col min="10529" max="10752" width="27.5546875" style="1"/>
    <col min="10753" max="10753" width="19.44140625" style="1" customWidth="1"/>
    <col min="10754" max="10755" width="12.77734375" style="1" customWidth="1"/>
    <col min="10756" max="10756" width="13" style="1" customWidth="1"/>
    <col min="10757" max="10758" width="12.77734375" style="1" customWidth="1"/>
    <col min="10759" max="10761" width="0" style="1" hidden="1" customWidth="1"/>
    <col min="10762" max="10770" width="12.77734375" style="1" customWidth="1"/>
    <col min="10771" max="10771" width="0" style="1" hidden="1" customWidth="1"/>
    <col min="10772" max="10775" width="12.77734375" style="1" customWidth="1"/>
    <col min="10776" max="10776" width="1.77734375" style="1" customWidth="1"/>
    <col min="10777" max="10777" width="12.77734375" style="1" customWidth="1"/>
    <col min="10778" max="10778" width="1.77734375" style="1" customWidth="1"/>
    <col min="10779" max="10780" width="0" style="1" hidden="1" customWidth="1"/>
    <col min="10781" max="10781" width="12.77734375" style="1" customWidth="1"/>
    <col min="10782" max="10782" width="17.88671875" style="1" customWidth="1"/>
    <col min="10783" max="10783" width="11.77734375" style="1" customWidth="1"/>
    <col min="10784" max="10784" width="12" style="1" customWidth="1"/>
    <col min="10785" max="11008" width="27.5546875" style="1"/>
    <col min="11009" max="11009" width="19.44140625" style="1" customWidth="1"/>
    <col min="11010" max="11011" width="12.77734375" style="1" customWidth="1"/>
    <col min="11012" max="11012" width="13" style="1" customWidth="1"/>
    <col min="11013" max="11014" width="12.77734375" style="1" customWidth="1"/>
    <col min="11015" max="11017" width="0" style="1" hidden="1" customWidth="1"/>
    <col min="11018" max="11026" width="12.77734375" style="1" customWidth="1"/>
    <col min="11027" max="11027" width="0" style="1" hidden="1" customWidth="1"/>
    <col min="11028" max="11031" width="12.77734375" style="1" customWidth="1"/>
    <col min="11032" max="11032" width="1.77734375" style="1" customWidth="1"/>
    <col min="11033" max="11033" width="12.77734375" style="1" customWidth="1"/>
    <col min="11034" max="11034" width="1.77734375" style="1" customWidth="1"/>
    <col min="11035" max="11036" width="0" style="1" hidden="1" customWidth="1"/>
    <col min="11037" max="11037" width="12.77734375" style="1" customWidth="1"/>
    <col min="11038" max="11038" width="17.88671875" style="1" customWidth="1"/>
    <col min="11039" max="11039" width="11.77734375" style="1" customWidth="1"/>
    <col min="11040" max="11040" width="12" style="1" customWidth="1"/>
    <col min="11041" max="11264" width="27.5546875" style="1"/>
    <col min="11265" max="11265" width="19.44140625" style="1" customWidth="1"/>
    <col min="11266" max="11267" width="12.77734375" style="1" customWidth="1"/>
    <col min="11268" max="11268" width="13" style="1" customWidth="1"/>
    <col min="11269" max="11270" width="12.77734375" style="1" customWidth="1"/>
    <col min="11271" max="11273" width="0" style="1" hidden="1" customWidth="1"/>
    <col min="11274" max="11282" width="12.77734375" style="1" customWidth="1"/>
    <col min="11283" max="11283" width="0" style="1" hidden="1" customWidth="1"/>
    <col min="11284" max="11287" width="12.77734375" style="1" customWidth="1"/>
    <col min="11288" max="11288" width="1.77734375" style="1" customWidth="1"/>
    <col min="11289" max="11289" width="12.77734375" style="1" customWidth="1"/>
    <col min="11290" max="11290" width="1.77734375" style="1" customWidth="1"/>
    <col min="11291" max="11292" width="0" style="1" hidden="1" customWidth="1"/>
    <col min="11293" max="11293" width="12.77734375" style="1" customWidth="1"/>
    <col min="11294" max="11294" width="17.88671875" style="1" customWidth="1"/>
    <col min="11295" max="11295" width="11.77734375" style="1" customWidth="1"/>
    <col min="11296" max="11296" width="12" style="1" customWidth="1"/>
    <col min="11297" max="11520" width="27.5546875" style="1"/>
    <col min="11521" max="11521" width="19.44140625" style="1" customWidth="1"/>
    <col min="11522" max="11523" width="12.77734375" style="1" customWidth="1"/>
    <col min="11524" max="11524" width="13" style="1" customWidth="1"/>
    <col min="11525" max="11526" width="12.77734375" style="1" customWidth="1"/>
    <col min="11527" max="11529" width="0" style="1" hidden="1" customWidth="1"/>
    <col min="11530" max="11538" width="12.77734375" style="1" customWidth="1"/>
    <col min="11539" max="11539" width="0" style="1" hidden="1" customWidth="1"/>
    <col min="11540" max="11543" width="12.77734375" style="1" customWidth="1"/>
    <col min="11544" max="11544" width="1.77734375" style="1" customWidth="1"/>
    <col min="11545" max="11545" width="12.77734375" style="1" customWidth="1"/>
    <col min="11546" max="11546" width="1.77734375" style="1" customWidth="1"/>
    <col min="11547" max="11548" width="0" style="1" hidden="1" customWidth="1"/>
    <col min="11549" max="11549" width="12.77734375" style="1" customWidth="1"/>
    <col min="11550" max="11550" width="17.88671875" style="1" customWidth="1"/>
    <col min="11551" max="11551" width="11.77734375" style="1" customWidth="1"/>
    <col min="11552" max="11552" width="12" style="1" customWidth="1"/>
    <col min="11553" max="11776" width="27.5546875" style="1"/>
    <col min="11777" max="11777" width="19.44140625" style="1" customWidth="1"/>
    <col min="11778" max="11779" width="12.77734375" style="1" customWidth="1"/>
    <col min="11780" max="11780" width="13" style="1" customWidth="1"/>
    <col min="11781" max="11782" width="12.77734375" style="1" customWidth="1"/>
    <col min="11783" max="11785" width="0" style="1" hidden="1" customWidth="1"/>
    <col min="11786" max="11794" width="12.77734375" style="1" customWidth="1"/>
    <col min="11795" max="11795" width="0" style="1" hidden="1" customWidth="1"/>
    <col min="11796" max="11799" width="12.77734375" style="1" customWidth="1"/>
    <col min="11800" max="11800" width="1.77734375" style="1" customWidth="1"/>
    <col min="11801" max="11801" width="12.77734375" style="1" customWidth="1"/>
    <col min="11802" max="11802" width="1.77734375" style="1" customWidth="1"/>
    <col min="11803" max="11804" width="0" style="1" hidden="1" customWidth="1"/>
    <col min="11805" max="11805" width="12.77734375" style="1" customWidth="1"/>
    <col min="11806" max="11806" width="17.88671875" style="1" customWidth="1"/>
    <col min="11807" max="11807" width="11.77734375" style="1" customWidth="1"/>
    <col min="11808" max="11808" width="12" style="1" customWidth="1"/>
    <col min="11809" max="12032" width="27.5546875" style="1"/>
    <col min="12033" max="12033" width="19.44140625" style="1" customWidth="1"/>
    <col min="12034" max="12035" width="12.77734375" style="1" customWidth="1"/>
    <col min="12036" max="12036" width="13" style="1" customWidth="1"/>
    <col min="12037" max="12038" width="12.77734375" style="1" customWidth="1"/>
    <col min="12039" max="12041" width="0" style="1" hidden="1" customWidth="1"/>
    <col min="12042" max="12050" width="12.77734375" style="1" customWidth="1"/>
    <col min="12051" max="12051" width="0" style="1" hidden="1" customWidth="1"/>
    <col min="12052" max="12055" width="12.77734375" style="1" customWidth="1"/>
    <col min="12056" max="12056" width="1.77734375" style="1" customWidth="1"/>
    <col min="12057" max="12057" width="12.77734375" style="1" customWidth="1"/>
    <col min="12058" max="12058" width="1.77734375" style="1" customWidth="1"/>
    <col min="12059" max="12060" width="0" style="1" hidden="1" customWidth="1"/>
    <col min="12061" max="12061" width="12.77734375" style="1" customWidth="1"/>
    <col min="12062" max="12062" width="17.88671875" style="1" customWidth="1"/>
    <col min="12063" max="12063" width="11.77734375" style="1" customWidth="1"/>
    <col min="12064" max="12064" width="12" style="1" customWidth="1"/>
    <col min="12065" max="12288" width="27.5546875" style="1"/>
    <col min="12289" max="12289" width="19.44140625" style="1" customWidth="1"/>
    <col min="12290" max="12291" width="12.77734375" style="1" customWidth="1"/>
    <col min="12292" max="12292" width="13" style="1" customWidth="1"/>
    <col min="12293" max="12294" width="12.77734375" style="1" customWidth="1"/>
    <col min="12295" max="12297" width="0" style="1" hidden="1" customWidth="1"/>
    <col min="12298" max="12306" width="12.77734375" style="1" customWidth="1"/>
    <col min="12307" max="12307" width="0" style="1" hidden="1" customWidth="1"/>
    <col min="12308" max="12311" width="12.77734375" style="1" customWidth="1"/>
    <col min="12312" max="12312" width="1.77734375" style="1" customWidth="1"/>
    <col min="12313" max="12313" width="12.77734375" style="1" customWidth="1"/>
    <col min="12314" max="12314" width="1.77734375" style="1" customWidth="1"/>
    <col min="12315" max="12316" width="0" style="1" hidden="1" customWidth="1"/>
    <col min="12317" max="12317" width="12.77734375" style="1" customWidth="1"/>
    <col min="12318" max="12318" width="17.88671875" style="1" customWidth="1"/>
    <col min="12319" max="12319" width="11.77734375" style="1" customWidth="1"/>
    <col min="12320" max="12320" width="12" style="1" customWidth="1"/>
    <col min="12321" max="12544" width="27.5546875" style="1"/>
    <col min="12545" max="12545" width="19.44140625" style="1" customWidth="1"/>
    <col min="12546" max="12547" width="12.77734375" style="1" customWidth="1"/>
    <col min="12548" max="12548" width="13" style="1" customWidth="1"/>
    <col min="12549" max="12550" width="12.77734375" style="1" customWidth="1"/>
    <col min="12551" max="12553" width="0" style="1" hidden="1" customWidth="1"/>
    <col min="12554" max="12562" width="12.77734375" style="1" customWidth="1"/>
    <col min="12563" max="12563" width="0" style="1" hidden="1" customWidth="1"/>
    <col min="12564" max="12567" width="12.77734375" style="1" customWidth="1"/>
    <col min="12568" max="12568" width="1.77734375" style="1" customWidth="1"/>
    <col min="12569" max="12569" width="12.77734375" style="1" customWidth="1"/>
    <col min="12570" max="12570" width="1.77734375" style="1" customWidth="1"/>
    <col min="12571" max="12572" width="0" style="1" hidden="1" customWidth="1"/>
    <col min="12573" max="12573" width="12.77734375" style="1" customWidth="1"/>
    <col min="12574" max="12574" width="17.88671875" style="1" customWidth="1"/>
    <col min="12575" max="12575" width="11.77734375" style="1" customWidth="1"/>
    <col min="12576" max="12576" width="12" style="1" customWidth="1"/>
    <col min="12577" max="12800" width="27.5546875" style="1"/>
    <col min="12801" max="12801" width="19.44140625" style="1" customWidth="1"/>
    <col min="12802" max="12803" width="12.77734375" style="1" customWidth="1"/>
    <col min="12804" max="12804" width="13" style="1" customWidth="1"/>
    <col min="12805" max="12806" width="12.77734375" style="1" customWidth="1"/>
    <col min="12807" max="12809" width="0" style="1" hidden="1" customWidth="1"/>
    <col min="12810" max="12818" width="12.77734375" style="1" customWidth="1"/>
    <col min="12819" max="12819" width="0" style="1" hidden="1" customWidth="1"/>
    <col min="12820" max="12823" width="12.77734375" style="1" customWidth="1"/>
    <col min="12824" max="12824" width="1.77734375" style="1" customWidth="1"/>
    <col min="12825" max="12825" width="12.77734375" style="1" customWidth="1"/>
    <col min="12826" max="12826" width="1.77734375" style="1" customWidth="1"/>
    <col min="12827" max="12828" width="0" style="1" hidden="1" customWidth="1"/>
    <col min="12829" max="12829" width="12.77734375" style="1" customWidth="1"/>
    <col min="12830" max="12830" width="17.88671875" style="1" customWidth="1"/>
    <col min="12831" max="12831" width="11.77734375" style="1" customWidth="1"/>
    <col min="12832" max="12832" width="12" style="1" customWidth="1"/>
    <col min="12833" max="13056" width="27.5546875" style="1"/>
    <col min="13057" max="13057" width="19.44140625" style="1" customWidth="1"/>
    <col min="13058" max="13059" width="12.77734375" style="1" customWidth="1"/>
    <col min="13060" max="13060" width="13" style="1" customWidth="1"/>
    <col min="13061" max="13062" width="12.77734375" style="1" customWidth="1"/>
    <col min="13063" max="13065" width="0" style="1" hidden="1" customWidth="1"/>
    <col min="13066" max="13074" width="12.77734375" style="1" customWidth="1"/>
    <col min="13075" max="13075" width="0" style="1" hidden="1" customWidth="1"/>
    <col min="13076" max="13079" width="12.77734375" style="1" customWidth="1"/>
    <col min="13080" max="13080" width="1.77734375" style="1" customWidth="1"/>
    <col min="13081" max="13081" width="12.77734375" style="1" customWidth="1"/>
    <col min="13082" max="13082" width="1.77734375" style="1" customWidth="1"/>
    <col min="13083" max="13084" width="0" style="1" hidden="1" customWidth="1"/>
    <col min="13085" max="13085" width="12.77734375" style="1" customWidth="1"/>
    <col min="13086" max="13086" width="17.88671875" style="1" customWidth="1"/>
    <col min="13087" max="13087" width="11.77734375" style="1" customWidth="1"/>
    <col min="13088" max="13088" width="12" style="1" customWidth="1"/>
    <col min="13089" max="13312" width="27.5546875" style="1"/>
    <col min="13313" max="13313" width="19.44140625" style="1" customWidth="1"/>
    <col min="13314" max="13315" width="12.77734375" style="1" customWidth="1"/>
    <col min="13316" max="13316" width="13" style="1" customWidth="1"/>
    <col min="13317" max="13318" width="12.77734375" style="1" customWidth="1"/>
    <col min="13319" max="13321" width="0" style="1" hidden="1" customWidth="1"/>
    <col min="13322" max="13330" width="12.77734375" style="1" customWidth="1"/>
    <col min="13331" max="13331" width="0" style="1" hidden="1" customWidth="1"/>
    <col min="13332" max="13335" width="12.77734375" style="1" customWidth="1"/>
    <col min="13336" max="13336" width="1.77734375" style="1" customWidth="1"/>
    <col min="13337" max="13337" width="12.77734375" style="1" customWidth="1"/>
    <col min="13338" max="13338" width="1.77734375" style="1" customWidth="1"/>
    <col min="13339" max="13340" width="0" style="1" hidden="1" customWidth="1"/>
    <col min="13341" max="13341" width="12.77734375" style="1" customWidth="1"/>
    <col min="13342" max="13342" width="17.88671875" style="1" customWidth="1"/>
    <col min="13343" max="13343" width="11.77734375" style="1" customWidth="1"/>
    <col min="13344" max="13344" width="12" style="1" customWidth="1"/>
    <col min="13345" max="13568" width="27.5546875" style="1"/>
    <col min="13569" max="13569" width="19.44140625" style="1" customWidth="1"/>
    <col min="13570" max="13571" width="12.77734375" style="1" customWidth="1"/>
    <col min="13572" max="13572" width="13" style="1" customWidth="1"/>
    <col min="13573" max="13574" width="12.77734375" style="1" customWidth="1"/>
    <col min="13575" max="13577" width="0" style="1" hidden="1" customWidth="1"/>
    <col min="13578" max="13586" width="12.77734375" style="1" customWidth="1"/>
    <col min="13587" max="13587" width="0" style="1" hidden="1" customWidth="1"/>
    <col min="13588" max="13591" width="12.77734375" style="1" customWidth="1"/>
    <col min="13592" max="13592" width="1.77734375" style="1" customWidth="1"/>
    <col min="13593" max="13593" width="12.77734375" style="1" customWidth="1"/>
    <col min="13594" max="13594" width="1.77734375" style="1" customWidth="1"/>
    <col min="13595" max="13596" width="0" style="1" hidden="1" customWidth="1"/>
    <col min="13597" max="13597" width="12.77734375" style="1" customWidth="1"/>
    <col min="13598" max="13598" width="17.88671875" style="1" customWidth="1"/>
    <col min="13599" max="13599" width="11.77734375" style="1" customWidth="1"/>
    <col min="13600" max="13600" width="12" style="1" customWidth="1"/>
    <col min="13601" max="13824" width="27.5546875" style="1"/>
    <col min="13825" max="13825" width="19.44140625" style="1" customWidth="1"/>
    <col min="13826" max="13827" width="12.77734375" style="1" customWidth="1"/>
    <col min="13828" max="13828" width="13" style="1" customWidth="1"/>
    <col min="13829" max="13830" width="12.77734375" style="1" customWidth="1"/>
    <col min="13831" max="13833" width="0" style="1" hidden="1" customWidth="1"/>
    <col min="13834" max="13842" width="12.77734375" style="1" customWidth="1"/>
    <col min="13843" max="13843" width="0" style="1" hidden="1" customWidth="1"/>
    <col min="13844" max="13847" width="12.77734375" style="1" customWidth="1"/>
    <col min="13848" max="13848" width="1.77734375" style="1" customWidth="1"/>
    <col min="13849" max="13849" width="12.77734375" style="1" customWidth="1"/>
    <col min="13850" max="13850" width="1.77734375" style="1" customWidth="1"/>
    <col min="13851" max="13852" width="0" style="1" hidden="1" customWidth="1"/>
    <col min="13853" max="13853" width="12.77734375" style="1" customWidth="1"/>
    <col min="13854" max="13854" width="17.88671875" style="1" customWidth="1"/>
    <col min="13855" max="13855" width="11.77734375" style="1" customWidth="1"/>
    <col min="13856" max="13856" width="12" style="1" customWidth="1"/>
    <col min="13857" max="14080" width="27.5546875" style="1"/>
    <col min="14081" max="14081" width="19.44140625" style="1" customWidth="1"/>
    <col min="14082" max="14083" width="12.77734375" style="1" customWidth="1"/>
    <col min="14084" max="14084" width="13" style="1" customWidth="1"/>
    <col min="14085" max="14086" width="12.77734375" style="1" customWidth="1"/>
    <col min="14087" max="14089" width="0" style="1" hidden="1" customWidth="1"/>
    <col min="14090" max="14098" width="12.77734375" style="1" customWidth="1"/>
    <col min="14099" max="14099" width="0" style="1" hidden="1" customWidth="1"/>
    <col min="14100" max="14103" width="12.77734375" style="1" customWidth="1"/>
    <col min="14104" max="14104" width="1.77734375" style="1" customWidth="1"/>
    <col min="14105" max="14105" width="12.77734375" style="1" customWidth="1"/>
    <col min="14106" max="14106" width="1.77734375" style="1" customWidth="1"/>
    <col min="14107" max="14108" width="0" style="1" hidden="1" customWidth="1"/>
    <col min="14109" max="14109" width="12.77734375" style="1" customWidth="1"/>
    <col min="14110" max="14110" width="17.88671875" style="1" customWidth="1"/>
    <col min="14111" max="14111" width="11.77734375" style="1" customWidth="1"/>
    <col min="14112" max="14112" width="12" style="1" customWidth="1"/>
    <col min="14113" max="14336" width="27.5546875" style="1"/>
    <col min="14337" max="14337" width="19.44140625" style="1" customWidth="1"/>
    <col min="14338" max="14339" width="12.77734375" style="1" customWidth="1"/>
    <col min="14340" max="14340" width="13" style="1" customWidth="1"/>
    <col min="14341" max="14342" width="12.77734375" style="1" customWidth="1"/>
    <col min="14343" max="14345" width="0" style="1" hidden="1" customWidth="1"/>
    <col min="14346" max="14354" width="12.77734375" style="1" customWidth="1"/>
    <col min="14355" max="14355" width="0" style="1" hidden="1" customWidth="1"/>
    <col min="14356" max="14359" width="12.77734375" style="1" customWidth="1"/>
    <col min="14360" max="14360" width="1.77734375" style="1" customWidth="1"/>
    <col min="14361" max="14361" width="12.77734375" style="1" customWidth="1"/>
    <col min="14362" max="14362" width="1.77734375" style="1" customWidth="1"/>
    <col min="14363" max="14364" width="0" style="1" hidden="1" customWidth="1"/>
    <col min="14365" max="14365" width="12.77734375" style="1" customWidth="1"/>
    <col min="14366" max="14366" width="17.88671875" style="1" customWidth="1"/>
    <col min="14367" max="14367" width="11.77734375" style="1" customWidth="1"/>
    <col min="14368" max="14368" width="12" style="1" customWidth="1"/>
    <col min="14369" max="14592" width="27.5546875" style="1"/>
    <col min="14593" max="14593" width="19.44140625" style="1" customWidth="1"/>
    <col min="14594" max="14595" width="12.77734375" style="1" customWidth="1"/>
    <col min="14596" max="14596" width="13" style="1" customWidth="1"/>
    <col min="14597" max="14598" width="12.77734375" style="1" customWidth="1"/>
    <col min="14599" max="14601" width="0" style="1" hidden="1" customWidth="1"/>
    <col min="14602" max="14610" width="12.77734375" style="1" customWidth="1"/>
    <col min="14611" max="14611" width="0" style="1" hidden="1" customWidth="1"/>
    <col min="14612" max="14615" width="12.77734375" style="1" customWidth="1"/>
    <col min="14616" max="14616" width="1.77734375" style="1" customWidth="1"/>
    <col min="14617" max="14617" width="12.77734375" style="1" customWidth="1"/>
    <col min="14618" max="14618" width="1.77734375" style="1" customWidth="1"/>
    <col min="14619" max="14620" width="0" style="1" hidden="1" customWidth="1"/>
    <col min="14621" max="14621" width="12.77734375" style="1" customWidth="1"/>
    <col min="14622" max="14622" width="17.88671875" style="1" customWidth="1"/>
    <col min="14623" max="14623" width="11.77734375" style="1" customWidth="1"/>
    <col min="14624" max="14624" width="12" style="1" customWidth="1"/>
    <col min="14625" max="14848" width="27.5546875" style="1"/>
    <col min="14849" max="14849" width="19.44140625" style="1" customWidth="1"/>
    <col min="14850" max="14851" width="12.77734375" style="1" customWidth="1"/>
    <col min="14852" max="14852" width="13" style="1" customWidth="1"/>
    <col min="14853" max="14854" width="12.77734375" style="1" customWidth="1"/>
    <col min="14855" max="14857" width="0" style="1" hidden="1" customWidth="1"/>
    <col min="14858" max="14866" width="12.77734375" style="1" customWidth="1"/>
    <col min="14867" max="14867" width="0" style="1" hidden="1" customWidth="1"/>
    <col min="14868" max="14871" width="12.77734375" style="1" customWidth="1"/>
    <col min="14872" max="14872" width="1.77734375" style="1" customWidth="1"/>
    <col min="14873" max="14873" width="12.77734375" style="1" customWidth="1"/>
    <col min="14874" max="14874" width="1.77734375" style="1" customWidth="1"/>
    <col min="14875" max="14876" width="0" style="1" hidden="1" customWidth="1"/>
    <col min="14877" max="14877" width="12.77734375" style="1" customWidth="1"/>
    <col min="14878" max="14878" width="17.88671875" style="1" customWidth="1"/>
    <col min="14879" max="14879" width="11.77734375" style="1" customWidth="1"/>
    <col min="14880" max="14880" width="12" style="1" customWidth="1"/>
    <col min="14881" max="15104" width="27.5546875" style="1"/>
    <col min="15105" max="15105" width="19.44140625" style="1" customWidth="1"/>
    <col min="15106" max="15107" width="12.77734375" style="1" customWidth="1"/>
    <col min="15108" max="15108" width="13" style="1" customWidth="1"/>
    <col min="15109" max="15110" width="12.77734375" style="1" customWidth="1"/>
    <col min="15111" max="15113" width="0" style="1" hidden="1" customWidth="1"/>
    <col min="15114" max="15122" width="12.77734375" style="1" customWidth="1"/>
    <col min="15123" max="15123" width="0" style="1" hidden="1" customWidth="1"/>
    <col min="15124" max="15127" width="12.77734375" style="1" customWidth="1"/>
    <col min="15128" max="15128" width="1.77734375" style="1" customWidth="1"/>
    <col min="15129" max="15129" width="12.77734375" style="1" customWidth="1"/>
    <col min="15130" max="15130" width="1.77734375" style="1" customWidth="1"/>
    <col min="15131" max="15132" width="0" style="1" hidden="1" customWidth="1"/>
    <col min="15133" max="15133" width="12.77734375" style="1" customWidth="1"/>
    <col min="15134" max="15134" width="17.88671875" style="1" customWidth="1"/>
    <col min="15135" max="15135" width="11.77734375" style="1" customWidth="1"/>
    <col min="15136" max="15136" width="12" style="1" customWidth="1"/>
    <col min="15137" max="15360" width="27.5546875" style="1"/>
    <col min="15361" max="15361" width="19.44140625" style="1" customWidth="1"/>
    <col min="15362" max="15363" width="12.77734375" style="1" customWidth="1"/>
    <col min="15364" max="15364" width="13" style="1" customWidth="1"/>
    <col min="15365" max="15366" width="12.77734375" style="1" customWidth="1"/>
    <col min="15367" max="15369" width="0" style="1" hidden="1" customWidth="1"/>
    <col min="15370" max="15378" width="12.77734375" style="1" customWidth="1"/>
    <col min="15379" max="15379" width="0" style="1" hidden="1" customWidth="1"/>
    <col min="15380" max="15383" width="12.77734375" style="1" customWidth="1"/>
    <col min="15384" max="15384" width="1.77734375" style="1" customWidth="1"/>
    <col min="15385" max="15385" width="12.77734375" style="1" customWidth="1"/>
    <col min="15386" max="15386" width="1.77734375" style="1" customWidth="1"/>
    <col min="15387" max="15388" width="0" style="1" hidden="1" customWidth="1"/>
    <col min="15389" max="15389" width="12.77734375" style="1" customWidth="1"/>
    <col min="15390" max="15390" width="17.88671875" style="1" customWidth="1"/>
    <col min="15391" max="15391" width="11.77734375" style="1" customWidth="1"/>
    <col min="15392" max="15392" width="12" style="1" customWidth="1"/>
    <col min="15393" max="15616" width="27.5546875" style="1"/>
    <col min="15617" max="15617" width="19.44140625" style="1" customWidth="1"/>
    <col min="15618" max="15619" width="12.77734375" style="1" customWidth="1"/>
    <col min="15620" max="15620" width="13" style="1" customWidth="1"/>
    <col min="15621" max="15622" width="12.77734375" style="1" customWidth="1"/>
    <col min="15623" max="15625" width="0" style="1" hidden="1" customWidth="1"/>
    <col min="15626" max="15634" width="12.77734375" style="1" customWidth="1"/>
    <col min="15635" max="15635" width="0" style="1" hidden="1" customWidth="1"/>
    <col min="15636" max="15639" width="12.77734375" style="1" customWidth="1"/>
    <col min="15640" max="15640" width="1.77734375" style="1" customWidth="1"/>
    <col min="15641" max="15641" width="12.77734375" style="1" customWidth="1"/>
    <col min="15642" max="15642" width="1.77734375" style="1" customWidth="1"/>
    <col min="15643" max="15644" width="0" style="1" hidden="1" customWidth="1"/>
    <col min="15645" max="15645" width="12.77734375" style="1" customWidth="1"/>
    <col min="15646" max="15646" width="17.88671875" style="1" customWidth="1"/>
    <col min="15647" max="15647" width="11.77734375" style="1" customWidth="1"/>
    <col min="15648" max="15648" width="12" style="1" customWidth="1"/>
    <col min="15649" max="15872" width="27.5546875" style="1"/>
    <col min="15873" max="15873" width="19.44140625" style="1" customWidth="1"/>
    <col min="15874" max="15875" width="12.77734375" style="1" customWidth="1"/>
    <col min="15876" max="15876" width="13" style="1" customWidth="1"/>
    <col min="15877" max="15878" width="12.77734375" style="1" customWidth="1"/>
    <col min="15879" max="15881" width="0" style="1" hidden="1" customWidth="1"/>
    <col min="15882" max="15890" width="12.77734375" style="1" customWidth="1"/>
    <col min="15891" max="15891" width="0" style="1" hidden="1" customWidth="1"/>
    <col min="15892" max="15895" width="12.77734375" style="1" customWidth="1"/>
    <col min="15896" max="15896" width="1.77734375" style="1" customWidth="1"/>
    <col min="15897" max="15897" width="12.77734375" style="1" customWidth="1"/>
    <col min="15898" max="15898" width="1.77734375" style="1" customWidth="1"/>
    <col min="15899" max="15900" width="0" style="1" hidden="1" customWidth="1"/>
    <col min="15901" max="15901" width="12.77734375" style="1" customWidth="1"/>
    <col min="15902" max="15902" width="17.88671875" style="1" customWidth="1"/>
    <col min="15903" max="15903" width="11.77734375" style="1" customWidth="1"/>
    <col min="15904" max="15904" width="12" style="1" customWidth="1"/>
    <col min="15905" max="16128" width="27.5546875" style="1"/>
    <col min="16129" max="16129" width="19.44140625" style="1" customWidth="1"/>
    <col min="16130" max="16131" width="12.77734375" style="1" customWidth="1"/>
    <col min="16132" max="16132" width="13" style="1" customWidth="1"/>
    <col min="16133" max="16134" width="12.77734375" style="1" customWidth="1"/>
    <col min="16135" max="16137" width="0" style="1" hidden="1" customWidth="1"/>
    <col min="16138" max="16146" width="12.77734375" style="1" customWidth="1"/>
    <col min="16147" max="16147" width="0" style="1" hidden="1" customWidth="1"/>
    <col min="16148" max="16151" width="12.77734375" style="1" customWidth="1"/>
    <col min="16152" max="16152" width="1.77734375" style="1" customWidth="1"/>
    <col min="16153" max="16153" width="12.77734375" style="1" customWidth="1"/>
    <col min="16154" max="16154" width="1.77734375" style="1" customWidth="1"/>
    <col min="16155" max="16156" width="0" style="1" hidden="1" customWidth="1"/>
    <col min="16157" max="16157" width="12.77734375" style="1" customWidth="1"/>
    <col min="16158" max="16158" width="17.88671875" style="1" customWidth="1"/>
    <col min="16159" max="16159" width="11.77734375" style="1" customWidth="1"/>
    <col min="16160" max="16160" width="12" style="1" customWidth="1"/>
    <col min="16161" max="16384" width="27.5546875" style="1"/>
  </cols>
  <sheetData>
    <row r="1" spans="1:52" ht="36.75" customHeight="1" x14ac:dyDescent="0.25">
      <c r="A1" s="65"/>
      <c r="B1" s="50"/>
      <c r="C1" s="64"/>
      <c r="D1" s="50"/>
      <c r="E1" s="50"/>
      <c r="F1" s="50"/>
      <c r="G1" s="50"/>
      <c r="H1" s="50"/>
      <c r="I1" s="50"/>
      <c r="J1" s="50"/>
      <c r="K1" s="50"/>
      <c r="M1" s="63"/>
      <c r="O1" s="50"/>
      <c r="P1" s="50"/>
      <c r="Q1" s="50"/>
      <c r="R1" s="50"/>
      <c r="S1" s="50"/>
      <c r="T1" s="50"/>
      <c r="U1" s="50"/>
      <c r="V1" s="50"/>
      <c r="W1" s="62" t="s">
        <v>94</v>
      </c>
      <c r="Y1" s="61"/>
      <c r="AA1" s="61"/>
      <c r="AC1" s="61"/>
    </row>
    <row r="2" spans="1:52" s="57" customFormat="1" ht="18" customHeight="1" x14ac:dyDescent="0.2">
      <c r="A2" s="60"/>
      <c r="B2" s="27"/>
      <c r="C2" s="27"/>
      <c r="D2" s="28"/>
      <c r="E2" s="27"/>
      <c r="F2" s="27"/>
      <c r="G2" s="27"/>
      <c r="H2" s="27"/>
      <c r="I2" s="27"/>
      <c r="J2" s="27"/>
      <c r="K2" s="27"/>
      <c r="M2" s="59"/>
      <c r="N2" s="58"/>
      <c r="O2" s="27"/>
      <c r="P2" s="27"/>
      <c r="Q2" s="27"/>
      <c r="R2" s="27"/>
      <c r="S2" s="27"/>
      <c r="T2" s="27"/>
      <c r="U2" s="27"/>
      <c r="V2" s="27"/>
      <c r="W2" s="5"/>
      <c r="Y2" s="5"/>
      <c r="AA2" s="5"/>
      <c r="AC2" s="5"/>
    </row>
    <row r="3" spans="1:52" ht="21" customHeight="1" x14ac:dyDescent="0.2">
      <c r="A3" s="56"/>
      <c r="B3" s="50"/>
      <c r="C3" s="50"/>
      <c r="D3" s="56"/>
      <c r="E3" s="50"/>
      <c r="F3" s="51"/>
      <c r="G3" s="50"/>
      <c r="H3" s="50"/>
      <c r="I3" s="51"/>
      <c r="J3" s="50"/>
      <c r="K3" s="50"/>
      <c r="M3" s="55"/>
      <c r="N3" s="54"/>
      <c r="O3" s="50"/>
      <c r="P3" s="50"/>
      <c r="Q3" s="50"/>
      <c r="R3" s="50"/>
      <c r="S3" s="50"/>
      <c r="T3" s="50"/>
      <c r="U3" s="50"/>
      <c r="V3" s="50"/>
      <c r="W3" s="5"/>
      <c r="Y3" s="5"/>
      <c r="AA3" s="5"/>
      <c r="AC3" s="5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50"/>
      <c r="B5" s="50"/>
      <c r="C5" s="50"/>
      <c r="D5" s="50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49"/>
      <c r="Y5" s="48"/>
      <c r="AA5" s="48"/>
      <c r="AC5" s="48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84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84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89"/>
      <c r="T8" s="245" t="s">
        <v>62</v>
      </c>
      <c r="U8" s="83" t="s">
        <v>61</v>
      </c>
      <c r="V8" s="84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24"/>
      <c r="AE8" s="24"/>
      <c r="AF8" s="24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84" t="s">
        <v>51</v>
      </c>
      <c r="O9" s="83" t="s">
        <v>50</v>
      </c>
      <c r="P9" s="251"/>
      <c r="Q9" s="83"/>
      <c r="R9" s="83" t="s">
        <v>49</v>
      </c>
      <c r="S9" s="84"/>
      <c r="T9" s="246"/>
      <c r="U9" s="83" t="s">
        <v>48</v>
      </c>
      <c r="V9" s="84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24"/>
      <c r="AE9" s="24"/>
      <c r="AF9" s="24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694053.88679999998</v>
      </c>
      <c r="C10" s="40">
        <v>90690.138271119999</v>
      </c>
      <c r="D10" s="76">
        <f>B10+C10</f>
        <v>784744.02507112001</v>
      </c>
      <c r="E10" s="40">
        <v>35.008399999999995</v>
      </c>
      <c r="F10" s="76">
        <f>D10+E10</f>
        <v>784779.03347112006</v>
      </c>
      <c r="G10" s="40">
        <v>0</v>
      </c>
      <c r="H10" s="40">
        <v>0</v>
      </c>
      <c r="I10" s="40">
        <v>0</v>
      </c>
      <c r="J10" s="40">
        <v>3547.6395000000002</v>
      </c>
      <c r="K10" s="40">
        <v>844.58930000000009</v>
      </c>
      <c r="L10" s="40">
        <v>0</v>
      </c>
      <c r="M10" s="40">
        <v>13095.913500000001</v>
      </c>
      <c r="N10" s="40">
        <v>1878.2270000000001</v>
      </c>
      <c r="O10" s="40">
        <v>3865.3159999999998</v>
      </c>
      <c r="P10" s="40">
        <v>86.89461845000001</v>
      </c>
      <c r="Q10" s="40">
        <v>6053.8966</v>
      </c>
      <c r="R10" s="40">
        <v>211.08403725774221</v>
      </c>
      <c r="S10" s="40">
        <v>0</v>
      </c>
      <c r="T10" s="40">
        <v>152.26435066181008</v>
      </c>
      <c r="U10" s="40">
        <v>0</v>
      </c>
      <c r="V10" s="40">
        <v>2925.3355000000001</v>
      </c>
      <c r="W10" s="76">
        <f t="shared" ref="W10:W32" si="0">SUM(F10:V10)</f>
        <v>817440.19387748954</v>
      </c>
      <c r="X10" s="36"/>
      <c r="Y10" s="42">
        <v>94285.960901999992</v>
      </c>
      <c r="Z10" s="38"/>
      <c r="AA10" s="109">
        <v>0</v>
      </c>
      <c r="AB10" s="36"/>
      <c r="AC10" s="76">
        <f>+W10+Y10+AA10</f>
        <v>911726.1547794895</v>
      </c>
      <c r="AD10" s="29"/>
      <c r="AE10" s="25"/>
      <c r="AF10" s="163"/>
      <c r="AG10" s="2"/>
      <c r="AH10" s="3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94191.160599999988</v>
      </c>
      <c r="C11" s="40">
        <v>4235.3032335199996</v>
      </c>
      <c r="D11" s="76">
        <f t="shared" ref="D11:D32" si="1">B11+C11</f>
        <v>98426.463833519985</v>
      </c>
      <c r="E11" s="40">
        <v>1.7832999999999999</v>
      </c>
      <c r="F11" s="76">
        <f t="shared" ref="F11:F32" si="2">D11+E11</f>
        <v>98428.247133519981</v>
      </c>
      <c r="G11" s="40">
        <v>0</v>
      </c>
      <c r="H11" s="40">
        <v>0</v>
      </c>
      <c r="I11" s="40">
        <v>0</v>
      </c>
      <c r="J11" s="40">
        <v>444.9624</v>
      </c>
      <c r="K11" s="40">
        <v>0</v>
      </c>
      <c r="L11" s="40">
        <v>0</v>
      </c>
      <c r="M11" s="40">
        <v>0</v>
      </c>
      <c r="N11" s="40">
        <v>235.58010000000002</v>
      </c>
      <c r="O11" s="40">
        <v>405.3895</v>
      </c>
      <c r="P11" s="40">
        <v>130.96282729000001</v>
      </c>
      <c r="Q11" s="40">
        <v>876.77119999999991</v>
      </c>
      <c r="R11" s="40">
        <v>323.29670226509666</v>
      </c>
      <c r="S11" s="40">
        <v>0</v>
      </c>
      <c r="T11" s="40">
        <v>229.4845205963606</v>
      </c>
      <c r="U11" s="40">
        <v>2.2000000000000002</v>
      </c>
      <c r="V11" s="40">
        <v>366.91559999999998</v>
      </c>
      <c r="W11" s="76">
        <f t="shared" si="0"/>
        <v>101443.80998367145</v>
      </c>
      <c r="X11" s="36"/>
      <c r="Y11" s="42">
        <v>519.17111999999997</v>
      </c>
      <c r="Z11" s="38"/>
      <c r="AA11" s="43">
        <v>0</v>
      </c>
      <c r="AB11" s="36"/>
      <c r="AC11" s="76">
        <f t="shared" ref="AC11:AC38" si="3">+W11+Y11+AA11</f>
        <v>101962.98110367145</v>
      </c>
      <c r="AD11" s="29"/>
      <c r="AE11" s="25"/>
      <c r="AF11" s="163"/>
      <c r="AG11" s="2"/>
      <c r="AH11" s="34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297822.49910000002</v>
      </c>
      <c r="C12" s="40">
        <v>19482.39487416</v>
      </c>
      <c r="D12" s="76">
        <f t="shared" si="1"/>
        <v>317304.89397416002</v>
      </c>
      <c r="E12" s="40">
        <v>10.441700000000001</v>
      </c>
      <c r="F12" s="76">
        <f>D12+E12</f>
        <v>317315.33567416004</v>
      </c>
      <c r="G12" s="40">
        <v>0</v>
      </c>
      <c r="H12" s="40">
        <v>0</v>
      </c>
      <c r="I12" s="40">
        <v>0</v>
      </c>
      <c r="J12" s="40">
        <v>1434.4593</v>
      </c>
      <c r="K12" s="40">
        <v>288.43090000000001</v>
      </c>
      <c r="L12" s="40">
        <v>0</v>
      </c>
      <c r="M12" s="40">
        <v>4472.3105999999998</v>
      </c>
      <c r="N12" s="40">
        <v>759.45060000000001</v>
      </c>
      <c r="O12" s="40">
        <v>2119.7031000000002</v>
      </c>
      <c r="P12" s="40">
        <v>86.89461845000001</v>
      </c>
      <c r="Q12" s="40">
        <v>2358.9321</v>
      </c>
      <c r="R12" s="40">
        <v>198.11028547298773</v>
      </c>
      <c r="S12" s="40">
        <v>0</v>
      </c>
      <c r="T12" s="40">
        <v>152.26435066181008</v>
      </c>
      <c r="U12" s="40">
        <v>0.5</v>
      </c>
      <c r="V12" s="40">
        <v>1182.8431</v>
      </c>
      <c r="W12" s="76">
        <f t="shared" si="0"/>
        <v>330369.23462874483</v>
      </c>
      <c r="X12" s="36"/>
      <c r="Y12" s="42">
        <v>3028.7879640000001</v>
      </c>
      <c r="Z12" s="38"/>
      <c r="AA12" s="43">
        <v>0</v>
      </c>
      <c r="AB12" s="36"/>
      <c r="AC12" s="76">
        <f t="shared" si="3"/>
        <v>333398.02259274485</v>
      </c>
      <c r="AD12" s="29"/>
      <c r="AE12" s="25"/>
      <c r="AF12" s="163"/>
      <c r="AG12" s="2"/>
      <c r="AH12" s="34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123960.83679999999</v>
      </c>
      <c r="C13" s="40">
        <v>8880.4745218399985</v>
      </c>
      <c r="D13" s="76">
        <f t="shared" si="1"/>
        <v>132841.31132183998</v>
      </c>
      <c r="E13" s="40">
        <v>3.2166999999999999</v>
      </c>
      <c r="F13" s="76">
        <f t="shared" si="2"/>
        <v>132844.52802183997</v>
      </c>
      <c r="G13" s="40">
        <v>0</v>
      </c>
      <c r="H13" s="40">
        <v>0</v>
      </c>
      <c r="I13" s="40">
        <v>0</v>
      </c>
      <c r="J13" s="40">
        <v>600.54369999999994</v>
      </c>
      <c r="K13" s="40">
        <v>92.226799999999997</v>
      </c>
      <c r="L13" s="40">
        <v>0</v>
      </c>
      <c r="M13" s="40">
        <v>1430.0376999999999</v>
      </c>
      <c r="N13" s="40">
        <v>317.94759999999997</v>
      </c>
      <c r="O13" s="40">
        <v>516.73360000000002</v>
      </c>
      <c r="P13" s="40">
        <v>110.00812332</v>
      </c>
      <c r="Q13" s="40">
        <v>2066.6750999999999</v>
      </c>
      <c r="R13" s="40">
        <v>276.84659256456911</v>
      </c>
      <c r="S13" s="40">
        <v>0</v>
      </c>
      <c r="T13" s="40">
        <v>192.76585551537428</v>
      </c>
      <c r="U13" s="40">
        <v>1.5</v>
      </c>
      <c r="V13" s="40">
        <v>495.20279999999997</v>
      </c>
      <c r="W13" s="76">
        <f t="shared" si="0"/>
        <v>138945.01589323994</v>
      </c>
      <c r="X13" s="36"/>
      <c r="Y13" s="42">
        <v>3694.8164040000001</v>
      </c>
      <c r="Z13" s="38"/>
      <c r="AA13" s="43">
        <v>0</v>
      </c>
      <c r="AB13" s="36"/>
      <c r="AC13" s="76">
        <f t="shared" si="3"/>
        <v>142639.83229723995</v>
      </c>
      <c r="AD13" s="29"/>
      <c r="AE13" s="25"/>
      <c r="AF13" s="163"/>
      <c r="AG13" s="2"/>
      <c r="AH13" s="3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168350.10310000001</v>
      </c>
      <c r="C14" s="40">
        <v>9918.8069275200032</v>
      </c>
      <c r="D14" s="76">
        <f t="shared" si="1"/>
        <v>178268.91002752</v>
      </c>
      <c r="E14" s="40">
        <v>2.8</v>
      </c>
      <c r="F14" s="76">
        <f t="shared" si="2"/>
        <v>178271.71002751999</v>
      </c>
      <c r="G14" s="40">
        <v>0</v>
      </c>
      <c r="H14" s="40">
        <v>0</v>
      </c>
      <c r="I14" s="40">
        <v>0</v>
      </c>
      <c r="J14" s="40">
        <v>805.91099999999994</v>
      </c>
      <c r="K14" s="40">
        <v>72.505899999999997</v>
      </c>
      <c r="L14" s="40">
        <v>0</v>
      </c>
      <c r="M14" s="40">
        <v>1124.2525000000001</v>
      </c>
      <c r="N14" s="40">
        <v>426.67879999999997</v>
      </c>
      <c r="O14" s="40">
        <v>535.48239999999998</v>
      </c>
      <c r="P14" s="40">
        <v>116.83814434</v>
      </c>
      <c r="Q14" s="40">
        <v>1920.5464999999999</v>
      </c>
      <c r="R14" s="40">
        <v>290.38030166684246</v>
      </c>
      <c r="S14" s="40">
        <v>0</v>
      </c>
      <c r="T14" s="40">
        <v>204.73401572053211</v>
      </c>
      <c r="U14" s="40">
        <v>0.5</v>
      </c>
      <c r="V14" s="40">
        <v>664.55160000000001</v>
      </c>
      <c r="W14" s="76">
        <f t="shared" si="0"/>
        <v>184434.09118924735</v>
      </c>
      <c r="X14" s="36"/>
      <c r="Y14" s="42">
        <v>4507.9120080000002</v>
      </c>
      <c r="Z14" s="38"/>
      <c r="AA14" s="43">
        <v>0</v>
      </c>
      <c r="AB14" s="36"/>
      <c r="AC14" s="76">
        <f t="shared" si="3"/>
        <v>188942.00319724737</v>
      </c>
      <c r="AD14" s="29"/>
      <c r="AE14" s="25"/>
      <c r="AF14" s="163"/>
      <c r="AG14" s="2"/>
      <c r="AH14" s="3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52443.540500000003</v>
      </c>
      <c r="C15" s="40">
        <v>4071.3560115999994</v>
      </c>
      <c r="D15" s="76">
        <f t="shared" si="1"/>
        <v>56514.896511600004</v>
      </c>
      <c r="E15" s="40">
        <v>2.0167000000000002</v>
      </c>
      <c r="F15" s="76">
        <f t="shared" si="2"/>
        <v>56516.913211600004</v>
      </c>
      <c r="G15" s="40">
        <v>0</v>
      </c>
      <c r="H15" s="40">
        <v>0</v>
      </c>
      <c r="I15" s="40">
        <v>0</v>
      </c>
      <c r="J15" s="40">
        <v>255.49029999999999</v>
      </c>
      <c r="K15" s="40">
        <v>28.363</v>
      </c>
      <c r="L15" s="40">
        <v>0</v>
      </c>
      <c r="M15" s="40">
        <v>439.78649999999999</v>
      </c>
      <c r="N15" s="40">
        <v>135.268</v>
      </c>
      <c r="O15" s="40">
        <v>455.27719999999999</v>
      </c>
      <c r="P15" s="40">
        <v>122.50280383</v>
      </c>
      <c r="Q15" s="40">
        <v>1336.0323999999998</v>
      </c>
      <c r="R15" s="40">
        <v>350.16829178455993</v>
      </c>
      <c r="S15" s="40">
        <v>0</v>
      </c>
      <c r="T15" s="40">
        <v>214.66012753770281</v>
      </c>
      <c r="U15" s="40">
        <v>3</v>
      </c>
      <c r="V15" s="40">
        <v>210.67959999999999</v>
      </c>
      <c r="W15" s="76">
        <f t="shared" si="0"/>
        <v>60068.141434752259</v>
      </c>
      <c r="X15" s="36"/>
      <c r="Y15" s="42">
        <v>858.5823959999999</v>
      </c>
      <c r="Z15" s="38"/>
      <c r="AA15" s="43">
        <v>0</v>
      </c>
      <c r="AB15" s="36"/>
      <c r="AC15" s="76">
        <f t="shared" si="3"/>
        <v>60926.723830752257</v>
      </c>
      <c r="AD15" s="29"/>
      <c r="AE15" s="25"/>
      <c r="AF15" s="163"/>
      <c r="AG15" s="2"/>
      <c r="AH15" s="34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165930.69680000001</v>
      </c>
      <c r="C16" s="40">
        <v>8552.580077999999</v>
      </c>
      <c r="D16" s="76">
        <f t="shared" si="1"/>
        <v>174483.276878</v>
      </c>
      <c r="E16" s="40">
        <v>5.6249000000000002</v>
      </c>
      <c r="F16" s="76">
        <f t="shared" si="2"/>
        <v>174488.901778</v>
      </c>
      <c r="G16" s="40">
        <v>0</v>
      </c>
      <c r="H16" s="40">
        <v>0</v>
      </c>
      <c r="I16" s="40">
        <v>0</v>
      </c>
      <c r="J16" s="40">
        <v>788.79700000000003</v>
      </c>
      <c r="K16" s="40">
        <v>125.1726</v>
      </c>
      <c r="L16" s="40">
        <v>0</v>
      </c>
      <c r="M16" s="40">
        <v>1940.8843999999999</v>
      </c>
      <c r="N16" s="40">
        <v>417.6114</v>
      </c>
      <c r="O16" s="40">
        <v>706.73480000000006</v>
      </c>
      <c r="P16" s="40">
        <v>100.55065064</v>
      </c>
      <c r="Q16" s="40">
        <v>1628.2893999999999</v>
      </c>
      <c r="R16" s="40">
        <v>276.91652847811628</v>
      </c>
      <c r="S16" s="40">
        <v>0</v>
      </c>
      <c r="T16" s="40">
        <v>176.19364468071865</v>
      </c>
      <c r="U16" s="40">
        <v>1.8</v>
      </c>
      <c r="V16" s="40">
        <v>650.42909999999995</v>
      </c>
      <c r="W16" s="76">
        <f t="shared" si="0"/>
        <v>181302.28130179885</v>
      </c>
      <c r="X16" s="36"/>
      <c r="Y16" s="42">
        <v>2083.4688599999999</v>
      </c>
      <c r="Z16" s="38"/>
      <c r="AA16" s="43">
        <v>0</v>
      </c>
      <c r="AB16" s="36"/>
      <c r="AC16" s="76">
        <f t="shared" si="3"/>
        <v>183385.75016179885</v>
      </c>
      <c r="AD16" s="29"/>
      <c r="AE16" s="25"/>
      <c r="AF16" s="163"/>
      <c r="AG16" s="2"/>
      <c r="AH16" s="34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124295.3217</v>
      </c>
      <c r="C17" s="40">
        <v>5792.8018419999999</v>
      </c>
      <c r="D17" s="76">
        <f t="shared" si="1"/>
        <v>130088.123542</v>
      </c>
      <c r="E17" s="40">
        <v>1.7251000000000001</v>
      </c>
      <c r="F17" s="76">
        <f t="shared" si="2"/>
        <v>130089.848642</v>
      </c>
      <c r="G17" s="40">
        <v>0</v>
      </c>
      <c r="H17" s="40">
        <v>0</v>
      </c>
      <c r="I17" s="40">
        <v>0</v>
      </c>
      <c r="J17" s="40">
        <v>588.09719999999993</v>
      </c>
      <c r="K17" s="40">
        <v>33.774699999999996</v>
      </c>
      <c r="L17" s="40">
        <v>0</v>
      </c>
      <c r="M17" s="40">
        <v>523.69870000000003</v>
      </c>
      <c r="N17" s="40">
        <v>311.36090000000002</v>
      </c>
      <c r="O17" s="40">
        <v>367.71120000000002</v>
      </c>
      <c r="P17" s="40">
        <v>135.01252125999997</v>
      </c>
      <c r="Q17" s="40">
        <v>1670.0403999999999</v>
      </c>
      <c r="R17" s="40">
        <v>299.95787740310845</v>
      </c>
      <c r="S17" s="40">
        <v>0</v>
      </c>
      <c r="T17" s="40">
        <v>236.58074855962343</v>
      </c>
      <c r="U17" s="40">
        <v>2.2000000000000002</v>
      </c>
      <c r="V17" s="40">
        <v>484.94409999999999</v>
      </c>
      <c r="W17" s="76">
        <f t="shared" si="0"/>
        <v>134743.22698922272</v>
      </c>
      <c r="X17" s="36"/>
      <c r="Y17" s="42">
        <v>2223.4965480000001</v>
      </c>
      <c r="Z17" s="38"/>
      <c r="AA17" s="43">
        <v>0</v>
      </c>
      <c r="AB17" s="36"/>
      <c r="AC17" s="76">
        <f t="shared" si="3"/>
        <v>136966.72353722272</v>
      </c>
      <c r="AD17" s="29"/>
      <c r="AE17" s="25"/>
      <c r="AF17" s="163"/>
      <c r="AG17" s="2"/>
      <c r="AH17" s="34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95976.919099999999</v>
      </c>
      <c r="C18" s="40">
        <v>5546.8810090400002</v>
      </c>
      <c r="D18" s="76">
        <f t="shared" si="1"/>
        <v>101523.80010903999</v>
      </c>
      <c r="E18" s="40">
        <v>2.7749999999999999</v>
      </c>
      <c r="F18" s="76">
        <f t="shared" si="2"/>
        <v>101526.57510903999</v>
      </c>
      <c r="G18" s="40">
        <v>0</v>
      </c>
      <c r="H18" s="40">
        <v>0</v>
      </c>
      <c r="I18" s="40">
        <v>0</v>
      </c>
      <c r="J18" s="40">
        <v>458.96469999999999</v>
      </c>
      <c r="K18" s="40">
        <v>0</v>
      </c>
      <c r="L18" s="40">
        <v>0</v>
      </c>
      <c r="M18" s="40">
        <v>0</v>
      </c>
      <c r="N18" s="40">
        <v>242.9879</v>
      </c>
      <c r="O18" s="40">
        <v>376.28500000000003</v>
      </c>
      <c r="P18" s="40">
        <v>108.9502758</v>
      </c>
      <c r="Q18" s="40">
        <v>1252.5303000000001</v>
      </c>
      <c r="R18" s="40">
        <v>303.60882174190533</v>
      </c>
      <c r="S18" s="40">
        <v>0</v>
      </c>
      <c r="T18" s="40">
        <v>190.91220253605158</v>
      </c>
      <c r="U18" s="40">
        <v>2.2000000000000002</v>
      </c>
      <c r="V18" s="40">
        <v>378.45320000000004</v>
      </c>
      <c r="W18" s="76">
        <f t="shared" si="0"/>
        <v>104841.46750911794</v>
      </c>
      <c r="X18" s="36"/>
      <c r="Y18" s="42">
        <v>2150.2941299999998</v>
      </c>
      <c r="Z18" s="38"/>
      <c r="AA18" s="43">
        <v>0</v>
      </c>
      <c r="AB18" s="36"/>
      <c r="AC18" s="76">
        <f t="shared" si="3"/>
        <v>106991.76163911793</v>
      </c>
      <c r="AD18" s="29"/>
      <c r="AE18" s="25"/>
      <c r="AF18" s="163"/>
      <c r="AG18" s="2"/>
      <c r="AH18" s="3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65519.694299999996</v>
      </c>
      <c r="C19" s="40">
        <v>2896.4009209599999</v>
      </c>
      <c r="D19" s="76">
        <f t="shared" si="1"/>
        <v>68416.095220959993</v>
      </c>
      <c r="E19" s="40">
        <v>1.6</v>
      </c>
      <c r="F19" s="76">
        <f t="shared" si="2"/>
        <v>68417.695220959999</v>
      </c>
      <c r="G19" s="40">
        <v>0</v>
      </c>
      <c r="H19" s="40">
        <v>0</v>
      </c>
      <c r="I19" s="40">
        <v>0</v>
      </c>
      <c r="J19" s="40">
        <v>309.25880000000001</v>
      </c>
      <c r="K19" s="40">
        <v>24.906400000000001</v>
      </c>
      <c r="L19" s="40">
        <v>2.0000000000000002E-7</v>
      </c>
      <c r="M19" s="40">
        <v>386.25920000000002</v>
      </c>
      <c r="N19" s="40">
        <v>163.73140000000001</v>
      </c>
      <c r="O19" s="40">
        <v>474.32159999999999</v>
      </c>
      <c r="P19" s="40">
        <v>96.717488370000012</v>
      </c>
      <c r="Q19" s="40">
        <v>851.19319999999993</v>
      </c>
      <c r="R19" s="40">
        <v>381.69532205329858</v>
      </c>
      <c r="S19" s="40">
        <v>0</v>
      </c>
      <c r="T19" s="40">
        <v>169.47684247936508</v>
      </c>
      <c r="U19" s="40">
        <v>2.5</v>
      </c>
      <c r="V19" s="40">
        <v>255.01129999999998</v>
      </c>
      <c r="W19" s="76">
        <f t="shared" si="0"/>
        <v>71532.766774062664</v>
      </c>
      <c r="X19" s="36"/>
      <c r="Y19" s="42">
        <v>0</v>
      </c>
      <c r="Z19" s="38"/>
      <c r="AA19" s="43">
        <v>0</v>
      </c>
      <c r="AB19" s="36"/>
      <c r="AC19" s="76">
        <f t="shared" si="3"/>
        <v>71532.766774062664</v>
      </c>
      <c r="AD19" s="29"/>
      <c r="AE19" s="25"/>
      <c r="AF19" s="163"/>
      <c r="AG19" s="2"/>
      <c r="AH19" s="34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70685.653200000001</v>
      </c>
      <c r="C20" s="40">
        <v>3306.2689758400002</v>
      </c>
      <c r="D20" s="76">
        <f t="shared" si="1"/>
        <v>73991.922175839994</v>
      </c>
      <c r="E20" s="40">
        <v>1.6916</v>
      </c>
      <c r="F20" s="76">
        <f t="shared" si="2"/>
        <v>73993.61377584</v>
      </c>
      <c r="G20" s="40">
        <v>0</v>
      </c>
      <c r="H20" s="40">
        <v>0</v>
      </c>
      <c r="I20" s="40">
        <v>0</v>
      </c>
      <c r="J20" s="40">
        <v>334.49970000000002</v>
      </c>
      <c r="K20" s="40">
        <v>0</v>
      </c>
      <c r="L20" s="40">
        <v>0</v>
      </c>
      <c r="M20" s="40">
        <v>0</v>
      </c>
      <c r="N20" s="40">
        <v>177.09570000000002</v>
      </c>
      <c r="O20" s="40">
        <v>367.70830000000001</v>
      </c>
      <c r="P20" s="40">
        <v>127.42739609000002</v>
      </c>
      <c r="Q20" s="40">
        <v>835.02019999999993</v>
      </c>
      <c r="R20" s="40">
        <v>355.53254033241717</v>
      </c>
      <c r="S20" s="40">
        <v>0</v>
      </c>
      <c r="T20" s="40">
        <v>223.28942882284704</v>
      </c>
      <c r="U20" s="40">
        <v>2.2000000000000002</v>
      </c>
      <c r="V20" s="40">
        <v>275.82620000000003</v>
      </c>
      <c r="W20" s="76">
        <f t="shared" si="0"/>
        <v>76692.213241085265</v>
      </c>
      <c r="X20" s="36"/>
      <c r="Y20" s="42">
        <v>673.58527200000003</v>
      </c>
      <c r="Z20" s="38"/>
      <c r="AA20" s="43">
        <v>0</v>
      </c>
      <c r="AB20" s="36"/>
      <c r="AC20" s="76">
        <f t="shared" si="3"/>
        <v>77365.798513085261</v>
      </c>
      <c r="AD20" s="29"/>
      <c r="AE20" s="25"/>
      <c r="AF20" s="163"/>
      <c r="AG20" s="2"/>
      <c r="AH20" s="34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136528.97630000001</v>
      </c>
      <c r="C21" s="40">
        <v>12487.313404640001</v>
      </c>
      <c r="D21" s="76">
        <f t="shared" si="1"/>
        <v>149016.28970464002</v>
      </c>
      <c r="E21" s="40">
        <v>5.1416000000000004</v>
      </c>
      <c r="F21" s="76">
        <f t="shared" si="2"/>
        <v>149021.43130464002</v>
      </c>
      <c r="G21" s="40">
        <v>0</v>
      </c>
      <c r="H21" s="40">
        <v>0</v>
      </c>
      <c r="I21" s="40">
        <v>0</v>
      </c>
      <c r="J21" s="40">
        <v>673.66690000000006</v>
      </c>
      <c r="K21" s="40">
        <v>0</v>
      </c>
      <c r="L21" s="40">
        <v>0</v>
      </c>
      <c r="M21" s="40">
        <v>0</v>
      </c>
      <c r="N21" s="40">
        <v>356.6635</v>
      </c>
      <c r="O21" s="40">
        <v>744.81790000000001</v>
      </c>
      <c r="P21" s="40">
        <v>98.908368039999999</v>
      </c>
      <c r="Q21" s="40">
        <v>1670.0403999999999</v>
      </c>
      <c r="R21" s="40">
        <v>223.12751402534403</v>
      </c>
      <c r="S21" s="40">
        <v>0</v>
      </c>
      <c r="T21" s="40">
        <v>173.31589345976053</v>
      </c>
      <c r="U21" s="40">
        <v>2.2000000000000002</v>
      </c>
      <c r="V21" s="40">
        <v>555.5027</v>
      </c>
      <c r="W21" s="76">
        <f t="shared" si="0"/>
        <v>153519.67448016515</v>
      </c>
      <c r="X21" s="36"/>
      <c r="Y21" s="42">
        <v>3151.9004759999998</v>
      </c>
      <c r="Z21" s="38"/>
      <c r="AA21" s="43">
        <v>0</v>
      </c>
      <c r="AB21" s="36"/>
      <c r="AC21" s="76">
        <f t="shared" si="3"/>
        <v>156671.57495616516</v>
      </c>
      <c r="AD21" s="29"/>
      <c r="AE21" s="25"/>
      <c r="AF21" s="163"/>
      <c r="AG21" s="2"/>
      <c r="AH21" s="34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107522.98020000001</v>
      </c>
      <c r="C22" s="40">
        <v>10519.94674128</v>
      </c>
      <c r="D22" s="76">
        <f t="shared" si="1"/>
        <v>118042.92694128001</v>
      </c>
      <c r="E22" s="40">
        <v>2.8416999999999999</v>
      </c>
      <c r="F22" s="76">
        <f t="shared" si="2"/>
        <v>118045.76864128001</v>
      </c>
      <c r="G22" s="40">
        <v>0</v>
      </c>
      <c r="H22" s="40">
        <v>0</v>
      </c>
      <c r="I22" s="40">
        <v>0</v>
      </c>
      <c r="J22" s="40">
        <v>533.64380000000006</v>
      </c>
      <c r="K22" s="40">
        <v>39.597099999999998</v>
      </c>
      <c r="L22" s="40">
        <v>0</v>
      </c>
      <c r="M22" s="40">
        <v>613.97980000000007</v>
      </c>
      <c r="N22" s="40">
        <v>282.52499999999998</v>
      </c>
      <c r="O22" s="40">
        <v>528.20080000000007</v>
      </c>
      <c r="P22" s="40">
        <v>127.93689715999999</v>
      </c>
      <c r="Q22" s="40">
        <v>1962.2974999999999</v>
      </c>
      <c r="R22" s="40">
        <v>255.52526844983987</v>
      </c>
      <c r="S22" s="40">
        <v>0</v>
      </c>
      <c r="T22" s="40">
        <v>224.18222117182907</v>
      </c>
      <c r="U22" s="40">
        <v>2.2000000000000002</v>
      </c>
      <c r="V22" s="40">
        <v>440.03219999999999</v>
      </c>
      <c r="W22" s="76">
        <f t="shared" si="0"/>
        <v>123055.88922806169</v>
      </c>
      <c r="X22" s="36"/>
      <c r="Y22" s="42">
        <v>4161.6331200000004</v>
      </c>
      <c r="Z22" s="38"/>
      <c r="AA22" s="43">
        <v>0</v>
      </c>
      <c r="AB22" s="36"/>
      <c r="AC22" s="76">
        <f t="shared" si="3"/>
        <v>127217.52234806168</v>
      </c>
      <c r="AD22" s="29"/>
      <c r="AE22" s="25"/>
      <c r="AF22" s="163"/>
      <c r="AG22" s="2"/>
      <c r="AH22" s="34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57403.4254</v>
      </c>
      <c r="C23" s="40">
        <v>4617.8467513599999</v>
      </c>
      <c r="D23" s="76">
        <f t="shared" si="1"/>
        <v>62021.272151359997</v>
      </c>
      <c r="E23" s="40">
        <v>1.4499</v>
      </c>
      <c r="F23" s="76">
        <f t="shared" si="2"/>
        <v>62022.722051359997</v>
      </c>
      <c r="G23" s="40">
        <v>0</v>
      </c>
      <c r="H23" s="40">
        <v>0</v>
      </c>
      <c r="I23" s="40">
        <v>0</v>
      </c>
      <c r="J23" s="40">
        <v>280.38329999999996</v>
      </c>
      <c r="K23" s="40">
        <v>17.808</v>
      </c>
      <c r="L23" s="40">
        <v>0</v>
      </c>
      <c r="M23" s="40">
        <v>276.12400000000002</v>
      </c>
      <c r="N23" s="40">
        <v>148.44120000000001</v>
      </c>
      <c r="O23" s="40">
        <v>566.85430000000008</v>
      </c>
      <c r="P23" s="40">
        <v>113.61046883</v>
      </c>
      <c r="Q23" s="40">
        <v>1795.2935</v>
      </c>
      <c r="R23" s="40">
        <v>306.67351596126304</v>
      </c>
      <c r="S23" s="40">
        <v>0</v>
      </c>
      <c r="T23" s="40">
        <v>199.07820038458681</v>
      </c>
      <c r="U23" s="40">
        <v>2.5</v>
      </c>
      <c r="V23" s="40">
        <v>231.197</v>
      </c>
      <c r="W23" s="76">
        <f t="shared" si="0"/>
        <v>65960.68553653585</v>
      </c>
      <c r="X23" s="36"/>
      <c r="Y23" s="42">
        <v>1154.7096839999999</v>
      </c>
      <c r="Z23" s="38"/>
      <c r="AA23" s="43">
        <v>0</v>
      </c>
      <c r="AB23" s="36"/>
      <c r="AC23" s="76">
        <f t="shared" si="3"/>
        <v>67115.395220535851</v>
      </c>
      <c r="AD23" s="29"/>
      <c r="AE23" s="25"/>
      <c r="AF23" s="163"/>
      <c r="AG23" s="2"/>
      <c r="AH23" s="34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85166.510200000004</v>
      </c>
      <c r="C24" s="40">
        <v>5000.3902692799993</v>
      </c>
      <c r="D24" s="76">
        <f t="shared" si="1"/>
        <v>90166.900469280008</v>
      </c>
      <c r="E24" s="40">
        <v>1.2167000000000001</v>
      </c>
      <c r="F24" s="76">
        <f t="shared" si="2"/>
        <v>90168.117169280013</v>
      </c>
      <c r="G24" s="40">
        <v>0</v>
      </c>
      <c r="H24" s="40">
        <v>0</v>
      </c>
      <c r="I24" s="40">
        <v>0</v>
      </c>
      <c r="J24" s="40">
        <v>407.62290000000002</v>
      </c>
      <c r="K24" s="40">
        <v>0</v>
      </c>
      <c r="L24" s="40">
        <v>0</v>
      </c>
      <c r="M24" s="40">
        <v>0</v>
      </c>
      <c r="N24" s="40">
        <v>215.8116</v>
      </c>
      <c r="O24" s="40">
        <v>450.47070000000002</v>
      </c>
      <c r="P24" s="40">
        <v>105.56446198</v>
      </c>
      <c r="Q24" s="40">
        <v>1878.7954999999999</v>
      </c>
      <c r="R24" s="40">
        <v>230.65668708592654</v>
      </c>
      <c r="S24" s="40">
        <v>0</v>
      </c>
      <c r="T24" s="40">
        <v>184.97928343874827</v>
      </c>
      <c r="U24" s="40">
        <v>2.5</v>
      </c>
      <c r="V24" s="40">
        <v>336.12609999999995</v>
      </c>
      <c r="W24" s="76">
        <f t="shared" si="0"/>
        <v>93980.644401784681</v>
      </c>
      <c r="X24" s="36"/>
      <c r="Y24" s="42">
        <v>1080.740016</v>
      </c>
      <c r="Z24" s="38"/>
      <c r="AA24" s="43">
        <v>0</v>
      </c>
      <c r="AB24" s="36"/>
      <c r="AC24" s="76">
        <f t="shared" si="3"/>
        <v>95061.384417784677</v>
      </c>
      <c r="AD24" s="29"/>
      <c r="AE24" s="25"/>
      <c r="AF24" s="163"/>
      <c r="AG24" s="2"/>
      <c r="AH24" s="34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126478.4709</v>
      </c>
      <c r="C25" s="40">
        <v>10492.62220432</v>
      </c>
      <c r="D25" s="76">
        <f t="shared" si="1"/>
        <v>136971.09310432</v>
      </c>
      <c r="E25" s="40">
        <v>3.3167</v>
      </c>
      <c r="F25" s="76">
        <f t="shared" si="2"/>
        <v>136974.40980431999</v>
      </c>
      <c r="G25" s="40">
        <v>0</v>
      </c>
      <c r="H25" s="40">
        <v>0</v>
      </c>
      <c r="I25" s="40">
        <v>0</v>
      </c>
      <c r="J25" s="40">
        <v>619.21349999999995</v>
      </c>
      <c r="K25" s="40">
        <v>0</v>
      </c>
      <c r="L25" s="40">
        <v>0</v>
      </c>
      <c r="M25" s="40">
        <v>0</v>
      </c>
      <c r="N25" s="40">
        <v>327.83609999999999</v>
      </c>
      <c r="O25" s="40">
        <v>554.67899999999997</v>
      </c>
      <c r="P25" s="40">
        <v>107.99693488</v>
      </c>
      <c r="Q25" s="40">
        <v>1670.0403999999999</v>
      </c>
      <c r="R25" s="40">
        <v>363.17471665953258</v>
      </c>
      <c r="S25" s="40">
        <v>0</v>
      </c>
      <c r="T25" s="40">
        <v>189.24167520830304</v>
      </c>
      <c r="U25" s="40">
        <v>2.5</v>
      </c>
      <c r="V25" s="40">
        <v>510.60429999999997</v>
      </c>
      <c r="W25" s="76">
        <f t="shared" si="0"/>
        <v>141319.69643106783</v>
      </c>
      <c r="X25" s="36"/>
      <c r="Y25" s="42">
        <v>5862.40092</v>
      </c>
      <c r="Z25" s="38"/>
      <c r="AA25" s="43">
        <v>0</v>
      </c>
      <c r="AB25" s="36"/>
      <c r="AC25" s="76">
        <f t="shared" si="3"/>
        <v>147182.09735106782</v>
      </c>
      <c r="AD25" s="29"/>
      <c r="AE25" s="25"/>
      <c r="AF25" s="163"/>
      <c r="AG25" s="2"/>
      <c r="AH25" s="34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113937.656</v>
      </c>
      <c r="C26" s="40">
        <v>6858.4587845599999</v>
      </c>
      <c r="D26" s="76">
        <f t="shared" si="1"/>
        <v>120796.11478456001</v>
      </c>
      <c r="E26" s="40">
        <v>2.5083000000000002</v>
      </c>
      <c r="F26" s="76">
        <f t="shared" si="2"/>
        <v>120798.62308456001</v>
      </c>
      <c r="G26" s="40">
        <v>0</v>
      </c>
      <c r="H26" s="40">
        <v>0</v>
      </c>
      <c r="I26" s="40">
        <v>0</v>
      </c>
      <c r="J26" s="40">
        <v>546.09030000000007</v>
      </c>
      <c r="K26" s="40">
        <v>0</v>
      </c>
      <c r="L26" s="40">
        <v>0</v>
      </c>
      <c r="M26" s="40">
        <v>0</v>
      </c>
      <c r="N26" s="40">
        <v>289.12020000000001</v>
      </c>
      <c r="O26" s="40">
        <v>406.50850000000003</v>
      </c>
      <c r="P26" s="40">
        <v>100.05092356999999</v>
      </c>
      <c r="Q26" s="40">
        <v>1523.9118999999998</v>
      </c>
      <c r="R26" s="40">
        <v>222.39750265318349</v>
      </c>
      <c r="S26" s="40">
        <v>0</v>
      </c>
      <c r="T26" s="40">
        <v>175.31797919029788</v>
      </c>
      <c r="U26" s="40">
        <v>2.2000000000000002</v>
      </c>
      <c r="V26" s="40">
        <v>450.30430000000001</v>
      </c>
      <c r="W26" s="76">
        <f t="shared" si="0"/>
        <v>124514.52468997349</v>
      </c>
      <c r="X26" s="36"/>
      <c r="Y26" s="42">
        <v>1359.497394</v>
      </c>
      <c r="Z26" s="38"/>
      <c r="AA26" s="43">
        <v>0</v>
      </c>
      <c r="AB26" s="36"/>
      <c r="AC26" s="76">
        <f t="shared" si="3"/>
        <v>125874.0220839735</v>
      </c>
      <c r="AD26" s="29"/>
      <c r="AE26" s="25"/>
      <c r="AF26" s="163"/>
      <c r="AG26" s="2"/>
      <c r="AH26" s="3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77601.130700000009</v>
      </c>
      <c r="C27" s="40">
        <v>3962.0578635999996</v>
      </c>
      <c r="D27" s="76">
        <f t="shared" si="1"/>
        <v>81563.188563600008</v>
      </c>
      <c r="E27" s="40">
        <v>1.5751000000000002</v>
      </c>
      <c r="F27" s="76">
        <f t="shared" si="2"/>
        <v>81564.76366360001</v>
      </c>
      <c r="G27" s="40">
        <v>0</v>
      </c>
      <c r="H27" s="40">
        <v>0</v>
      </c>
      <c r="I27" s="40">
        <v>0</v>
      </c>
      <c r="J27" s="40">
        <v>368.7276</v>
      </c>
      <c r="K27" s="40">
        <v>0</v>
      </c>
      <c r="L27" s="40">
        <v>0</v>
      </c>
      <c r="M27" s="40">
        <v>0</v>
      </c>
      <c r="N27" s="40">
        <v>195.2132</v>
      </c>
      <c r="O27" s="40">
        <v>344.25850000000003</v>
      </c>
      <c r="P27" s="40">
        <v>98.012167430000005</v>
      </c>
      <c r="Q27" s="40">
        <v>1523.9118999999998</v>
      </c>
      <c r="R27" s="40">
        <v>252.71079637646019</v>
      </c>
      <c r="S27" s="40">
        <v>0</v>
      </c>
      <c r="T27" s="40">
        <v>171.74549236707969</v>
      </c>
      <c r="U27" s="40">
        <v>2.2000000000000002</v>
      </c>
      <c r="V27" s="40">
        <v>304.04429999999996</v>
      </c>
      <c r="W27" s="76">
        <f t="shared" si="0"/>
        <v>84825.587619773534</v>
      </c>
      <c r="X27" s="36"/>
      <c r="Y27" s="42">
        <v>0</v>
      </c>
      <c r="Z27" s="38"/>
      <c r="AA27" s="43">
        <v>0</v>
      </c>
      <c r="AB27" s="36"/>
      <c r="AC27" s="76">
        <f t="shared" si="3"/>
        <v>84825.587619773534</v>
      </c>
      <c r="AD27" s="29"/>
      <c r="AE27" s="25"/>
      <c r="AF27" s="163"/>
      <c r="AG27" s="2"/>
      <c r="AH27" s="34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54383.582600000002</v>
      </c>
      <c r="C28" s="40">
        <v>2131.3138852800002</v>
      </c>
      <c r="D28" s="76">
        <f t="shared" si="1"/>
        <v>56514.896485279998</v>
      </c>
      <c r="E28" s="40">
        <v>0.70829999999999993</v>
      </c>
      <c r="F28" s="76">
        <f t="shared" si="2"/>
        <v>56515.604785279997</v>
      </c>
      <c r="G28" s="40">
        <v>0</v>
      </c>
      <c r="H28" s="40">
        <v>0</v>
      </c>
      <c r="I28" s="40">
        <v>0</v>
      </c>
      <c r="J28" s="40">
        <v>255.49029999999999</v>
      </c>
      <c r="K28" s="40">
        <v>23.09</v>
      </c>
      <c r="L28" s="40">
        <v>0</v>
      </c>
      <c r="M28" s="40">
        <v>358.0256</v>
      </c>
      <c r="N28" s="40">
        <v>135.268</v>
      </c>
      <c r="O28" s="40">
        <v>363.8605</v>
      </c>
      <c r="P28" s="40">
        <v>137.90863261000001</v>
      </c>
      <c r="Q28" s="40">
        <v>1336.0323999999998</v>
      </c>
      <c r="R28" s="40">
        <v>539.46820762739378</v>
      </c>
      <c r="S28" s="40">
        <v>0</v>
      </c>
      <c r="T28" s="40">
        <v>241.65556819623404</v>
      </c>
      <c r="U28" s="40">
        <v>3</v>
      </c>
      <c r="V28" s="40">
        <v>210.67959999999999</v>
      </c>
      <c r="W28" s="76">
        <f t="shared" si="0"/>
        <v>60120.083593713622</v>
      </c>
      <c r="X28" s="36"/>
      <c r="Y28" s="42">
        <v>187.775712</v>
      </c>
      <c r="Z28" s="38"/>
      <c r="AA28" s="43">
        <v>0</v>
      </c>
      <c r="AB28" s="36"/>
      <c r="AC28" s="76">
        <f t="shared" si="3"/>
        <v>60307.859305713624</v>
      </c>
      <c r="AD28" s="29"/>
      <c r="AE28" s="25"/>
      <c r="AF28" s="163"/>
      <c r="AG28" s="2"/>
      <c r="AH28" s="34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307364.97700000001</v>
      </c>
      <c r="C29" s="40">
        <v>18225.466172560002</v>
      </c>
      <c r="D29" s="76">
        <f t="shared" si="1"/>
        <v>325590.44317256002</v>
      </c>
      <c r="E29" s="40">
        <v>11.290799999999999</v>
      </c>
      <c r="F29" s="76">
        <f t="shared" si="2"/>
        <v>325601.73397256003</v>
      </c>
      <c r="G29" s="40">
        <v>0</v>
      </c>
      <c r="H29" s="40">
        <v>0</v>
      </c>
      <c r="I29" s="40">
        <v>0</v>
      </c>
      <c r="J29" s="40">
        <v>1471.7548000000002</v>
      </c>
      <c r="K29" s="40">
        <v>317.44130000000001</v>
      </c>
      <c r="L29" s="40">
        <v>7.7999999999999994E-7</v>
      </c>
      <c r="M29" s="40">
        <v>4923.0201999999999</v>
      </c>
      <c r="N29" s="40">
        <v>779.2</v>
      </c>
      <c r="O29" s="40">
        <v>1614.3806999999999</v>
      </c>
      <c r="P29" s="40">
        <v>86.89461845000001</v>
      </c>
      <c r="Q29" s="40">
        <v>2404.6207000000004</v>
      </c>
      <c r="R29" s="40">
        <v>180.39958661102395</v>
      </c>
      <c r="S29" s="40">
        <v>0</v>
      </c>
      <c r="T29" s="40">
        <v>152.26435066181008</v>
      </c>
      <c r="U29" s="40">
        <v>0.5</v>
      </c>
      <c r="V29" s="40">
        <v>1213.6022</v>
      </c>
      <c r="W29" s="76">
        <f t="shared" si="0"/>
        <v>338745.81242906296</v>
      </c>
      <c r="X29" s="36"/>
      <c r="Y29" s="42">
        <v>3452.08356</v>
      </c>
      <c r="Z29" s="38"/>
      <c r="AA29" s="43">
        <v>0</v>
      </c>
      <c r="AB29" s="36"/>
      <c r="AC29" s="76">
        <f t="shared" si="3"/>
        <v>342197.89598906296</v>
      </c>
      <c r="AD29" s="29"/>
      <c r="AE29" s="25"/>
      <c r="AF29" s="163"/>
      <c r="AG29" s="2"/>
      <c r="AH29" s="34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138595.27409999998</v>
      </c>
      <c r="C30" s="40">
        <v>9044.4217438399974</v>
      </c>
      <c r="D30" s="76">
        <f t="shared" si="1"/>
        <v>147639.69584383999</v>
      </c>
      <c r="E30" s="40">
        <v>2.6333000000000002</v>
      </c>
      <c r="F30" s="76">
        <f t="shared" si="2"/>
        <v>147642.32914383998</v>
      </c>
      <c r="G30" s="40">
        <v>0</v>
      </c>
      <c r="H30" s="40">
        <v>0</v>
      </c>
      <c r="I30" s="40">
        <v>0</v>
      </c>
      <c r="J30" s="40">
        <v>667.44369999999992</v>
      </c>
      <c r="K30" s="40">
        <v>0</v>
      </c>
      <c r="L30" s="40">
        <v>0</v>
      </c>
      <c r="M30" s="40">
        <v>0</v>
      </c>
      <c r="N30" s="40">
        <v>353.37009999999998</v>
      </c>
      <c r="O30" s="40">
        <v>725.96219999999994</v>
      </c>
      <c r="P30" s="40">
        <v>115.85798758</v>
      </c>
      <c r="Q30" s="40">
        <v>1795.2935</v>
      </c>
      <c r="R30" s="40">
        <v>296.52131563611005</v>
      </c>
      <c r="S30" s="40">
        <v>0</v>
      </c>
      <c r="T30" s="40">
        <v>203.01649930392668</v>
      </c>
      <c r="U30" s="40">
        <v>2.2000000000000002</v>
      </c>
      <c r="V30" s="40">
        <v>550.37340000000006</v>
      </c>
      <c r="W30" s="76">
        <f t="shared" si="0"/>
        <v>152352.36784636005</v>
      </c>
      <c r="X30" s="36"/>
      <c r="Y30" s="42">
        <v>3647.3515739999998</v>
      </c>
      <c r="Z30" s="38"/>
      <c r="AA30" s="43">
        <v>0</v>
      </c>
      <c r="AB30" s="36"/>
      <c r="AC30" s="76">
        <f t="shared" si="3"/>
        <v>155999.71942036005</v>
      </c>
      <c r="AD30" s="29"/>
      <c r="AE30" s="25"/>
      <c r="AF30" s="163"/>
      <c r="AG30" s="2"/>
      <c r="AH30" s="3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158696.9884</v>
      </c>
      <c r="C31" s="40">
        <v>11312.358313999999</v>
      </c>
      <c r="D31" s="76">
        <f t="shared" si="1"/>
        <v>170009.34671400001</v>
      </c>
      <c r="E31" s="40">
        <v>4.6500000000000004</v>
      </c>
      <c r="F31" s="76">
        <f t="shared" si="2"/>
        <v>170013.99671400001</v>
      </c>
      <c r="G31" s="40">
        <v>0</v>
      </c>
      <c r="H31" s="40">
        <v>0</v>
      </c>
      <c r="I31" s="40">
        <v>0</v>
      </c>
      <c r="J31" s="40">
        <v>768.57150000000001</v>
      </c>
      <c r="K31" s="40">
        <v>0</v>
      </c>
      <c r="L31" s="40">
        <v>0</v>
      </c>
      <c r="M31" s="40">
        <v>0</v>
      </c>
      <c r="N31" s="40">
        <v>406.91030000000001</v>
      </c>
      <c r="O31" s="40">
        <v>539.58990000000006</v>
      </c>
      <c r="P31" s="40">
        <v>89.235867370000008</v>
      </c>
      <c r="Q31" s="40">
        <v>1753.5425</v>
      </c>
      <c r="R31" s="40">
        <v>269.62286100169291</v>
      </c>
      <c r="S31" s="40">
        <v>0</v>
      </c>
      <c r="T31" s="40">
        <v>156.36689175984614</v>
      </c>
      <c r="U31" s="40">
        <v>2.2000000000000002</v>
      </c>
      <c r="V31" s="40">
        <v>633.76210000000003</v>
      </c>
      <c r="W31" s="76">
        <f t="shared" si="0"/>
        <v>174633.79863413156</v>
      </c>
      <c r="X31" s="36"/>
      <c r="Y31" s="42">
        <v>6740.1801500000001</v>
      </c>
      <c r="Z31" s="38"/>
      <c r="AA31" s="43">
        <v>0</v>
      </c>
      <c r="AB31" s="36"/>
      <c r="AC31" s="76">
        <f t="shared" si="3"/>
        <v>181373.97878413156</v>
      </c>
      <c r="AD31" s="29"/>
      <c r="AE31" s="25"/>
      <c r="AF31" s="163"/>
      <c r="AG31" s="2"/>
      <c r="AH31" s="34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43035.144700000004</v>
      </c>
      <c r="C32" s="40">
        <v>1038.3324056000001</v>
      </c>
      <c r="D32" s="76">
        <f t="shared" si="1"/>
        <v>44073.477105600003</v>
      </c>
      <c r="E32" s="40">
        <v>1</v>
      </c>
      <c r="F32" s="76">
        <f t="shared" si="2"/>
        <v>44074.477105600003</v>
      </c>
      <c r="G32" s="40">
        <v>0</v>
      </c>
      <c r="H32" s="40">
        <v>0</v>
      </c>
      <c r="I32" s="40">
        <v>0</v>
      </c>
      <c r="J32" s="40">
        <v>199.24420000000001</v>
      </c>
      <c r="K32" s="40">
        <v>2.0480999999999998</v>
      </c>
      <c r="L32" s="40">
        <v>0</v>
      </c>
      <c r="M32" s="40">
        <v>31.7576</v>
      </c>
      <c r="N32" s="40">
        <v>105.4898</v>
      </c>
      <c r="O32" s="40">
        <v>297.185</v>
      </c>
      <c r="P32" s="40">
        <v>101.41702802</v>
      </c>
      <c r="Q32" s="40">
        <v>1106.4018000000001</v>
      </c>
      <c r="R32" s="40">
        <v>178.00784559158561</v>
      </c>
      <c r="S32" s="40">
        <v>0</v>
      </c>
      <c r="T32" s="40">
        <v>177.71178689538215</v>
      </c>
      <c r="U32" s="40">
        <v>3</v>
      </c>
      <c r="V32" s="40">
        <v>164.30020000000002</v>
      </c>
      <c r="W32" s="76">
        <f t="shared" si="0"/>
        <v>46441.040466106962</v>
      </c>
      <c r="X32" s="36"/>
      <c r="Y32" s="42">
        <v>95.438412</v>
      </c>
      <c r="Z32" s="38"/>
      <c r="AA32" s="37">
        <v>0</v>
      </c>
      <c r="AB32" s="36"/>
      <c r="AC32" s="76">
        <f t="shared" si="3"/>
        <v>46536.478878106966</v>
      </c>
      <c r="AD32" s="29"/>
      <c r="AE32" s="25"/>
      <c r="AF32" s="163"/>
      <c r="AG32" s="2"/>
      <c r="AH32" s="34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>SUM(B10:B32)</f>
        <v>3359945.4285000004</v>
      </c>
      <c r="C33" s="79">
        <f>SUM(C10:C32)</f>
        <v>259063.93520592002</v>
      </c>
      <c r="D33" s="79">
        <f>SUM(D10:D32)</f>
        <v>3619009.3637059196</v>
      </c>
      <c r="E33" s="79">
        <f t="shared" ref="E33:W33" si="4">SUM(E10:E32)</f>
        <v>107.0158</v>
      </c>
      <c r="F33" s="79">
        <f>SUM(F10:F32)</f>
        <v>3619116.3795059202</v>
      </c>
      <c r="G33" s="79">
        <f t="shared" si="4"/>
        <v>0</v>
      </c>
      <c r="H33" s="79">
        <f t="shared" si="4"/>
        <v>0</v>
      </c>
      <c r="I33" s="79">
        <f t="shared" si="4"/>
        <v>0</v>
      </c>
      <c r="J33" s="79">
        <f t="shared" si="4"/>
        <v>16360.4764</v>
      </c>
      <c r="K33" s="79">
        <f t="shared" si="4"/>
        <v>1909.9540999999999</v>
      </c>
      <c r="L33" s="79">
        <f t="shared" si="4"/>
        <v>9.7999999999999993E-7</v>
      </c>
      <c r="M33" s="79">
        <f t="shared" si="4"/>
        <v>29616.050299999999</v>
      </c>
      <c r="N33" s="79">
        <f t="shared" si="4"/>
        <v>8661.7883999999976</v>
      </c>
      <c r="O33" s="79">
        <f t="shared" si="4"/>
        <v>17327.430700000001</v>
      </c>
      <c r="P33" s="79">
        <f t="shared" si="4"/>
        <v>2506.1538237599998</v>
      </c>
      <c r="Q33" s="79">
        <f t="shared" si="4"/>
        <v>41270.109399999994</v>
      </c>
      <c r="R33" s="79">
        <f>SUM(R10:R32)</f>
        <v>6585.8831186999996</v>
      </c>
      <c r="S33" s="79">
        <f t="shared" si="4"/>
        <v>0</v>
      </c>
      <c r="T33" s="79">
        <f t="shared" si="4"/>
        <v>4391.5019298099996</v>
      </c>
      <c r="U33" s="79">
        <f t="shared" si="4"/>
        <v>45.800000000000004</v>
      </c>
      <c r="V33" s="79">
        <f t="shared" si="4"/>
        <v>13490.720499999998</v>
      </c>
      <c r="W33" s="79">
        <f t="shared" si="4"/>
        <v>3761282.2481791698</v>
      </c>
      <c r="X33" s="47"/>
      <c r="Y33" s="78">
        <f>SUM(Y10:Y32)</f>
        <v>144919.78662199996</v>
      </c>
      <c r="Z33" s="38"/>
      <c r="AA33" s="110">
        <f>SUM(AA10:AA32)</f>
        <v>0</v>
      </c>
      <c r="AB33" s="46"/>
      <c r="AC33" s="77">
        <f>SUM(AC10:AC32)</f>
        <v>3906202.0348011702</v>
      </c>
      <c r="AD33" s="29"/>
      <c r="AE33" s="25"/>
      <c r="AF33" s="163"/>
      <c r="AG33" s="46"/>
      <c r="AH33" s="34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73967.519499999995</v>
      </c>
      <c r="C34" s="40">
        <v>14181.434698000001</v>
      </c>
      <c r="D34" s="76">
        <f>B34+C34</f>
        <v>88148.954197999992</v>
      </c>
      <c r="E34" s="40">
        <v>0</v>
      </c>
      <c r="F34" s="76">
        <f>D34+E34</f>
        <v>88148.954197999992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542.76310000000001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88691.717297999989</v>
      </c>
      <c r="X34" s="36"/>
      <c r="Y34" s="42"/>
      <c r="Z34" s="38"/>
      <c r="AA34" s="109">
        <v>0</v>
      </c>
      <c r="AB34" s="36"/>
      <c r="AC34" s="76">
        <f>+W34+Y34+AA34</f>
        <v>88691.717297999989</v>
      </c>
      <c r="AD34" s="29"/>
      <c r="AE34" s="25"/>
      <c r="AF34" s="163"/>
      <c r="AG34" s="2"/>
      <c r="AH34" s="34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 t="shared" si="3"/>
        <v>0</v>
      </c>
      <c r="AD35" s="29"/>
      <c r="AF35" s="163"/>
      <c r="AG35" s="2"/>
      <c r="AH35" s="34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2533652.7963999999</v>
      </c>
      <c r="C36" s="40">
        <v>0</v>
      </c>
      <c r="D36" s="76">
        <f>B36+C36</f>
        <v>2533652.7963999999</v>
      </c>
      <c r="E36" s="40">
        <v>0</v>
      </c>
      <c r="F36" s="76">
        <f>D36+E36</f>
        <v>2533652.7963999999</v>
      </c>
      <c r="G36" s="40">
        <v>0</v>
      </c>
      <c r="H36" s="40">
        <v>0</v>
      </c>
      <c r="I36" s="40">
        <v>0</v>
      </c>
      <c r="J36" s="40">
        <v>11852.184600000001</v>
      </c>
      <c r="K36" s="40">
        <v>0</v>
      </c>
      <c r="L36" s="40">
        <v>0</v>
      </c>
      <c r="M36" s="40">
        <v>0</v>
      </c>
      <c r="N36" s="40">
        <v>0</v>
      </c>
      <c r="O36" s="40">
        <v>28812.907600000002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2574317.8885999997</v>
      </c>
      <c r="X36" s="36"/>
      <c r="Y36" s="42">
        <f>-SUM(Y33)</f>
        <v>-144919.78662199996</v>
      </c>
      <c r="Z36" s="38"/>
      <c r="AA36" s="43">
        <f>-(AA33+AA34)</f>
        <v>0</v>
      </c>
      <c r="AB36" s="36"/>
      <c r="AC36" s="76">
        <f>+W36+Y36+AA36</f>
        <v>2429398.1019779998</v>
      </c>
      <c r="AD36" s="29"/>
      <c r="AE36" s="25"/>
      <c r="AF36" s="163"/>
      <c r="AG36" s="2"/>
      <c r="AH36" s="3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441344.70360000001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31413.2392</v>
      </c>
      <c r="W37" s="76">
        <f>SUM(F37:V37)</f>
        <v>472757.94280000002</v>
      </c>
      <c r="X37" s="36"/>
      <c r="Y37" s="42"/>
      <c r="Z37" s="38"/>
      <c r="AA37" s="43"/>
      <c r="AB37" s="36"/>
      <c r="AC37" s="76">
        <f t="shared" si="3"/>
        <v>472757.94280000002</v>
      </c>
      <c r="AD37" s="29"/>
      <c r="AE37" s="25"/>
      <c r="AF37" s="163"/>
      <c r="AG37" s="2"/>
      <c r="AH37" s="34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62963.538700000005</v>
      </c>
      <c r="C38" s="39">
        <v>0</v>
      </c>
      <c r="D38" s="76">
        <f>B38+C38</f>
        <v>62963.538700000005</v>
      </c>
      <c r="E38" s="39">
        <v>0</v>
      </c>
      <c r="F38" s="76">
        <f>D38+E38</f>
        <v>62963.538700000005</v>
      </c>
      <c r="G38" s="39">
        <v>0</v>
      </c>
      <c r="H38" s="39">
        <v>0</v>
      </c>
      <c r="I38" s="39">
        <v>0</v>
      </c>
      <c r="J38" s="39">
        <v>284.63459999999998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63248.173300000002</v>
      </c>
      <c r="X38" s="36"/>
      <c r="Y38" s="35"/>
      <c r="Z38" s="38"/>
      <c r="AA38" s="37"/>
      <c r="AB38" s="36"/>
      <c r="AC38" s="75">
        <f t="shared" si="3"/>
        <v>63248.173300000002</v>
      </c>
      <c r="AD38" s="29"/>
      <c r="AE38" s="25"/>
      <c r="AF38" s="163"/>
      <c r="AG38" s="2"/>
      <c r="AH38" s="3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27" customFormat="1" ht="20.100000000000001" customHeight="1" x14ac:dyDescent="0.2">
      <c r="A39" s="74" t="s">
        <v>15</v>
      </c>
      <c r="B39" s="73">
        <f>+SUM(B33:B38)</f>
        <v>6030575.0831000004</v>
      </c>
      <c r="C39" s="73">
        <f>+SUM(C33:C38)</f>
        <v>273245.36990392004</v>
      </c>
      <c r="D39" s="73">
        <f>+SUM(D33:D38)</f>
        <v>6303820.4530039197</v>
      </c>
      <c r="E39" s="73">
        <f t="shared" ref="E39:V39" si="5">+SUM(E33:E38)</f>
        <v>107.0158</v>
      </c>
      <c r="F39" s="73">
        <f>SUM(F33:F38)</f>
        <v>6303927.4688039208</v>
      </c>
      <c r="G39" s="73">
        <f t="shared" si="5"/>
        <v>0</v>
      </c>
      <c r="H39" s="73">
        <f t="shared" si="5"/>
        <v>0</v>
      </c>
      <c r="I39" s="73">
        <f t="shared" si="5"/>
        <v>0</v>
      </c>
      <c r="J39" s="73">
        <f t="shared" si="5"/>
        <v>28497.295600000001</v>
      </c>
      <c r="K39" s="73">
        <f t="shared" si="5"/>
        <v>1909.9540999999999</v>
      </c>
      <c r="L39" s="73">
        <f t="shared" si="5"/>
        <v>9.7999999999999993E-7</v>
      </c>
      <c r="M39" s="73">
        <f t="shared" si="5"/>
        <v>470960.75390000001</v>
      </c>
      <c r="N39" s="73">
        <f t="shared" si="5"/>
        <v>8661.7883999999976</v>
      </c>
      <c r="O39" s="73">
        <f t="shared" si="5"/>
        <v>46140.338300000003</v>
      </c>
      <c r="P39" s="73">
        <f t="shared" si="5"/>
        <v>2506.1538237599998</v>
      </c>
      <c r="Q39" s="73">
        <f t="shared" si="5"/>
        <v>41812.87249999999</v>
      </c>
      <c r="R39" s="73">
        <f t="shared" si="5"/>
        <v>6585.8831186999996</v>
      </c>
      <c r="S39" s="73">
        <f t="shared" si="5"/>
        <v>0</v>
      </c>
      <c r="T39" s="73">
        <f t="shared" si="5"/>
        <v>4391.5019298099996</v>
      </c>
      <c r="U39" s="73">
        <f t="shared" si="5"/>
        <v>45.800000000000004</v>
      </c>
      <c r="V39" s="73">
        <f t="shared" si="5"/>
        <v>44903.959699999999</v>
      </c>
      <c r="W39" s="73">
        <f>+SUM(W33:W38)</f>
        <v>6960297.9701771699</v>
      </c>
      <c r="X39" s="33"/>
      <c r="Y39" s="32">
        <f>+SUM(Y33:Y38)</f>
        <v>0</v>
      </c>
      <c r="Z39" s="31"/>
      <c r="AA39" s="111"/>
      <c r="AB39" s="30"/>
      <c r="AC39" s="72">
        <f>+SUM(AC33:AC38)</f>
        <v>6960297.9701771699</v>
      </c>
      <c r="AD39" s="29"/>
      <c r="AE39" s="25"/>
      <c r="AF39" s="163"/>
      <c r="AG39" s="28"/>
      <c r="AH39" s="20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1:52" ht="15" customHeight="1" x14ac:dyDescent="0.2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5"/>
      <c r="S40" s="164"/>
      <c r="T40" s="165"/>
      <c r="U40" s="164"/>
      <c r="V40" s="164"/>
      <c r="W40" s="164"/>
      <c r="X40" s="166"/>
      <c r="Y40" s="166"/>
      <c r="Z40" s="166"/>
      <c r="AA40" s="166"/>
      <c r="AB40" s="166"/>
      <c r="AC40" s="166"/>
      <c r="AD40" s="164"/>
      <c r="AF40" s="164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A41" s="164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4"/>
      <c r="AF41" s="164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64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3"/>
      <c r="Y42" s="163"/>
      <c r="Z42" s="163"/>
      <c r="AA42" s="163"/>
      <c r="AB42" s="163"/>
      <c r="AC42" s="163"/>
      <c r="AD42" s="164"/>
      <c r="AF42" s="164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16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F43" s="164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6" customFormat="1" ht="15" customHeight="1" x14ac:dyDescent="0.2">
      <c r="A44" s="23" t="s">
        <v>14</v>
      </c>
      <c r="B44" s="22"/>
      <c r="C44" s="22"/>
      <c r="D44" s="21"/>
      <c r="E44" s="17">
        <v>2193121.3420000002</v>
      </c>
      <c r="F44" s="170"/>
      <c r="J44" s="4" t="s">
        <v>13</v>
      </c>
      <c r="K44" s="7" t="s">
        <v>12</v>
      </c>
      <c r="W44" s="20"/>
      <c r="AD44" s="7"/>
      <c r="AE44" s="7"/>
      <c r="AF44" s="171"/>
    </row>
    <row r="45" spans="1:52" s="6" customFormat="1" ht="15" customHeight="1" x14ac:dyDescent="0.2">
      <c r="A45" s="134" t="s">
        <v>11</v>
      </c>
      <c r="B45" s="135"/>
      <c r="C45" s="135"/>
      <c r="D45" s="18"/>
      <c r="E45" s="17">
        <v>3809677.0008</v>
      </c>
      <c r="F45" s="170"/>
      <c r="K45" s="7" t="s">
        <v>10</v>
      </c>
      <c r="W45" s="4"/>
      <c r="Y45" s="4"/>
      <c r="AA45" s="4"/>
      <c r="AC45" s="4"/>
      <c r="AD45" s="7"/>
      <c r="AE45" s="7"/>
      <c r="AF45" s="171"/>
    </row>
    <row r="46" spans="1:52" s="6" customFormat="1" ht="15" hidden="1" customHeight="1" x14ac:dyDescent="0.2">
      <c r="A46" s="233"/>
      <c r="B46" s="234"/>
      <c r="C46" s="234"/>
      <c r="D46" s="18"/>
      <c r="E46" s="17"/>
      <c r="F46" s="170"/>
      <c r="K46" s="6" t="s">
        <v>9</v>
      </c>
      <c r="AD46" s="7"/>
      <c r="AE46" s="7"/>
      <c r="AF46" s="171"/>
    </row>
    <row r="47" spans="1:52" s="6" customFormat="1" ht="15" customHeight="1" x14ac:dyDescent="0.2">
      <c r="A47" s="19" t="s">
        <v>8</v>
      </c>
      <c r="B47" s="135"/>
      <c r="C47" s="135"/>
      <c r="D47" s="18"/>
      <c r="E47" s="17">
        <v>270621.08600000001</v>
      </c>
      <c r="F47" s="170"/>
      <c r="K47" s="7" t="s">
        <v>7</v>
      </c>
      <c r="AD47" s="7"/>
      <c r="AE47" s="7"/>
      <c r="AF47" s="171"/>
    </row>
    <row r="48" spans="1:52" s="6" customFormat="1" ht="15" customHeight="1" x14ac:dyDescent="0.2">
      <c r="A48" s="19" t="s">
        <v>6</v>
      </c>
      <c r="B48" s="135"/>
      <c r="C48" s="135"/>
      <c r="D48" s="18"/>
      <c r="E48" s="17">
        <v>124.39400000000001</v>
      </c>
      <c r="F48" s="170"/>
      <c r="K48" s="7" t="s">
        <v>119</v>
      </c>
      <c r="AD48" s="7"/>
      <c r="AE48" s="7"/>
      <c r="AF48" s="171"/>
    </row>
    <row r="49" spans="1:52" s="6" customFormat="1" ht="15" customHeight="1" x14ac:dyDescent="0.2">
      <c r="A49" s="134" t="s">
        <v>5</v>
      </c>
      <c r="B49" s="135"/>
      <c r="C49" s="135"/>
      <c r="D49" s="18"/>
      <c r="E49" s="17">
        <v>5263.2708000000002</v>
      </c>
      <c r="F49" s="170"/>
      <c r="AD49" s="7"/>
      <c r="AE49" s="7"/>
      <c r="AF49" s="171"/>
    </row>
    <row r="50" spans="1:52" s="6" customFormat="1" ht="15" customHeight="1" x14ac:dyDescent="0.2">
      <c r="A50" s="134" t="s">
        <v>4</v>
      </c>
      <c r="B50" s="135"/>
      <c r="C50" s="135"/>
      <c r="D50" s="18"/>
      <c r="E50" s="17">
        <v>17592.574100000002</v>
      </c>
      <c r="F50" s="170"/>
      <c r="AF50" s="172"/>
    </row>
    <row r="51" spans="1:52" s="6" customFormat="1" ht="15" customHeight="1" x14ac:dyDescent="0.2">
      <c r="A51" s="19" t="s">
        <v>3</v>
      </c>
      <c r="B51" s="135"/>
      <c r="C51" s="135"/>
      <c r="D51" s="18"/>
      <c r="E51" s="17">
        <v>7527.8011039190296</v>
      </c>
      <c r="F51" s="170"/>
      <c r="AF51" s="172"/>
    </row>
    <row r="52" spans="1:52" s="70" customFormat="1" ht="20.100000000000001" customHeight="1" x14ac:dyDescent="0.2">
      <c r="A52" s="237" t="s">
        <v>100</v>
      </c>
      <c r="B52" s="238"/>
      <c r="C52" s="238"/>
      <c r="D52" s="112"/>
      <c r="E52" s="71">
        <f>SUM(E44:E51)</f>
        <v>6303927.4688039199</v>
      </c>
      <c r="F52" s="173"/>
      <c r="AF52" s="174"/>
    </row>
    <row r="53" spans="1:52" s="6" customFormat="1" ht="15" customHeight="1" x14ac:dyDescent="0.2">
      <c r="A53" s="233"/>
      <c r="B53" s="234"/>
      <c r="C53" s="234"/>
      <c r="D53" s="18"/>
      <c r="E53" s="17">
        <v>0</v>
      </c>
      <c r="F53" s="170"/>
      <c r="AF53" s="172"/>
    </row>
    <row r="54" spans="1:52" s="6" customFormat="1" ht="15" customHeight="1" x14ac:dyDescent="0.2">
      <c r="A54" s="233" t="s">
        <v>2</v>
      </c>
      <c r="B54" s="234"/>
      <c r="C54" s="234"/>
      <c r="D54" s="18"/>
      <c r="E54" s="17">
        <v>45.8</v>
      </c>
      <c r="F54" s="170"/>
      <c r="AF54" s="172"/>
    </row>
    <row r="55" spans="1:52" s="6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6303881.66880392</v>
      </c>
      <c r="F55" s="170"/>
      <c r="AF55" s="172"/>
    </row>
    <row r="56" spans="1:52" x14ac:dyDescent="0.2">
      <c r="A56" s="6"/>
      <c r="B56" s="6"/>
      <c r="C56" s="6"/>
      <c r="D56" s="6"/>
      <c r="E56" s="2"/>
      <c r="F56" s="175"/>
      <c r="G56" s="14"/>
      <c r="H56" s="14"/>
      <c r="I56" s="14"/>
      <c r="J56" s="15"/>
      <c r="K56" s="6"/>
      <c r="L56" s="14"/>
      <c r="M56" s="14"/>
      <c r="N56" s="14"/>
      <c r="O56" s="7"/>
      <c r="P56" s="7"/>
      <c r="Q56" s="7"/>
      <c r="R56" s="7"/>
      <c r="S56" s="7"/>
      <c r="T56" s="7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17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6"/>
      <c r="C57" s="6"/>
      <c r="D57" s="6"/>
      <c r="E57" s="2"/>
      <c r="F57" s="172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67" t="s">
        <v>107</v>
      </c>
      <c r="B58" s="6"/>
      <c r="C58" s="6"/>
      <c r="D58" s="6"/>
      <c r="E58" s="2"/>
      <c r="F58" s="172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D59" s="7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66" t="s">
        <v>96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V60" s="2"/>
      <c r="W60" s="4"/>
      <c r="X60" s="6"/>
      <c r="Y60" s="5"/>
      <c r="Z60" s="2"/>
      <c r="AA60" s="4"/>
      <c r="AB60" s="2"/>
      <c r="AC60" s="4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4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A52:C52"/>
    <mergeCell ref="A53:C53"/>
    <mergeCell ref="A54:C54"/>
    <mergeCell ref="A55:C55"/>
    <mergeCell ref="G6:I7"/>
    <mergeCell ref="R6:T6"/>
    <mergeCell ref="R7:T7"/>
    <mergeCell ref="P8:P9"/>
    <mergeCell ref="T8:T9"/>
    <mergeCell ref="A46:C46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AC33 W33 D33" formula="1"/>
    <ignoredError sqref="W9:Y9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Z77"/>
  <sheetViews>
    <sheetView showGridLines="0" showZeros="0" topLeftCell="J22" zoomScaleNormal="100" workbookViewId="0">
      <selection activeCell="K49" sqref="K49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256" width="27.5546875" style="1"/>
    <col min="257" max="257" width="19.44140625" style="1" customWidth="1"/>
    <col min="258" max="259" width="12.77734375" style="1" customWidth="1"/>
    <col min="260" max="260" width="13" style="1" customWidth="1"/>
    <col min="261" max="262" width="12.77734375" style="1" customWidth="1"/>
    <col min="263" max="265" width="0" style="1" hidden="1" customWidth="1"/>
    <col min="266" max="274" width="12.77734375" style="1" customWidth="1"/>
    <col min="275" max="275" width="0" style="1" hidden="1" customWidth="1"/>
    <col min="276" max="279" width="12.77734375" style="1" customWidth="1"/>
    <col min="280" max="280" width="1.77734375" style="1" customWidth="1"/>
    <col min="281" max="281" width="12.77734375" style="1" customWidth="1"/>
    <col min="282" max="282" width="1.77734375" style="1" customWidth="1"/>
    <col min="283" max="284" width="0" style="1" hidden="1" customWidth="1"/>
    <col min="285" max="285" width="12.77734375" style="1" customWidth="1"/>
    <col min="286" max="286" width="17.88671875" style="1" customWidth="1"/>
    <col min="287" max="287" width="11.77734375" style="1" customWidth="1"/>
    <col min="288" max="288" width="12" style="1" customWidth="1"/>
    <col min="289" max="512" width="27.5546875" style="1"/>
    <col min="513" max="513" width="19.44140625" style="1" customWidth="1"/>
    <col min="514" max="515" width="12.77734375" style="1" customWidth="1"/>
    <col min="516" max="516" width="13" style="1" customWidth="1"/>
    <col min="517" max="518" width="12.77734375" style="1" customWidth="1"/>
    <col min="519" max="521" width="0" style="1" hidden="1" customWidth="1"/>
    <col min="522" max="530" width="12.77734375" style="1" customWidth="1"/>
    <col min="531" max="531" width="0" style="1" hidden="1" customWidth="1"/>
    <col min="532" max="535" width="12.77734375" style="1" customWidth="1"/>
    <col min="536" max="536" width="1.77734375" style="1" customWidth="1"/>
    <col min="537" max="537" width="12.77734375" style="1" customWidth="1"/>
    <col min="538" max="538" width="1.77734375" style="1" customWidth="1"/>
    <col min="539" max="540" width="0" style="1" hidden="1" customWidth="1"/>
    <col min="541" max="541" width="12.77734375" style="1" customWidth="1"/>
    <col min="542" max="542" width="17.88671875" style="1" customWidth="1"/>
    <col min="543" max="543" width="11.77734375" style="1" customWidth="1"/>
    <col min="544" max="544" width="12" style="1" customWidth="1"/>
    <col min="545" max="768" width="27.5546875" style="1"/>
    <col min="769" max="769" width="19.44140625" style="1" customWidth="1"/>
    <col min="770" max="771" width="12.77734375" style="1" customWidth="1"/>
    <col min="772" max="772" width="13" style="1" customWidth="1"/>
    <col min="773" max="774" width="12.77734375" style="1" customWidth="1"/>
    <col min="775" max="777" width="0" style="1" hidden="1" customWidth="1"/>
    <col min="778" max="786" width="12.77734375" style="1" customWidth="1"/>
    <col min="787" max="787" width="0" style="1" hidden="1" customWidth="1"/>
    <col min="788" max="791" width="12.77734375" style="1" customWidth="1"/>
    <col min="792" max="792" width="1.77734375" style="1" customWidth="1"/>
    <col min="793" max="793" width="12.77734375" style="1" customWidth="1"/>
    <col min="794" max="794" width="1.77734375" style="1" customWidth="1"/>
    <col min="795" max="796" width="0" style="1" hidden="1" customWidth="1"/>
    <col min="797" max="797" width="12.77734375" style="1" customWidth="1"/>
    <col min="798" max="798" width="17.88671875" style="1" customWidth="1"/>
    <col min="799" max="799" width="11.77734375" style="1" customWidth="1"/>
    <col min="800" max="800" width="12" style="1" customWidth="1"/>
    <col min="801" max="1024" width="27.5546875" style="1"/>
    <col min="1025" max="1025" width="19.44140625" style="1" customWidth="1"/>
    <col min="1026" max="1027" width="12.77734375" style="1" customWidth="1"/>
    <col min="1028" max="1028" width="13" style="1" customWidth="1"/>
    <col min="1029" max="1030" width="12.77734375" style="1" customWidth="1"/>
    <col min="1031" max="1033" width="0" style="1" hidden="1" customWidth="1"/>
    <col min="1034" max="1042" width="12.77734375" style="1" customWidth="1"/>
    <col min="1043" max="1043" width="0" style="1" hidden="1" customWidth="1"/>
    <col min="1044" max="1047" width="12.77734375" style="1" customWidth="1"/>
    <col min="1048" max="1048" width="1.77734375" style="1" customWidth="1"/>
    <col min="1049" max="1049" width="12.77734375" style="1" customWidth="1"/>
    <col min="1050" max="1050" width="1.77734375" style="1" customWidth="1"/>
    <col min="1051" max="1052" width="0" style="1" hidden="1" customWidth="1"/>
    <col min="1053" max="1053" width="12.77734375" style="1" customWidth="1"/>
    <col min="1054" max="1054" width="17.88671875" style="1" customWidth="1"/>
    <col min="1055" max="1055" width="11.77734375" style="1" customWidth="1"/>
    <col min="1056" max="1056" width="12" style="1" customWidth="1"/>
    <col min="1057" max="1280" width="27.5546875" style="1"/>
    <col min="1281" max="1281" width="19.44140625" style="1" customWidth="1"/>
    <col min="1282" max="1283" width="12.77734375" style="1" customWidth="1"/>
    <col min="1284" max="1284" width="13" style="1" customWidth="1"/>
    <col min="1285" max="1286" width="12.77734375" style="1" customWidth="1"/>
    <col min="1287" max="1289" width="0" style="1" hidden="1" customWidth="1"/>
    <col min="1290" max="1298" width="12.77734375" style="1" customWidth="1"/>
    <col min="1299" max="1299" width="0" style="1" hidden="1" customWidth="1"/>
    <col min="1300" max="1303" width="12.77734375" style="1" customWidth="1"/>
    <col min="1304" max="1304" width="1.77734375" style="1" customWidth="1"/>
    <col min="1305" max="1305" width="12.77734375" style="1" customWidth="1"/>
    <col min="1306" max="1306" width="1.77734375" style="1" customWidth="1"/>
    <col min="1307" max="1308" width="0" style="1" hidden="1" customWidth="1"/>
    <col min="1309" max="1309" width="12.77734375" style="1" customWidth="1"/>
    <col min="1310" max="1310" width="17.88671875" style="1" customWidth="1"/>
    <col min="1311" max="1311" width="11.77734375" style="1" customWidth="1"/>
    <col min="1312" max="1312" width="12" style="1" customWidth="1"/>
    <col min="1313" max="1536" width="27.5546875" style="1"/>
    <col min="1537" max="1537" width="19.44140625" style="1" customWidth="1"/>
    <col min="1538" max="1539" width="12.77734375" style="1" customWidth="1"/>
    <col min="1540" max="1540" width="13" style="1" customWidth="1"/>
    <col min="1541" max="1542" width="12.77734375" style="1" customWidth="1"/>
    <col min="1543" max="1545" width="0" style="1" hidden="1" customWidth="1"/>
    <col min="1546" max="1554" width="12.77734375" style="1" customWidth="1"/>
    <col min="1555" max="1555" width="0" style="1" hidden="1" customWidth="1"/>
    <col min="1556" max="1559" width="12.77734375" style="1" customWidth="1"/>
    <col min="1560" max="1560" width="1.77734375" style="1" customWidth="1"/>
    <col min="1561" max="1561" width="12.77734375" style="1" customWidth="1"/>
    <col min="1562" max="1562" width="1.77734375" style="1" customWidth="1"/>
    <col min="1563" max="1564" width="0" style="1" hidden="1" customWidth="1"/>
    <col min="1565" max="1565" width="12.77734375" style="1" customWidth="1"/>
    <col min="1566" max="1566" width="17.88671875" style="1" customWidth="1"/>
    <col min="1567" max="1567" width="11.77734375" style="1" customWidth="1"/>
    <col min="1568" max="1568" width="12" style="1" customWidth="1"/>
    <col min="1569" max="1792" width="27.5546875" style="1"/>
    <col min="1793" max="1793" width="19.44140625" style="1" customWidth="1"/>
    <col min="1794" max="1795" width="12.77734375" style="1" customWidth="1"/>
    <col min="1796" max="1796" width="13" style="1" customWidth="1"/>
    <col min="1797" max="1798" width="12.77734375" style="1" customWidth="1"/>
    <col min="1799" max="1801" width="0" style="1" hidden="1" customWidth="1"/>
    <col min="1802" max="1810" width="12.77734375" style="1" customWidth="1"/>
    <col min="1811" max="1811" width="0" style="1" hidden="1" customWidth="1"/>
    <col min="1812" max="1815" width="12.77734375" style="1" customWidth="1"/>
    <col min="1816" max="1816" width="1.77734375" style="1" customWidth="1"/>
    <col min="1817" max="1817" width="12.77734375" style="1" customWidth="1"/>
    <col min="1818" max="1818" width="1.77734375" style="1" customWidth="1"/>
    <col min="1819" max="1820" width="0" style="1" hidden="1" customWidth="1"/>
    <col min="1821" max="1821" width="12.77734375" style="1" customWidth="1"/>
    <col min="1822" max="1822" width="17.88671875" style="1" customWidth="1"/>
    <col min="1823" max="1823" width="11.77734375" style="1" customWidth="1"/>
    <col min="1824" max="1824" width="12" style="1" customWidth="1"/>
    <col min="1825" max="2048" width="27.5546875" style="1"/>
    <col min="2049" max="2049" width="19.44140625" style="1" customWidth="1"/>
    <col min="2050" max="2051" width="12.77734375" style="1" customWidth="1"/>
    <col min="2052" max="2052" width="13" style="1" customWidth="1"/>
    <col min="2053" max="2054" width="12.77734375" style="1" customWidth="1"/>
    <col min="2055" max="2057" width="0" style="1" hidden="1" customWidth="1"/>
    <col min="2058" max="2066" width="12.77734375" style="1" customWidth="1"/>
    <col min="2067" max="2067" width="0" style="1" hidden="1" customWidth="1"/>
    <col min="2068" max="2071" width="12.77734375" style="1" customWidth="1"/>
    <col min="2072" max="2072" width="1.77734375" style="1" customWidth="1"/>
    <col min="2073" max="2073" width="12.77734375" style="1" customWidth="1"/>
    <col min="2074" max="2074" width="1.77734375" style="1" customWidth="1"/>
    <col min="2075" max="2076" width="0" style="1" hidden="1" customWidth="1"/>
    <col min="2077" max="2077" width="12.77734375" style="1" customWidth="1"/>
    <col min="2078" max="2078" width="17.88671875" style="1" customWidth="1"/>
    <col min="2079" max="2079" width="11.77734375" style="1" customWidth="1"/>
    <col min="2080" max="2080" width="12" style="1" customWidth="1"/>
    <col min="2081" max="2304" width="27.5546875" style="1"/>
    <col min="2305" max="2305" width="19.44140625" style="1" customWidth="1"/>
    <col min="2306" max="2307" width="12.77734375" style="1" customWidth="1"/>
    <col min="2308" max="2308" width="13" style="1" customWidth="1"/>
    <col min="2309" max="2310" width="12.77734375" style="1" customWidth="1"/>
    <col min="2311" max="2313" width="0" style="1" hidden="1" customWidth="1"/>
    <col min="2314" max="2322" width="12.77734375" style="1" customWidth="1"/>
    <col min="2323" max="2323" width="0" style="1" hidden="1" customWidth="1"/>
    <col min="2324" max="2327" width="12.77734375" style="1" customWidth="1"/>
    <col min="2328" max="2328" width="1.77734375" style="1" customWidth="1"/>
    <col min="2329" max="2329" width="12.77734375" style="1" customWidth="1"/>
    <col min="2330" max="2330" width="1.77734375" style="1" customWidth="1"/>
    <col min="2331" max="2332" width="0" style="1" hidden="1" customWidth="1"/>
    <col min="2333" max="2333" width="12.77734375" style="1" customWidth="1"/>
    <col min="2334" max="2334" width="17.88671875" style="1" customWidth="1"/>
    <col min="2335" max="2335" width="11.77734375" style="1" customWidth="1"/>
    <col min="2336" max="2336" width="12" style="1" customWidth="1"/>
    <col min="2337" max="2560" width="27.5546875" style="1"/>
    <col min="2561" max="2561" width="19.44140625" style="1" customWidth="1"/>
    <col min="2562" max="2563" width="12.77734375" style="1" customWidth="1"/>
    <col min="2564" max="2564" width="13" style="1" customWidth="1"/>
    <col min="2565" max="2566" width="12.77734375" style="1" customWidth="1"/>
    <col min="2567" max="2569" width="0" style="1" hidden="1" customWidth="1"/>
    <col min="2570" max="2578" width="12.77734375" style="1" customWidth="1"/>
    <col min="2579" max="2579" width="0" style="1" hidden="1" customWidth="1"/>
    <col min="2580" max="2583" width="12.77734375" style="1" customWidth="1"/>
    <col min="2584" max="2584" width="1.77734375" style="1" customWidth="1"/>
    <col min="2585" max="2585" width="12.77734375" style="1" customWidth="1"/>
    <col min="2586" max="2586" width="1.77734375" style="1" customWidth="1"/>
    <col min="2587" max="2588" width="0" style="1" hidden="1" customWidth="1"/>
    <col min="2589" max="2589" width="12.77734375" style="1" customWidth="1"/>
    <col min="2590" max="2590" width="17.88671875" style="1" customWidth="1"/>
    <col min="2591" max="2591" width="11.77734375" style="1" customWidth="1"/>
    <col min="2592" max="2592" width="12" style="1" customWidth="1"/>
    <col min="2593" max="2816" width="27.5546875" style="1"/>
    <col min="2817" max="2817" width="19.44140625" style="1" customWidth="1"/>
    <col min="2818" max="2819" width="12.77734375" style="1" customWidth="1"/>
    <col min="2820" max="2820" width="13" style="1" customWidth="1"/>
    <col min="2821" max="2822" width="12.77734375" style="1" customWidth="1"/>
    <col min="2823" max="2825" width="0" style="1" hidden="1" customWidth="1"/>
    <col min="2826" max="2834" width="12.77734375" style="1" customWidth="1"/>
    <col min="2835" max="2835" width="0" style="1" hidden="1" customWidth="1"/>
    <col min="2836" max="2839" width="12.77734375" style="1" customWidth="1"/>
    <col min="2840" max="2840" width="1.77734375" style="1" customWidth="1"/>
    <col min="2841" max="2841" width="12.77734375" style="1" customWidth="1"/>
    <col min="2842" max="2842" width="1.77734375" style="1" customWidth="1"/>
    <col min="2843" max="2844" width="0" style="1" hidden="1" customWidth="1"/>
    <col min="2845" max="2845" width="12.77734375" style="1" customWidth="1"/>
    <col min="2846" max="2846" width="17.88671875" style="1" customWidth="1"/>
    <col min="2847" max="2847" width="11.77734375" style="1" customWidth="1"/>
    <col min="2848" max="2848" width="12" style="1" customWidth="1"/>
    <col min="2849" max="3072" width="27.5546875" style="1"/>
    <col min="3073" max="3073" width="19.44140625" style="1" customWidth="1"/>
    <col min="3074" max="3075" width="12.77734375" style="1" customWidth="1"/>
    <col min="3076" max="3076" width="13" style="1" customWidth="1"/>
    <col min="3077" max="3078" width="12.77734375" style="1" customWidth="1"/>
    <col min="3079" max="3081" width="0" style="1" hidden="1" customWidth="1"/>
    <col min="3082" max="3090" width="12.77734375" style="1" customWidth="1"/>
    <col min="3091" max="3091" width="0" style="1" hidden="1" customWidth="1"/>
    <col min="3092" max="3095" width="12.77734375" style="1" customWidth="1"/>
    <col min="3096" max="3096" width="1.77734375" style="1" customWidth="1"/>
    <col min="3097" max="3097" width="12.77734375" style="1" customWidth="1"/>
    <col min="3098" max="3098" width="1.77734375" style="1" customWidth="1"/>
    <col min="3099" max="3100" width="0" style="1" hidden="1" customWidth="1"/>
    <col min="3101" max="3101" width="12.77734375" style="1" customWidth="1"/>
    <col min="3102" max="3102" width="17.88671875" style="1" customWidth="1"/>
    <col min="3103" max="3103" width="11.77734375" style="1" customWidth="1"/>
    <col min="3104" max="3104" width="12" style="1" customWidth="1"/>
    <col min="3105" max="3328" width="27.5546875" style="1"/>
    <col min="3329" max="3329" width="19.44140625" style="1" customWidth="1"/>
    <col min="3330" max="3331" width="12.77734375" style="1" customWidth="1"/>
    <col min="3332" max="3332" width="13" style="1" customWidth="1"/>
    <col min="3333" max="3334" width="12.77734375" style="1" customWidth="1"/>
    <col min="3335" max="3337" width="0" style="1" hidden="1" customWidth="1"/>
    <col min="3338" max="3346" width="12.77734375" style="1" customWidth="1"/>
    <col min="3347" max="3347" width="0" style="1" hidden="1" customWidth="1"/>
    <col min="3348" max="3351" width="12.77734375" style="1" customWidth="1"/>
    <col min="3352" max="3352" width="1.77734375" style="1" customWidth="1"/>
    <col min="3353" max="3353" width="12.77734375" style="1" customWidth="1"/>
    <col min="3354" max="3354" width="1.77734375" style="1" customWidth="1"/>
    <col min="3355" max="3356" width="0" style="1" hidden="1" customWidth="1"/>
    <col min="3357" max="3357" width="12.77734375" style="1" customWidth="1"/>
    <col min="3358" max="3358" width="17.88671875" style="1" customWidth="1"/>
    <col min="3359" max="3359" width="11.77734375" style="1" customWidth="1"/>
    <col min="3360" max="3360" width="12" style="1" customWidth="1"/>
    <col min="3361" max="3584" width="27.5546875" style="1"/>
    <col min="3585" max="3585" width="19.44140625" style="1" customWidth="1"/>
    <col min="3586" max="3587" width="12.77734375" style="1" customWidth="1"/>
    <col min="3588" max="3588" width="13" style="1" customWidth="1"/>
    <col min="3589" max="3590" width="12.77734375" style="1" customWidth="1"/>
    <col min="3591" max="3593" width="0" style="1" hidden="1" customWidth="1"/>
    <col min="3594" max="3602" width="12.77734375" style="1" customWidth="1"/>
    <col min="3603" max="3603" width="0" style="1" hidden="1" customWidth="1"/>
    <col min="3604" max="3607" width="12.77734375" style="1" customWidth="1"/>
    <col min="3608" max="3608" width="1.77734375" style="1" customWidth="1"/>
    <col min="3609" max="3609" width="12.77734375" style="1" customWidth="1"/>
    <col min="3610" max="3610" width="1.77734375" style="1" customWidth="1"/>
    <col min="3611" max="3612" width="0" style="1" hidden="1" customWidth="1"/>
    <col min="3613" max="3613" width="12.77734375" style="1" customWidth="1"/>
    <col min="3614" max="3614" width="17.88671875" style="1" customWidth="1"/>
    <col min="3615" max="3615" width="11.77734375" style="1" customWidth="1"/>
    <col min="3616" max="3616" width="12" style="1" customWidth="1"/>
    <col min="3617" max="3840" width="27.5546875" style="1"/>
    <col min="3841" max="3841" width="19.44140625" style="1" customWidth="1"/>
    <col min="3842" max="3843" width="12.77734375" style="1" customWidth="1"/>
    <col min="3844" max="3844" width="13" style="1" customWidth="1"/>
    <col min="3845" max="3846" width="12.77734375" style="1" customWidth="1"/>
    <col min="3847" max="3849" width="0" style="1" hidden="1" customWidth="1"/>
    <col min="3850" max="3858" width="12.77734375" style="1" customWidth="1"/>
    <col min="3859" max="3859" width="0" style="1" hidden="1" customWidth="1"/>
    <col min="3860" max="3863" width="12.77734375" style="1" customWidth="1"/>
    <col min="3864" max="3864" width="1.77734375" style="1" customWidth="1"/>
    <col min="3865" max="3865" width="12.77734375" style="1" customWidth="1"/>
    <col min="3866" max="3866" width="1.77734375" style="1" customWidth="1"/>
    <col min="3867" max="3868" width="0" style="1" hidden="1" customWidth="1"/>
    <col min="3869" max="3869" width="12.77734375" style="1" customWidth="1"/>
    <col min="3870" max="3870" width="17.88671875" style="1" customWidth="1"/>
    <col min="3871" max="3871" width="11.77734375" style="1" customWidth="1"/>
    <col min="3872" max="3872" width="12" style="1" customWidth="1"/>
    <col min="3873" max="4096" width="27.5546875" style="1"/>
    <col min="4097" max="4097" width="19.44140625" style="1" customWidth="1"/>
    <col min="4098" max="4099" width="12.77734375" style="1" customWidth="1"/>
    <col min="4100" max="4100" width="13" style="1" customWidth="1"/>
    <col min="4101" max="4102" width="12.77734375" style="1" customWidth="1"/>
    <col min="4103" max="4105" width="0" style="1" hidden="1" customWidth="1"/>
    <col min="4106" max="4114" width="12.77734375" style="1" customWidth="1"/>
    <col min="4115" max="4115" width="0" style="1" hidden="1" customWidth="1"/>
    <col min="4116" max="4119" width="12.77734375" style="1" customWidth="1"/>
    <col min="4120" max="4120" width="1.77734375" style="1" customWidth="1"/>
    <col min="4121" max="4121" width="12.77734375" style="1" customWidth="1"/>
    <col min="4122" max="4122" width="1.77734375" style="1" customWidth="1"/>
    <col min="4123" max="4124" width="0" style="1" hidden="1" customWidth="1"/>
    <col min="4125" max="4125" width="12.77734375" style="1" customWidth="1"/>
    <col min="4126" max="4126" width="17.88671875" style="1" customWidth="1"/>
    <col min="4127" max="4127" width="11.77734375" style="1" customWidth="1"/>
    <col min="4128" max="4128" width="12" style="1" customWidth="1"/>
    <col min="4129" max="4352" width="27.5546875" style="1"/>
    <col min="4353" max="4353" width="19.44140625" style="1" customWidth="1"/>
    <col min="4354" max="4355" width="12.77734375" style="1" customWidth="1"/>
    <col min="4356" max="4356" width="13" style="1" customWidth="1"/>
    <col min="4357" max="4358" width="12.77734375" style="1" customWidth="1"/>
    <col min="4359" max="4361" width="0" style="1" hidden="1" customWidth="1"/>
    <col min="4362" max="4370" width="12.77734375" style="1" customWidth="1"/>
    <col min="4371" max="4371" width="0" style="1" hidden="1" customWidth="1"/>
    <col min="4372" max="4375" width="12.77734375" style="1" customWidth="1"/>
    <col min="4376" max="4376" width="1.77734375" style="1" customWidth="1"/>
    <col min="4377" max="4377" width="12.77734375" style="1" customWidth="1"/>
    <col min="4378" max="4378" width="1.77734375" style="1" customWidth="1"/>
    <col min="4379" max="4380" width="0" style="1" hidden="1" customWidth="1"/>
    <col min="4381" max="4381" width="12.77734375" style="1" customWidth="1"/>
    <col min="4382" max="4382" width="17.88671875" style="1" customWidth="1"/>
    <col min="4383" max="4383" width="11.77734375" style="1" customWidth="1"/>
    <col min="4384" max="4384" width="12" style="1" customWidth="1"/>
    <col min="4385" max="4608" width="27.5546875" style="1"/>
    <col min="4609" max="4609" width="19.44140625" style="1" customWidth="1"/>
    <col min="4610" max="4611" width="12.77734375" style="1" customWidth="1"/>
    <col min="4612" max="4612" width="13" style="1" customWidth="1"/>
    <col min="4613" max="4614" width="12.77734375" style="1" customWidth="1"/>
    <col min="4615" max="4617" width="0" style="1" hidden="1" customWidth="1"/>
    <col min="4618" max="4626" width="12.77734375" style="1" customWidth="1"/>
    <col min="4627" max="4627" width="0" style="1" hidden="1" customWidth="1"/>
    <col min="4628" max="4631" width="12.77734375" style="1" customWidth="1"/>
    <col min="4632" max="4632" width="1.77734375" style="1" customWidth="1"/>
    <col min="4633" max="4633" width="12.77734375" style="1" customWidth="1"/>
    <col min="4634" max="4634" width="1.77734375" style="1" customWidth="1"/>
    <col min="4635" max="4636" width="0" style="1" hidden="1" customWidth="1"/>
    <col min="4637" max="4637" width="12.77734375" style="1" customWidth="1"/>
    <col min="4638" max="4638" width="17.88671875" style="1" customWidth="1"/>
    <col min="4639" max="4639" width="11.77734375" style="1" customWidth="1"/>
    <col min="4640" max="4640" width="12" style="1" customWidth="1"/>
    <col min="4641" max="4864" width="27.5546875" style="1"/>
    <col min="4865" max="4865" width="19.44140625" style="1" customWidth="1"/>
    <col min="4866" max="4867" width="12.77734375" style="1" customWidth="1"/>
    <col min="4868" max="4868" width="13" style="1" customWidth="1"/>
    <col min="4869" max="4870" width="12.77734375" style="1" customWidth="1"/>
    <col min="4871" max="4873" width="0" style="1" hidden="1" customWidth="1"/>
    <col min="4874" max="4882" width="12.77734375" style="1" customWidth="1"/>
    <col min="4883" max="4883" width="0" style="1" hidden="1" customWidth="1"/>
    <col min="4884" max="4887" width="12.77734375" style="1" customWidth="1"/>
    <col min="4888" max="4888" width="1.77734375" style="1" customWidth="1"/>
    <col min="4889" max="4889" width="12.77734375" style="1" customWidth="1"/>
    <col min="4890" max="4890" width="1.77734375" style="1" customWidth="1"/>
    <col min="4891" max="4892" width="0" style="1" hidden="1" customWidth="1"/>
    <col min="4893" max="4893" width="12.77734375" style="1" customWidth="1"/>
    <col min="4894" max="4894" width="17.88671875" style="1" customWidth="1"/>
    <col min="4895" max="4895" width="11.77734375" style="1" customWidth="1"/>
    <col min="4896" max="4896" width="12" style="1" customWidth="1"/>
    <col min="4897" max="5120" width="27.5546875" style="1"/>
    <col min="5121" max="5121" width="19.44140625" style="1" customWidth="1"/>
    <col min="5122" max="5123" width="12.77734375" style="1" customWidth="1"/>
    <col min="5124" max="5124" width="13" style="1" customWidth="1"/>
    <col min="5125" max="5126" width="12.77734375" style="1" customWidth="1"/>
    <col min="5127" max="5129" width="0" style="1" hidden="1" customWidth="1"/>
    <col min="5130" max="5138" width="12.77734375" style="1" customWidth="1"/>
    <col min="5139" max="5139" width="0" style="1" hidden="1" customWidth="1"/>
    <col min="5140" max="5143" width="12.77734375" style="1" customWidth="1"/>
    <col min="5144" max="5144" width="1.77734375" style="1" customWidth="1"/>
    <col min="5145" max="5145" width="12.77734375" style="1" customWidth="1"/>
    <col min="5146" max="5146" width="1.77734375" style="1" customWidth="1"/>
    <col min="5147" max="5148" width="0" style="1" hidden="1" customWidth="1"/>
    <col min="5149" max="5149" width="12.77734375" style="1" customWidth="1"/>
    <col min="5150" max="5150" width="17.88671875" style="1" customWidth="1"/>
    <col min="5151" max="5151" width="11.77734375" style="1" customWidth="1"/>
    <col min="5152" max="5152" width="12" style="1" customWidth="1"/>
    <col min="5153" max="5376" width="27.5546875" style="1"/>
    <col min="5377" max="5377" width="19.44140625" style="1" customWidth="1"/>
    <col min="5378" max="5379" width="12.77734375" style="1" customWidth="1"/>
    <col min="5380" max="5380" width="13" style="1" customWidth="1"/>
    <col min="5381" max="5382" width="12.77734375" style="1" customWidth="1"/>
    <col min="5383" max="5385" width="0" style="1" hidden="1" customWidth="1"/>
    <col min="5386" max="5394" width="12.77734375" style="1" customWidth="1"/>
    <col min="5395" max="5395" width="0" style="1" hidden="1" customWidth="1"/>
    <col min="5396" max="5399" width="12.77734375" style="1" customWidth="1"/>
    <col min="5400" max="5400" width="1.77734375" style="1" customWidth="1"/>
    <col min="5401" max="5401" width="12.77734375" style="1" customWidth="1"/>
    <col min="5402" max="5402" width="1.77734375" style="1" customWidth="1"/>
    <col min="5403" max="5404" width="0" style="1" hidden="1" customWidth="1"/>
    <col min="5405" max="5405" width="12.77734375" style="1" customWidth="1"/>
    <col min="5406" max="5406" width="17.88671875" style="1" customWidth="1"/>
    <col min="5407" max="5407" width="11.77734375" style="1" customWidth="1"/>
    <col min="5408" max="5408" width="12" style="1" customWidth="1"/>
    <col min="5409" max="5632" width="27.5546875" style="1"/>
    <col min="5633" max="5633" width="19.44140625" style="1" customWidth="1"/>
    <col min="5634" max="5635" width="12.77734375" style="1" customWidth="1"/>
    <col min="5636" max="5636" width="13" style="1" customWidth="1"/>
    <col min="5637" max="5638" width="12.77734375" style="1" customWidth="1"/>
    <col min="5639" max="5641" width="0" style="1" hidden="1" customWidth="1"/>
    <col min="5642" max="5650" width="12.77734375" style="1" customWidth="1"/>
    <col min="5651" max="5651" width="0" style="1" hidden="1" customWidth="1"/>
    <col min="5652" max="5655" width="12.77734375" style="1" customWidth="1"/>
    <col min="5656" max="5656" width="1.77734375" style="1" customWidth="1"/>
    <col min="5657" max="5657" width="12.77734375" style="1" customWidth="1"/>
    <col min="5658" max="5658" width="1.77734375" style="1" customWidth="1"/>
    <col min="5659" max="5660" width="0" style="1" hidden="1" customWidth="1"/>
    <col min="5661" max="5661" width="12.77734375" style="1" customWidth="1"/>
    <col min="5662" max="5662" width="17.88671875" style="1" customWidth="1"/>
    <col min="5663" max="5663" width="11.77734375" style="1" customWidth="1"/>
    <col min="5664" max="5664" width="12" style="1" customWidth="1"/>
    <col min="5665" max="5888" width="27.5546875" style="1"/>
    <col min="5889" max="5889" width="19.44140625" style="1" customWidth="1"/>
    <col min="5890" max="5891" width="12.77734375" style="1" customWidth="1"/>
    <col min="5892" max="5892" width="13" style="1" customWidth="1"/>
    <col min="5893" max="5894" width="12.77734375" style="1" customWidth="1"/>
    <col min="5895" max="5897" width="0" style="1" hidden="1" customWidth="1"/>
    <col min="5898" max="5906" width="12.77734375" style="1" customWidth="1"/>
    <col min="5907" max="5907" width="0" style="1" hidden="1" customWidth="1"/>
    <col min="5908" max="5911" width="12.77734375" style="1" customWidth="1"/>
    <col min="5912" max="5912" width="1.77734375" style="1" customWidth="1"/>
    <col min="5913" max="5913" width="12.77734375" style="1" customWidth="1"/>
    <col min="5914" max="5914" width="1.77734375" style="1" customWidth="1"/>
    <col min="5915" max="5916" width="0" style="1" hidden="1" customWidth="1"/>
    <col min="5917" max="5917" width="12.77734375" style="1" customWidth="1"/>
    <col min="5918" max="5918" width="17.88671875" style="1" customWidth="1"/>
    <col min="5919" max="5919" width="11.77734375" style="1" customWidth="1"/>
    <col min="5920" max="5920" width="12" style="1" customWidth="1"/>
    <col min="5921" max="6144" width="27.5546875" style="1"/>
    <col min="6145" max="6145" width="19.44140625" style="1" customWidth="1"/>
    <col min="6146" max="6147" width="12.77734375" style="1" customWidth="1"/>
    <col min="6148" max="6148" width="13" style="1" customWidth="1"/>
    <col min="6149" max="6150" width="12.77734375" style="1" customWidth="1"/>
    <col min="6151" max="6153" width="0" style="1" hidden="1" customWidth="1"/>
    <col min="6154" max="6162" width="12.77734375" style="1" customWidth="1"/>
    <col min="6163" max="6163" width="0" style="1" hidden="1" customWidth="1"/>
    <col min="6164" max="6167" width="12.77734375" style="1" customWidth="1"/>
    <col min="6168" max="6168" width="1.77734375" style="1" customWidth="1"/>
    <col min="6169" max="6169" width="12.77734375" style="1" customWidth="1"/>
    <col min="6170" max="6170" width="1.77734375" style="1" customWidth="1"/>
    <col min="6171" max="6172" width="0" style="1" hidden="1" customWidth="1"/>
    <col min="6173" max="6173" width="12.77734375" style="1" customWidth="1"/>
    <col min="6174" max="6174" width="17.88671875" style="1" customWidth="1"/>
    <col min="6175" max="6175" width="11.77734375" style="1" customWidth="1"/>
    <col min="6176" max="6176" width="12" style="1" customWidth="1"/>
    <col min="6177" max="6400" width="27.5546875" style="1"/>
    <col min="6401" max="6401" width="19.44140625" style="1" customWidth="1"/>
    <col min="6402" max="6403" width="12.77734375" style="1" customWidth="1"/>
    <col min="6404" max="6404" width="13" style="1" customWidth="1"/>
    <col min="6405" max="6406" width="12.77734375" style="1" customWidth="1"/>
    <col min="6407" max="6409" width="0" style="1" hidden="1" customWidth="1"/>
    <col min="6410" max="6418" width="12.77734375" style="1" customWidth="1"/>
    <col min="6419" max="6419" width="0" style="1" hidden="1" customWidth="1"/>
    <col min="6420" max="6423" width="12.77734375" style="1" customWidth="1"/>
    <col min="6424" max="6424" width="1.77734375" style="1" customWidth="1"/>
    <col min="6425" max="6425" width="12.77734375" style="1" customWidth="1"/>
    <col min="6426" max="6426" width="1.77734375" style="1" customWidth="1"/>
    <col min="6427" max="6428" width="0" style="1" hidden="1" customWidth="1"/>
    <col min="6429" max="6429" width="12.77734375" style="1" customWidth="1"/>
    <col min="6430" max="6430" width="17.88671875" style="1" customWidth="1"/>
    <col min="6431" max="6431" width="11.77734375" style="1" customWidth="1"/>
    <col min="6432" max="6432" width="12" style="1" customWidth="1"/>
    <col min="6433" max="6656" width="27.5546875" style="1"/>
    <col min="6657" max="6657" width="19.44140625" style="1" customWidth="1"/>
    <col min="6658" max="6659" width="12.77734375" style="1" customWidth="1"/>
    <col min="6660" max="6660" width="13" style="1" customWidth="1"/>
    <col min="6661" max="6662" width="12.77734375" style="1" customWidth="1"/>
    <col min="6663" max="6665" width="0" style="1" hidden="1" customWidth="1"/>
    <col min="6666" max="6674" width="12.77734375" style="1" customWidth="1"/>
    <col min="6675" max="6675" width="0" style="1" hidden="1" customWidth="1"/>
    <col min="6676" max="6679" width="12.77734375" style="1" customWidth="1"/>
    <col min="6680" max="6680" width="1.77734375" style="1" customWidth="1"/>
    <col min="6681" max="6681" width="12.77734375" style="1" customWidth="1"/>
    <col min="6682" max="6682" width="1.77734375" style="1" customWidth="1"/>
    <col min="6683" max="6684" width="0" style="1" hidden="1" customWidth="1"/>
    <col min="6685" max="6685" width="12.77734375" style="1" customWidth="1"/>
    <col min="6686" max="6686" width="17.88671875" style="1" customWidth="1"/>
    <col min="6687" max="6687" width="11.77734375" style="1" customWidth="1"/>
    <col min="6688" max="6688" width="12" style="1" customWidth="1"/>
    <col min="6689" max="6912" width="27.5546875" style="1"/>
    <col min="6913" max="6913" width="19.44140625" style="1" customWidth="1"/>
    <col min="6914" max="6915" width="12.77734375" style="1" customWidth="1"/>
    <col min="6916" max="6916" width="13" style="1" customWidth="1"/>
    <col min="6917" max="6918" width="12.77734375" style="1" customWidth="1"/>
    <col min="6919" max="6921" width="0" style="1" hidden="1" customWidth="1"/>
    <col min="6922" max="6930" width="12.77734375" style="1" customWidth="1"/>
    <col min="6931" max="6931" width="0" style="1" hidden="1" customWidth="1"/>
    <col min="6932" max="6935" width="12.77734375" style="1" customWidth="1"/>
    <col min="6936" max="6936" width="1.77734375" style="1" customWidth="1"/>
    <col min="6937" max="6937" width="12.77734375" style="1" customWidth="1"/>
    <col min="6938" max="6938" width="1.77734375" style="1" customWidth="1"/>
    <col min="6939" max="6940" width="0" style="1" hidden="1" customWidth="1"/>
    <col min="6941" max="6941" width="12.77734375" style="1" customWidth="1"/>
    <col min="6942" max="6942" width="17.88671875" style="1" customWidth="1"/>
    <col min="6943" max="6943" width="11.77734375" style="1" customWidth="1"/>
    <col min="6944" max="6944" width="12" style="1" customWidth="1"/>
    <col min="6945" max="7168" width="27.5546875" style="1"/>
    <col min="7169" max="7169" width="19.44140625" style="1" customWidth="1"/>
    <col min="7170" max="7171" width="12.77734375" style="1" customWidth="1"/>
    <col min="7172" max="7172" width="13" style="1" customWidth="1"/>
    <col min="7173" max="7174" width="12.77734375" style="1" customWidth="1"/>
    <col min="7175" max="7177" width="0" style="1" hidden="1" customWidth="1"/>
    <col min="7178" max="7186" width="12.77734375" style="1" customWidth="1"/>
    <col min="7187" max="7187" width="0" style="1" hidden="1" customWidth="1"/>
    <col min="7188" max="7191" width="12.77734375" style="1" customWidth="1"/>
    <col min="7192" max="7192" width="1.77734375" style="1" customWidth="1"/>
    <col min="7193" max="7193" width="12.77734375" style="1" customWidth="1"/>
    <col min="7194" max="7194" width="1.77734375" style="1" customWidth="1"/>
    <col min="7195" max="7196" width="0" style="1" hidden="1" customWidth="1"/>
    <col min="7197" max="7197" width="12.77734375" style="1" customWidth="1"/>
    <col min="7198" max="7198" width="17.88671875" style="1" customWidth="1"/>
    <col min="7199" max="7199" width="11.77734375" style="1" customWidth="1"/>
    <col min="7200" max="7200" width="12" style="1" customWidth="1"/>
    <col min="7201" max="7424" width="27.5546875" style="1"/>
    <col min="7425" max="7425" width="19.44140625" style="1" customWidth="1"/>
    <col min="7426" max="7427" width="12.77734375" style="1" customWidth="1"/>
    <col min="7428" max="7428" width="13" style="1" customWidth="1"/>
    <col min="7429" max="7430" width="12.77734375" style="1" customWidth="1"/>
    <col min="7431" max="7433" width="0" style="1" hidden="1" customWidth="1"/>
    <col min="7434" max="7442" width="12.77734375" style="1" customWidth="1"/>
    <col min="7443" max="7443" width="0" style="1" hidden="1" customWidth="1"/>
    <col min="7444" max="7447" width="12.77734375" style="1" customWidth="1"/>
    <col min="7448" max="7448" width="1.77734375" style="1" customWidth="1"/>
    <col min="7449" max="7449" width="12.77734375" style="1" customWidth="1"/>
    <col min="7450" max="7450" width="1.77734375" style="1" customWidth="1"/>
    <col min="7451" max="7452" width="0" style="1" hidden="1" customWidth="1"/>
    <col min="7453" max="7453" width="12.77734375" style="1" customWidth="1"/>
    <col min="7454" max="7454" width="17.88671875" style="1" customWidth="1"/>
    <col min="7455" max="7455" width="11.77734375" style="1" customWidth="1"/>
    <col min="7456" max="7456" width="12" style="1" customWidth="1"/>
    <col min="7457" max="7680" width="27.5546875" style="1"/>
    <col min="7681" max="7681" width="19.44140625" style="1" customWidth="1"/>
    <col min="7682" max="7683" width="12.77734375" style="1" customWidth="1"/>
    <col min="7684" max="7684" width="13" style="1" customWidth="1"/>
    <col min="7685" max="7686" width="12.77734375" style="1" customWidth="1"/>
    <col min="7687" max="7689" width="0" style="1" hidden="1" customWidth="1"/>
    <col min="7690" max="7698" width="12.77734375" style="1" customWidth="1"/>
    <col min="7699" max="7699" width="0" style="1" hidden="1" customWidth="1"/>
    <col min="7700" max="7703" width="12.77734375" style="1" customWidth="1"/>
    <col min="7704" max="7704" width="1.77734375" style="1" customWidth="1"/>
    <col min="7705" max="7705" width="12.77734375" style="1" customWidth="1"/>
    <col min="7706" max="7706" width="1.77734375" style="1" customWidth="1"/>
    <col min="7707" max="7708" width="0" style="1" hidden="1" customWidth="1"/>
    <col min="7709" max="7709" width="12.77734375" style="1" customWidth="1"/>
    <col min="7710" max="7710" width="17.88671875" style="1" customWidth="1"/>
    <col min="7711" max="7711" width="11.77734375" style="1" customWidth="1"/>
    <col min="7712" max="7712" width="12" style="1" customWidth="1"/>
    <col min="7713" max="7936" width="27.5546875" style="1"/>
    <col min="7937" max="7937" width="19.44140625" style="1" customWidth="1"/>
    <col min="7938" max="7939" width="12.77734375" style="1" customWidth="1"/>
    <col min="7940" max="7940" width="13" style="1" customWidth="1"/>
    <col min="7941" max="7942" width="12.77734375" style="1" customWidth="1"/>
    <col min="7943" max="7945" width="0" style="1" hidden="1" customWidth="1"/>
    <col min="7946" max="7954" width="12.77734375" style="1" customWidth="1"/>
    <col min="7955" max="7955" width="0" style="1" hidden="1" customWidth="1"/>
    <col min="7956" max="7959" width="12.77734375" style="1" customWidth="1"/>
    <col min="7960" max="7960" width="1.77734375" style="1" customWidth="1"/>
    <col min="7961" max="7961" width="12.77734375" style="1" customWidth="1"/>
    <col min="7962" max="7962" width="1.77734375" style="1" customWidth="1"/>
    <col min="7963" max="7964" width="0" style="1" hidden="1" customWidth="1"/>
    <col min="7965" max="7965" width="12.77734375" style="1" customWidth="1"/>
    <col min="7966" max="7966" width="17.88671875" style="1" customWidth="1"/>
    <col min="7967" max="7967" width="11.77734375" style="1" customWidth="1"/>
    <col min="7968" max="7968" width="12" style="1" customWidth="1"/>
    <col min="7969" max="8192" width="27.5546875" style="1"/>
    <col min="8193" max="8193" width="19.44140625" style="1" customWidth="1"/>
    <col min="8194" max="8195" width="12.77734375" style="1" customWidth="1"/>
    <col min="8196" max="8196" width="13" style="1" customWidth="1"/>
    <col min="8197" max="8198" width="12.77734375" style="1" customWidth="1"/>
    <col min="8199" max="8201" width="0" style="1" hidden="1" customWidth="1"/>
    <col min="8202" max="8210" width="12.77734375" style="1" customWidth="1"/>
    <col min="8211" max="8211" width="0" style="1" hidden="1" customWidth="1"/>
    <col min="8212" max="8215" width="12.77734375" style="1" customWidth="1"/>
    <col min="8216" max="8216" width="1.77734375" style="1" customWidth="1"/>
    <col min="8217" max="8217" width="12.77734375" style="1" customWidth="1"/>
    <col min="8218" max="8218" width="1.77734375" style="1" customWidth="1"/>
    <col min="8219" max="8220" width="0" style="1" hidden="1" customWidth="1"/>
    <col min="8221" max="8221" width="12.77734375" style="1" customWidth="1"/>
    <col min="8222" max="8222" width="17.88671875" style="1" customWidth="1"/>
    <col min="8223" max="8223" width="11.77734375" style="1" customWidth="1"/>
    <col min="8224" max="8224" width="12" style="1" customWidth="1"/>
    <col min="8225" max="8448" width="27.5546875" style="1"/>
    <col min="8449" max="8449" width="19.44140625" style="1" customWidth="1"/>
    <col min="8450" max="8451" width="12.77734375" style="1" customWidth="1"/>
    <col min="8452" max="8452" width="13" style="1" customWidth="1"/>
    <col min="8453" max="8454" width="12.77734375" style="1" customWidth="1"/>
    <col min="8455" max="8457" width="0" style="1" hidden="1" customWidth="1"/>
    <col min="8458" max="8466" width="12.77734375" style="1" customWidth="1"/>
    <col min="8467" max="8467" width="0" style="1" hidden="1" customWidth="1"/>
    <col min="8468" max="8471" width="12.77734375" style="1" customWidth="1"/>
    <col min="8472" max="8472" width="1.77734375" style="1" customWidth="1"/>
    <col min="8473" max="8473" width="12.77734375" style="1" customWidth="1"/>
    <col min="8474" max="8474" width="1.77734375" style="1" customWidth="1"/>
    <col min="8475" max="8476" width="0" style="1" hidden="1" customWidth="1"/>
    <col min="8477" max="8477" width="12.77734375" style="1" customWidth="1"/>
    <col min="8478" max="8478" width="17.88671875" style="1" customWidth="1"/>
    <col min="8479" max="8479" width="11.77734375" style="1" customWidth="1"/>
    <col min="8480" max="8480" width="12" style="1" customWidth="1"/>
    <col min="8481" max="8704" width="27.5546875" style="1"/>
    <col min="8705" max="8705" width="19.44140625" style="1" customWidth="1"/>
    <col min="8706" max="8707" width="12.77734375" style="1" customWidth="1"/>
    <col min="8708" max="8708" width="13" style="1" customWidth="1"/>
    <col min="8709" max="8710" width="12.77734375" style="1" customWidth="1"/>
    <col min="8711" max="8713" width="0" style="1" hidden="1" customWidth="1"/>
    <col min="8714" max="8722" width="12.77734375" style="1" customWidth="1"/>
    <col min="8723" max="8723" width="0" style="1" hidden="1" customWidth="1"/>
    <col min="8724" max="8727" width="12.77734375" style="1" customWidth="1"/>
    <col min="8728" max="8728" width="1.77734375" style="1" customWidth="1"/>
    <col min="8729" max="8729" width="12.77734375" style="1" customWidth="1"/>
    <col min="8730" max="8730" width="1.77734375" style="1" customWidth="1"/>
    <col min="8731" max="8732" width="0" style="1" hidden="1" customWidth="1"/>
    <col min="8733" max="8733" width="12.77734375" style="1" customWidth="1"/>
    <col min="8734" max="8734" width="17.88671875" style="1" customWidth="1"/>
    <col min="8735" max="8735" width="11.77734375" style="1" customWidth="1"/>
    <col min="8736" max="8736" width="12" style="1" customWidth="1"/>
    <col min="8737" max="8960" width="27.5546875" style="1"/>
    <col min="8961" max="8961" width="19.44140625" style="1" customWidth="1"/>
    <col min="8962" max="8963" width="12.77734375" style="1" customWidth="1"/>
    <col min="8964" max="8964" width="13" style="1" customWidth="1"/>
    <col min="8965" max="8966" width="12.77734375" style="1" customWidth="1"/>
    <col min="8967" max="8969" width="0" style="1" hidden="1" customWidth="1"/>
    <col min="8970" max="8978" width="12.77734375" style="1" customWidth="1"/>
    <col min="8979" max="8979" width="0" style="1" hidden="1" customWidth="1"/>
    <col min="8980" max="8983" width="12.77734375" style="1" customWidth="1"/>
    <col min="8984" max="8984" width="1.77734375" style="1" customWidth="1"/>
    <col min="8985" max="8985" width="12.77734375" style="1" customWidth="1"/>
    <col min="8986" max="8986" width="1.77734375" style="1" customWidth="1"/>
    <col min="8987" max="8988" width="0" style="1" hidden="1" customWidth="1"/>
    <col min="8989" max="8989" width="12.77734375" style="1" customWidth="1"/>
    <col min="8990" max="8990" width="17.88671875" style="1" customWidth="1"/>
    <col min="8991" max="8991" width="11.77734375" style="1" customWidth="1"/>
    <col min="8992" max="8992" width="12" style="1" customWidth="1"/>
    <col min="8993" max="9216" width="27.5546875" style="1"/>
    <col min="9217" max="9217" width="19.44140625" style="1" customWidth="1"/>
    <col min="9218" max="9219" width="12.77734375" style="1" customWidth="1"/>
    <col min="9220" max="9220" width="13" style="1" customWidth="1"/>
    <col min="9221" max="9222" width="12.77734375" style="1" customWidth="1"/>
    <col min="9223" max="9225" width="0" style="1" hidden="1" customWidth="1"/>
    <col min="9226" max="9234" width="12.77734375" style="1" customWidth="1"/>
    <col min="9235" max="9235" width="0" style="1" hidden="1" customWidth="1"/>
    <col min="9236" max="9239" width="12.77734375" style="1" customWidth="1"/>
    <col min="9240" max="9240" width="1.77734375" style="1" customWidth="1"/>
    <col min="9241" max="9241" width="12.77734375" style="1" customWidth="1"/>
    <col min="9242" max="9242" width="1.77734375" style="1" customWidth="1"/>
    <col min="9243" max="9244" width="0" style="1" hidden="1" customWidth="1"/>
    <col min="9245" max="9245" width="12.77734375" style="1" customWidth="1"/>
    <col min="9246" max="9246" width="17.88671875" style="1" customWidth="1"/>
    <col min="9247" max="9247" width="11.77734375" style="1" customWidth="1"/>
    <col min="9248" max="9248" width="12" style="1" customWidth="1"/>
    <col min="9249" max="9472" width="27.5546875" style="1"/>
    <col min="9473" max="9473" width="19.44140625" style="1" customWidth="1"/>
    <col min="9474" max="9475" width="12.77734375" style="1" customWidth="1"/>
    <col min="9476" max="9476" width="13" style="1" customWidth="1"/>
    <col min="9477" max="9478" width="12.77734375" style="1" customWidth="1"/>
    <col min="9479" max="9481" width="0" style="1" hidden="1" customWidth="1"/>
    <col min="9482" max="9490" width="12.77734375" style="1" customWidth="1"/>
    <col min="9491" max="9491" width="0" style="1" hidden="1" customWidth="1"/>
    <col min="9492" max="9495" width="12.77734375" style="1" customWidth="1"/>
    <col min="9496" max="9496" width="1.77734375" style="1" customWidth="1"/>
    <col min="9497" max="9497" width="12.77734375" style="1" customWidth="1"/>
    <col min="9498" max="9498" width="1.77734375" style="1" customWidth="1"/>
    <col min="9499" max="9500" width="0" style="1" hidden="1" customWidth="1"/>
    <col min="9501" max="9501" width="12.77734375" style="1" customWidth="1"/>
    <col min="9502" max="9502" width="17.88671875" style="1" customWidth="1"/>
    <col min="9503" max="9503" width="11.77734375" style="1" customWidth="1"/>
    <col min="9504" max="9504" width="12" style="1" customWidth="1"/>
    <col min="9505" max="9728" width="27.5546875" style="1"/>
    <col min="9729" max="9729" width="19.44140625" style="1" customWidth="1"/>
    <col min="9730" max="9731" width="12.77734375" style="1" customWidth="1"/>
    <col min="9732" max="9732" width="13" style="1" customWidth="1"/>
    <col min="9733" max="9734" width="12.77734375" style="1" customWidth="1"/>
    <col min="9735" max="9737" width="0" style="1" hidden="1" customWidth="1"/>
    <col min="9738" max="9746" width="12.77734375" style="1" customWidth="1"/>
    <col min="9747" max="9747" width="0" style="1" hidden="1" customWidth="1"/>
    <col min="9748" max="9751" width="12.77734375" style="1" customWidth="1"/>
    <col min="9752" max="9752" width="1.77734375" style="1" customWidth="1"/>
    <col min="9753" max="9753" width="12.77734375" style="1" customWidth="1"/>
    <col min="9754" max="9754" width="1.77734375" style="1" customWidth="1"/>
    <col min="9755" max="9756" width="0" style="1" hidden="1" customWidth="1"/>
    <col min="9757" max="9757" width="12.77734375" style="1" customWidth="1"/>
    <col min="9758" max="9758" width="17.88671875" style="1" customWidth="1"/>
    <col min="9759" max="9759" width="11.77734375" style="1" customWidth="1"/>
    <col min="9760" max="9760" width="12" style="1" customWidth="1"/>
    <col min="9761" max="9984" width="27.5546875" style="1"/>
    <col min="9985" max="9985" width="19.44140625" style="1" customWidth="1"/>
    <col min="9986" max="9987" width="12.77734375" style="1" customWidth="1"/>
    <col min="9988" max="9988" width="13" style="1" customWidth="1"/>
    <col min="9989" max="9990" width="12.77734375" style="1" customWidth="1"/>
    <col min="9991" max="9993" width="0" style="1" hidden="1" customWidth="1"/>
    <col min="9994" max="10002" width="12.77734375" style="1" customWidth="1"/>
    <col min="10003" max="10003" width="0" style="1" hidden="1" customWidth="1"/>
    <col min="10004" max="10007" width="12.77734375" style="1" customWidth="1"/>
    <col min="10008" max="10008" width="1.77734375" style="1" customWidth="1"/>
    <col min="10009" max="10009" width="12.77734375" style="1" customWidth="1"/>
    <col min="10010" max="10010" width="1.77734375" style="1" customWidth="1"/>
    <col min="10011" max="10012" width="0" style="1" hidden="1" customWidth="1"/>
    <col min="10013" max="10013" width="12.77734375" style="1" customWidth="1"/>
    <col min="10014" max="10014" width="17.88671875" style="1" customWidth="1"/>
    <col min="10015" max="10015" width="11.77734375" style="1" customWidth="1"/>
    <col min="10016" max="10016" width="12" style="1" customWidth="1"/>
    <col min="10017" max="10240" width="27.5546875" style="1"/>
    <col min="10241" max="10241" width="19.44140625" style="1" customWidth="1"/>
    <col min="10242" max="10243" width="12.77734375" style="1" customWidth="1"/>
    <col min="10244" max="10244" width="13" style="1" customWidth="1"/>
    <col min="10245" max="10246" width="12.77734375" style="1" customWidth="1"/>
    <col min="10247" max="10249" width="0" style="1" hidden="1" customWidth="1"/>
    <col min="10250" max="10258" width="12.77734375" style="1" customWidth="1"/>
    <col min="10259" max="10259" width="0" style="1" hidden="1" customWidth="1"/>
    <col min="10260" max="10263" width="12.77734375" style="1" customWidth="1"/>
    <col min="10264" max="10264" width="1.77734375" style="1" customWidth="1"/>
    <col min="10265" max="10265" width="12.77734375" style="1" customWidth="1"/>
    <col min="10266" max="10266" width="1.77734375" style="1" customWidth="1"/>
    <col min="10267" max="10268" width="0" style="1" hidden="1" customWidth="1"/>
    <col min="10269" max="10269" width="12.77734375" style="1" customWidth="1"/>
    <col min="10270" max="10270" width="17.88671875" style="1" customWidth="1"/>
    <col min="10271" max="10271" width="11.77734375" style="1" customWidth="1"/>
    <col min="10272" max="10272" width="12" style="1" customWidth="1"/>
    <col min="10273" max="10496" width="27.5546875" style="1"/>
    <col min="10497" max="10497" width="19.44140625" style="1" customWidth="1"/>
    <col min="10498" max="10499" width="12.77734375" style="1" customWidth="1"/>
    <col min="10500" max="10500" width="13" style="1" customWidth="1"/>
    <col min="10501" max="10502" width="12.77734375" style="1" customWidth="1"/>
    <col min="10503" max="10505" width="0" style="1" hidden="1" customWidth="1"/>
    <col min="10506" max="10514" width="12.77734375" style="1" customWidth="1"/>
    <col min="10515" max="10515" width="0" style="1" hidden="1" customWidth="1"/>
    <col min="10516" max="10519" width="12.77734375" style="1" customWidth="1"/>
    <col min="10520" max="10520" width="1.77734375" style="1" customWidth="1"/>
    <col min="10521" max="10521" width="12.77734375" style="1" customWidth="1"/>
    <col min="10522" max="10522" width="1.77734375" style="1" customWidth="1"/>
    <col min="10523" max="10524" width="0" style="1" hidden="1" customWidth="1"/>
    <col min="10525" max="10525" width="12.77734375" style="1" customWidth="1"/>
    <col min="10526" max="10526" width="17.88671875" style="1" customWidth="1"/>
    <col min="10527" max="10527" width="11.77734375" style="1" customWidth="1"/>
    <col min="10528" max="10528" width="12" style="1" customWidth="1"/>
    <col min="10529" max="10752" width="27.5546875" style="1"/>
    <col min="10753" max="10753" width="19.44140625" style="1" customWidth="1"/>
    <col min="10754" max="10755" width="12.77734375" style="1" customWidth="1"/>
    <col min="10756" max="10756" width="13" style="1" customWidth="1"/>
    <col min="10757" max="10758" width="12.77734375" style="1" customWidth="1"/>
    <col min="10759" max="10761" width="0" style="1" hidden="1" customWidth="1"/>
    <col min="10762" max="10770" width="12.77734375" style="1" customWidth="1"/>
    <col min="10771" max="10771" width="0" style="1" hidden="1" customWidth="1"/>
    <col min="10772" max="10775" width="12.77734375" style="1" customWidth="1"/>
    <col min="10776" max="10776" width="1.77734375" style="1" customWidth="1"/>
    <col min="10777" max="10777" width="12.77734375" style="1" customWidth="1"/>
    <col min="10778" max="10778" width="1.77734375" style="1" customWidth="1"/>
    <col min="10779" max="10780" width="0" style="1" hidden="1" customWidth="1"/>
    <col min="10781" max="10781" width="12.77734375" style="1" customWidth="1"/>
    <col min="10782" max="10782" width="17.88671875" style="1" customWidth="1"/>
    <col min="10783" max="10783" width="11.77734375" style="1" customWidth="1"/>
    <col min="10784" max="10784" width="12" style="1" customWidth="1"/>
    <col min="10785" max="11008" width="27.5546875" style="1"/>
    <col min="11009" max="11009" width="19.44140625" style="1" customWidth="1"/>
    <col min="11010" max="11011" width="12.77734375" style="1" customWidth="1"/>
    <col min="11012" max="11012" width="13" style="1" customWidth="1"/>
    <col min="11013" max="11014" width="12.77734375" style="1" customWidth="1"/>
    <col min="11015" max="11017" width="0" style="1" hidden="1" customWidth="1"/>
    <col min="11018" max="11026" width="12.77734375" style="1" customWidth="1"/>
    <col min="11027" max="11027" width="0" style="1" hidden="1" customWidth="1"/>
    <col min="11028" max="11031" width="12.77734375" style="1" customWidth="1"/>
    <col min="11032" max="11032" width="1.77734375" style="1" customWidth="1"/>
    <col min="11033" max="11033" width="12.77734375" style="1" customWidth="1"/>
    <col min="11034" max="11034" width="1.77734375" style="1" customWidth="1"/>
    <col min="11035" max="11036" width="0" style="1" hidden="1" customWidth="1"/>
    <col min="11037" max="11037" width="12.77734375" style="1" customWidth="1"/>
    <col min="11038" max="11038" width="17.88671875" style="1" customWidth="1"/>
    <col min="11039" max="11039" width="11.77734375" style="1" customWidth="1"/>
    <col min="11040" max="11040" width="12" style="1" customWidth="1"/>
    <col min="11041" max="11264" width="27.5546875" style="1"/>
    <col min="11265" max="11265" width="19.44140625" style="1" customWidth="1"/>
    <col min="11266" max="11267" width="12.77734375" style="1" customWidth="1"/>
    <col min="11268" max="11268" width="13" style="1" customWidth="1"/>
    <col min="11269" max="11270" width="12.77734375" style="1" customWidth="1"/>
    <col min="11271" max="11273" width="0" style="1" hidden="1" customWidth="1"/>
    <col min="11274" max="11282" width="12.77734375" style="1" customWidth="1"/>
    <col min="11283" max="11283" width="0" style="1" hidden="1" customWidth="1"/>
    <col min="11284" max="11287" width="12.77734375" style="1" customWidth="1"/>
    <col min="11288" max="11288" width="1.77734375" style="1" customWidth="1"/>
    <col min="11289" max="11289" width="12.77734375" style="1" customWidth="1"/>
    <col min="11290" max="11290" width="1.77734375" style="1" customWidth="1"/>
    <col min="11291" max="11292" width="0" style="1" hidden="1" customWidth="1"/>
    <col min="11293" max="11293" width="12.77734375" style="1" customWidth="1"/>
    <col min="11294" max="11294" width="17.88671875" style="1" customWidth="1"/>
    <col min="11295" max="11295" width="11.77734375" style="1" customWidth="1"/>
    <col min="11296" max="11296" width="12" style="1" customWidth="1"/>
    <col min="11297" max="11520" width="27.5546875" style="1"/>
    <col min="11521" max="11521" width="19.44140625" style="1" customWidth="1"/>
    <col min="11522" max="11523" width="12.77734375" style="1" customWidth="1"/>
    <col min="11524" max="11524" width="13" style="1" customWidth="1"/>
    <col min="11525" max="11526" width="12.77734375" style="1" customWidth="1"/>
    <col min="11527" max="11529" width="0" style="1" hidden="1" customWidth="1"/>
    <col min="11530" max="11538" width="12.77734375" style="1" customWidth="1"/>
    <col min="11539" max="11539" width="0" style="1" hidden="1" customWidth="1"/>
    <col min="11540" max="11543" width="12.77734375" style="1" customWidth="1"/>
    <col min="11544" max="11544" width="1.77734375" style="1" customWidth="1"/>
    <col min="11545" max="11545" width="12.77734375" style="1" customWidth="1"/>
    <col min="11546" max="11546" width="1.77734375" style="1" customWidth="1"/>
    <col min="11547" max="11548" width="0" style="1" hidden="1" customWidth="1"/>
    <col min="11549" max="11549" width="12.77734375" style="1" customWidth="1"/>
    <col min="11550" max="11550" width="17.88671875" style="1" customWidth="1"/>
    <col min="11551" max="11551" width="11.77734375" style="1" customWidth="1"/>
    <col min="11552" max="11552" width="12" style="1" customWidth="1"/>
    <col min="11553" max="11776" width="27.5546875" style="1"/>
    <col min="11777" max="11777" width="19.44140625" style="1" customWidth="1"/>
    <col min="11778" max="11779" width="12.77734375" style="1" customWidth="1"/>
    <col min="11780" max="11780" width="13" style="1" customWidth="1"/>
    <col min="11781" max="11782" width="12.77734375" style="1" customWidth="1"/>
    <col min="11783" max="11785" width="0" style="1" hidden="1" customWidth="1"/>
    <col min="11786" max="11794" width="12.77734375" style="1" customWidth="1"/>
    <col min="11795" max="11795" width="0" style="1" hidden="1" customWidth="1"/>
    <col min="11796" max="11799" width="12.77734375" style="1" customWidth="1"/>
    <col min="11800" max="11800" width="1.77734375" style="1" customWidth="1"/>
    <col min="11801" max="11801" width="12.77734375" style="1" customWidth="1"/>
    <col min="11802" max="11802" width="1.77734375" style="1" customWidth="1"/>
    <col min="11803" max="11804" width="0" style="1" hidden="1" customWidth="1"/>
    <col min="11805" max="11805" width="12.77734375" style="1" customWidth="1"/>
    <col min="11806" max="11806" width="17.88671875" style="1" customWidth="1"/>
    <col min="11807" max="11807" width="11.77734375" style="1" customWidth="1"/>
    <col min="11808" max="11808" width="12" style="1" customWidth="1"/>
    <col min="11809" max="12032" width="27.5546875" style="1"/>
    <col min="12033" max="12033" width="19.44140625" style="1" customWidth="1"/>
    <col min="12034" max="12035" width="12.77734375" style="1" customWidth="1"/>
    <col min="12036" max="12036" width="13" style="1" customWidth="1"/>
    <col min="12037" max="12038" width="12.77734375" style="1" customWidth="1"/>
    <col min="12039" max="12041" width="0" style="1" hidden="1" customWidth="1"/>
    <col min="12042" max="12050" width="12.77734375" style="1" customWidth="1"/>
    <col min="12051" max="12051" width="0" style="1" hidden="1" customWidth="1"/>
    <col min="12052" max="12055" width="12.77734375" style="1" customWidth="1"/>
    <col min="12056" max="12056" width="1.77734375" style="1" customWidth="1"/>
    <col min="12057" max="12057" width="12.77734375" style="1" customWidth="1"/>
    <col min="12058" max="12058" width="1.77734375" style="1" customWidth="1"/>
    <col min="12059" max="12060" width="0" style="1" hidden="1" customWidth="1"/>
    <col min="12061" max="12061" width="12.77734375" style="1" customWidth="1"/>
    <col min="12062" max="12062" width="17.88671875" style="1" customWidth="1"/>
    <col min="12063" max="12063" width="11.77734375" style="1" customWidth="1"/>
    <col min="12064" max="12064" width="12" style="1" customWidth="1"/>
    <col min="12065" max="12288" width="27.5546875" style="1"/>
    <col min="12289" max="12289" width="19.44140625" style="1" customWidth="1"/>
    <col min="12290" max="12291" width="12.77734375" style="1" customWidth="1"/>
    <col min="12292" max="12292" width="13" style="1" customWidth="1"/>
    <col min="12293" max="12294" width="12.77734375" style="1" customWidth="1"/>
    <col min="12295" max="12297" width="0" style="1" hidden="1" customWidth="1"/>
    <col min="12298" max="12306" width="12.77734375" style="1" customWidth="1"/>
    <col min="12307" max="12307" width="0" style="1" hidden="1" customWidth="1"/>
    <col min="12308" max="12311" width="12.77734375" style="1" customWidth="1"/>
    <col min="12312" max="12312" width="1.77734375" style="1" customWidth="1"/>
    <col min="12313" max="12313" width="12.77734375" style="1" customWidth="1"/>
    <col min="12314" max="12314" width="1.77734375" style="1" customWidth="1"/>
    <col min="12315" max="12316" width="0" style="1" hidden="1" customWidth="1"/>
    <col min="12317" max="12317" width="12.77734375" style="1" customWidth="1"/>
    <col min="12318" max="12318" width="17.88671875" style="1" customWidth="1"/>
    <col min="12319" max="12319" width="11.77734375" style="1" customWidth="1"/>
    <col min="12320" max="12320" width="12" style="1" customWidth="1"/>
    <col min="12321" max="12544" width="27.5546875" style="1"/>
    <col min="12545" max="12545" width="19.44140625" style="1" customWidth="1"/>
    <col min="12546" max="12547" width="12.77734375" style="1" customWidth="1"/>
    <col min="12548" max="12548" width="13" style="1" customWidth="1"/>
    <col min="12549" max="12550" width="12.77734375" style="1" customWidth="1"/>
    <col min="12551" max="12553" width="0" style="1" hidden="1" customWidth="1"/>
    <col min="12554" max="12562" width="12.77734375" style="1" customWidth="1"/>
    <col min="12563" max="12563" width="0" style="1" hidden="1" customWidth="1"/>
    <col min="12564" max="12567" width="12.77734375" style="1" customWidth="1"/>
    <col min="12568" max="12568" width="1.77734375" style="1" customWidth="1"/>
    <col min="12569" max="12569" width="12.77734375" style="1" customWidth="1"/>
    <col min="12570" max="12570" width="1.77734375" style="1" customWidth="1"/>
    <col min="12571" max="12572" width="0" style="1" hidden="1" customWidth="1"/>
    <col min="12573" max="12573" width="12.77734375" style="1" customWidth="1"/>
    <col min="12574" max="12574" width="17.88671875" style="1" customWidth="1"/>
    <col min="12575" max="12575" width="11.77734375" style="1" customWidth="1"/>
    <col min="12576" max="12576" width="12" style="1" customWidth="1"/>
    <col min="12577" max="12800" width="27.5546875" style="1"/>
    <col min="12801" max="12801" width="19.44140625" style="1" customWidth="1"/>
    <col min="12802" max="12803" width="12.77734375" style="1" customWidth="1"/>
    <col min="12804" max="12804" width="13" style="1" customWidth="1"/>
    <col min="12805" max="12806" width="12.77734375" style="1" customWidth="1"/>
    <col min="12807" max="12809" width="0" style="1" hidden="1" customWidth="1"/>
    <col min="12810" max="12818" width="12.77734375" style="1" customWidth="1"/>
    <col min="12819" max="12819" width="0" style="1" hidden="1" customWidth="1"/>
    <col min="12820" max="12823" width="12.77734375" style="1" customWidth="1"/>
    <col min="12824" max="12824" width="1.77734375" style="1" customWidth="1"/>
    <col min="12825" max="12825" width="12.77734375" style="1" customWidth="1"/>
    <col min="12826" max="12826" width="1.77734375" style="1" customWidth="1"/>
    <col min="12827" max="12828" width="0" style="1" hidden="1" customWidth="1"/>
    <col min="12829" max="12829" width="12.77734375" style="1" customWidth="1"/>
    <col min="12830" max="12830" width="17.88671875" style="1" customWidth="1"/>
    <col min="12831" max="12831" width="11.77734375" style="1" customWidth="1"/>
    <col min="12832" max="12832" width="12" style="1" customWidth="1"/>
    <col min="12833" max="13056" width="27.5546875" style="1"/>
    <col min="13057" max="13057" width="19.44140625" style="1" customWidth="1"/>
    <col min="13058" max="13059" width="12.77734375" style="1" customWidth="1"/>
    <col min="13060" max="13060" width="13" style="1" customWidth="1"/>
    <col min="13061" max="13062" width="12.77734375" style="1" customWidth="1"/>
    <col min="13063" max="13065" width="0" style="1" hidden="1" customWidth="1"/>
    <col min="13066" max="13074" width="12.77734375" style="1" customWidth="1"/>
    <col min="13075" max="13075" width="0" style="1" hidden="1" customWidth="1"/>
    <col min="13076" max="13079" width="12.77734375" style="1" customWidth="1"/>
    <col min="13080" max="13080" width="1.77734375" style="1" customWidth="1"/>
    <col min="13081" max="13081" width="12.77734375" style="1" customWidth="1"/>
    <col min="13082" max="13082" width="1.77734375" style="1" customWidth="1"/>
    <col min="13083" max="13084" width="0" style="1" hidden="1" customWidth="1"/>
    <col min="13085" max="13085" width="12.77734375" style="1" customWidth="1"/>
    <col min="13086" max="13086" width="17.88671875" style="1" customWidth="1"/>
    <col min="13087" max="13087" width="11.77734375" style="1" customWidth="1"/>
    <col min="13088" max="13088" width="12" style="1" customWidth="1"/>
    <col min="13089" max="13312" width="27.5546875" style="1"/>
    <col min="13313" max="13313" width="19.44140625" style="1" customWidth="1"/>
    <col min="13314" max="13315" width="12.77734375" style="1" customWidth="1"/>
    <col min="13316" max="13316" width="13" style="1" customWidth="1"/>
    <col min="13317" max="13318" width="12.77734375" style="1" customWidth="1"/>
    <col min="13319" max="13321" width="0" style="1" hidden="1" customWidth="1"/>
    <col min="13322" max="13330" width="12.77734375" style="1" customWidth="1"/>
    <col min="13331" max="13331" width="0" style="1" hidden="1" customWidth="1"/>
    <col min="13332" max="13335" width="12.77734375" style="1" customWidth="1"/>
    <col min="13336" max="13336" width="1.77734375" style="1" customWidth="1"/>
    <col min="13337" max="13337" width="12.77734375" style="1" customWidth="1"/>
    <col min="13338" max="13338" width="1.77734375" style="1" customWidth="1"/>
    <col min="13339" max="13340" width="0" style="1" hidden="1" customWidth="1"/>
    <col min="13341" max="13341" width="12.77734375" style="1" customWidth="1"/>
    <col min="13342" max="13342" width="17.88671875" style="1" customWidth="1"/>
    <col min="13343" max="13343" width="11.77734375" style="1" customWidth="1"/>
    <col min="13344" max="13344" width="12" style="1" customWidth="1"/>
    <col min="13345" max="13568" width="27.5546875" style="1"/>
    <col min="13569" max="13569" width="19.44140625" style="1" customWidth="1"/>
    <col min="13570" max="13571" width="12.77734375" style="1" customWidth="1"/>
    <col min="13572" max="13572" width="13" style="1" customWidth="1"/>
    <col min="13573" max="13574" width="12.77734375" style="1" customWidth="1"/>
    <col min="13575" max="13577" width="0" style="1" hidden="1" customWidth="1"/>
    <col min="13578" max="13586" width="12.77734375" style="1" customWidth="1"/>
    <col min="13587" max="13587" width="0" style="1" hidden="1" customWidth="1"/>
    <col min="13588" max="13591" width="12.77734375" style="1" customWidth="1"/>
    <col min="13592" max="13592" width="1.77734375" style="1" customWidth="1"/>
    <col min="13593" max="13593" width="12.77734375" style="1" customWidth="1"/>
    <col min="13594" max="13594" width="1.77734375" style="1" customWidth="1"/>
    <col min="13595" max="13596" width="0" style="1" hidden="1" customWidth="1"/>
    <col min="13597" max="13597" width="12.77734375" style="1" customWidth="1"/>
    <col min="13598" max="13598" width="17.88671875" style="1" customWidth="1"/>
    <col min="13599" max="13599" width="11.77734375" style="1" customWidth="1"/>
    <col min="13600" max="13600" width="12" style="1" customWidth="1"/>
    <col min="13601" max="13824" width="27.5546875" style="1"/>
    <col min="13825" max="13825" width="19.44140625" style="1" customWidth="1"/>
    <col min="13826" max="13827" width="12.77734375" style="1" customWidth="1"/>
    <col min="13828" max="13828" width="13" style="1" customWidth="1"/>
    <col min="13829" max="13830" width="12.77734375" style="1" customWidth="1"/>
    <col min="13831" max="13833" width="0" style="1" hidden="1" customWidth="1"/>
    <col min="13834" max="13842" width="12.77734375" style="1" customWidth="1"/>
    <col min="13843" max="13843" width="0" style="1" hidden="1" customWidth="1"/>
    <col min="13844" max="13847" width="12.77734375" style="1" customWidth="1"/>
    <col min="13848" max="13848" width="1.77734375" style="1" customWidth="1"/>
    <col min="13849" max="13849" width="12.77734375" style="1" customWidth="1"/>
    <col min="13850" max="13850" width="1.77734375" style="1" customWidth="1"/>
    <col min="13851" max="13852" width="0" style="1" hidden="1" customWidth="1"/>
    <col min="13853" max="13853" width="12.77734375" style="1" customWidth="1"/>
    <col min="13854" max="13854" width="17.88671875" style="1" customWidth="1"/>
    <col min="13855" max="13855" width="11.77734375" style="1" customWidth="1"/>
    <col min="13856" max="13856" width="12" style="1" customWidth="1"/>
    <col min="13857" max="14080" width="27.5546875" style="1"/>
    <col min="14081" max="14081" width="19.44140625" style="1" customWidth="1"/>
    <col min="14082" max="14083" width="12.77734375" style="1" customWidth="1"/>
    <col min="14084" max="14084" width="13" style="1" customWidth="1"/>
    <col min="14085" max="14086" width="12.77734375" style="1" customWidth="1"/>
    <col min="14087" max="14089" width="0" style="1" hidden="1" customWidth="1"/>
    <col min="14090" max="14098" width="12.77734375" style="1" customWidth="1"/>
    <col min="14099" max="14099" width="0" style="1" hidden="1" customWidth="1"/>
    <col min="14100" max="14103" width="12.77734375" style="1" customWidth="1"/>
    <col min="14104" max="14104" width="1.77734375" style="1" customWidth="1"/>
    <col min="14105" max="14105" width="12.77734375" style="1" customWidth="1"/>
    <col min="14106" max="14106" width="1.77734375" style="1" customWidth="1"/>
    <col min="14107" max="14108" width="0" style="1" hidden="1" customWidth="1"/>
    <col min="14109" max="14109" width="12.77734375" style="1" customWidth="1"/>
    <col min="14110" max="14110" width="17.88671875" style="1" customWidth="1"/>
    <col min="14111" max="14111" width="11.77734375" style="1" customWidth="1"/>
    <col min="14112" max="14112" width="12" style="1" customWidth="1"/>
    <col min="14113" max="14336" width="27.5546875" style="1"/>
    <col min="14337" max="14337" width="19.44140625" style="1" customWidth="1"/>
    <col min="14338" max="14339" width="12.77734375" style="1" customWidth="1"/>
    <col min="14340" max="14340" width="13" style="1" customWidth="1"/>
    <col min="14341" max="14342" width="12.77734375" style="1" customWidth="1"/>
    <col min="14343" max="14345" width="0" style="1" hidden="1" customWidth="1"/>
    <col min="14346" max="14354" width="12.77734375" style="1" customWidth="1"/>
    <col min="14355" max="14355" width="0" style="1" hidden="1" customWidth="1"/>
    <col min="14356" max="14359" width="12.77734375" style="1" customWidth="1"/>
    <col min="14360" max="14360" width="1.77734375" style="1" customWidth="1"/>
    <col min="14361" max="14361" width="12.77734375" style="1" customWidth="1"/>
    <col min="14362" max="14362" width="1.77734375" style="1" customWidth="1"/>
    <col min="14363" max="14364" width="0" style="1" hidden="1" customWidth="1"/>
    <col min="14365" max="14365" width="12.77734375" style="1" customWidth="1"/>
    <col min="14366" max="14366" width="17.88671875" style="1" customWidth="1"/>
    <col min="14367" max="14367" width="11.77734375" style="1" customWidth="1"/>
    <col min="14368" max="14368" width="12" style="1" customWidth="1"/>
    <col min="14369" max="14592" width="27.5546875" style="1"/>
    <col min="14593" max="14593" width="19.44140625" style="1" customWidth="1"/>
    <col min="14594" max="14595" width="12.77734375" style="1" customWidth="1"/>
    <col min="14596" max="14596" width="13" style="1" customWidth="1"/>
    <col min="14597" max="14598" width="12.77734375" style="1" customWidth="1"/>
    <col min="14599" max="14601" width="0" style="1" hidden="1" customWidth="1"/>
    <col min="14602" max="14610" width="12.77734375" style="1" customWidth="1"/>
    <col min="14611" max="14611" width="0" style="1" hidden="1" customWidth="1"/>
    <col min="14612" max="14615" width="12.77734375" style="1" customWidth="1"/>
    <col min="14616" max="14616" width="1.77734375" style="1" customWidth="1"/>
    <col min="14617" max="14617" width="12.77734375" style="1" customWidth="1"/>
    <col min="14618" max="14618" width="1.77734375" style="1" customWidth="1"/>
    <col min="14619" max="14620" width="0" style="1" hidden="1" customWidth="1"/>
    <col min="14621" max="14621" width="12.77734375" style="1" customWidth="1"/>
    <col min="14622" max="14622" width="17.88671875" style="1" customWidth="1"/>
    <col min="14623" max="14623" width="11.77734375" style="1" customWidth="1"/>
    <col min="14624" max="14624" width="12" style="1" customWidth="1"/>
    <col min="14625" max="14848" width="27.5546875" style="1"/>
    <col min="14849" max="14849" width="19.44140625" style="1" customWidth="1"/>
    <col min="14850" max="14851" width="12.77734375" style="1" customWidth="1"/>
    <col min="14852" max="14852" width="13" style="1" customWidth="1"/>
    <col min="14853" max="14854" width="12.77734375" style="1" customWidth="1"/>
    <col min="14855" max="14857" width="0" style="1" hidden="1" customWidth="1"/>
    <col min="14858" max="14866" width="12.77734375" style="1" customWidth="1"/>
    <col min="14867" max="14867" width="0" style="1" hidden="1" customWidth="1"/>
    <col min="14868" max="14871" width="12.77734375" style="1" customWidth="1"/>
    <col min="14872" max="14872" width="1.77734375" style="1" customWidth="1"/>
    <col min="14873" max="14873" width="12.77734375" style="1" customWidth="1"/>
    <col min="14874" max="14874" width="1.77734375" style="1" customWidth="1"/>
    <col min="14875" max="14876" width="0" style="1" hidden="1" customWidth="1"/>
    <col min="14877" max="14877" width="12.77734375" style="1" customWidth="1"/>
    <col min="14878" max="14878" width="17.88671875" style="1" customWidth="1"/>
    <col min="14879" max="14879" width="11.77734375" style="1" customWidth="1"/>
    <col min="14880" max="14880" width="12" style="1" customWidth="1"/>
    <col min="14881" max="15104" width="27.5546875" style="1"/>
    <col min="15105" max="15105" width="19.44140625" style="1" customWidth="1"/>
    <col min="15106" max="15107" width="12.77734375" style="1" customWidth="1"/>
    <col min="15108" max="15108" width="13" style="1" customWidth="1"/>
    <col min="15109" max="15110" width="12.77734375" style="1" customWidth="1"/>
    <col min="15111" max="15113" width="0" style="1" hidden="1" customWidth="1"/>
    <col min="15114" max="15122" width="12.77734375" style="1" customWidth="1"/>
    <col min="15123" max="15123" width="0" style="1" hidden="1" customWidth="1"/>
    <col min="15124" max="15127" width="12.77734375" style="1" customWidth="1"/>
    <col min="15128" max="15128" width="1.77734375" style="1" customWidth="1"/>
    <col min="15129" max="15129" width="12.77734375" style="1" customWidth="1"/>
    <col min="15130" max="15130" width="1.77734375" style="1" customWidth="1"/>
    <col min="15131" max="15132" width="0" style="1" hidden="1" customWidth="1"/>
    <col min="15133" max="15133" width="12.77734375" style="1" customWidth="1"/>
    <col min="15134" max="15134" width="17.88671875" style="1" customWidth="1"/>
    <col min="15135" max="15135" width="11.77734375" style="1" customWidth="1"/>
    <col min="15136" max="15136" width="12" style="1" customWidth="1"/>
    <col min="15137" max="15360" width="27.5546875" style="1"/>
    <col min="15361" max="15361" width="19.44140625" style="1" customWidth="1"/>
    <col min="15362" max="15363" width="12.77734375" style="1" customWidth="1"/>
    <col min="15364" max="15364" width="13" style="1" customWidth="1"/>
    <col min="15365" max="15366" width="12.77734375" style="1" customWidth="1"/>
    <col min="15367" max="15369" width="0" style="1" hidden="1" customWidth="1"/>
    <col min="15370" max="15378" width="12.77734375" style="1" customWidth="1"/>
    <col min="15379" max="15379" width="0" style="1" hidden="1" customWidth="1"/>
    <col min="15380" max="15383" width="12.77734375" style="1" customWidth="1"/>
    <col min="15384" max="15384" width="1.77734375" style="1" customWidth="1"/>
    <col min="15385" max="15385" width="12.77734375" style="1" customWidth="1"/>
    <col min="15386" max="15386" width="1.77734375" style="1" customWidth="1"/>
    <col min="15387" max="15388" width="0" style="1" hidden="1" customWidth="1"/>
    <col min="15389" max="15389" width="12.77734375" style="1" customWidth="1"/>
    <col min="15390" max="15390" width="17.88671875" style="1" customWidth="1"/>
    <col min="15391" max="15391" width="11.77734375" style="1" customWidth="1"/>
    <col min="15392" max="15392" width="12" style="1" customWidth="1"/>
    <col min="15393" max="15616" width="27.5546875" style="1"/>
    <col min="15617" max="15617" width="19.44140625" style="1" customWidth="1"/>
    <col min="15618" max="15619" width="12.77734375" style="1" customWidth="1"/>
    <col min="15620" max="15620" width="13" style="1" customWidth="1"/>
    <col min="15621" max="15622" width="12.77734375" style="1" customWidth="1"/>
    <col min="15623" max="15625" width="0" style="1" hidden="1" customWidth="1"/>
    <col min="15626" max="15634" width="12.77734375" style="1" customWidth="1"/>
    <col min="15635" max="15635" width="0" style="1" hidden="1" customWidth="1"/>
    <col min="15636" max="15639" width="12.77734375" style="1" customWidth="1"/>
    <col min="15640" max="15640" width="1.77734375" style="1" customWidth="1"/>
    <col min="15641" max="15641" width="12.77734375" style="1" customWidth="1"/>
    <col min="15642" max="15642" width="1.77734375" style="1" customWidth="1"/>
    <col min="15643" max="15644" width="0" style="1" hidden="1" customWidth="1"/>
    <col min="15645" max="15645" width="12.77734375" style="1" customWidth="1"/>
    <col min="15646" max="15646" width="17.88671875" style="1" customWidth="1"/>
    <col min="15647" max="15647" width="11.77734375" style="1" customWidth="1"/>
    <col min="15648" max="15648" width="12" style="1" customWidth="1"/>
    <col min="15649" max="15872" width="27.5546875" style="1"/>
    <col min="15873" max="15873" width="19.44140625" style="1" customWidth="1"/>
    <col min="15874" max="15875" width="12.77734375" style="1" customWidth="1"/>
    <col min="15876" max="15876" width="13" style="1" customWidth="1"/>
    <col min="15877" max="15878" width="12.77734375" style="1" customWidth="1"/>
    <col min="15879" max="15881" width="0" style="1" hidden="1" customWidth="1"/>
    <col min="15882" max="15890" width="12.77734375" style="1" customWidth="1"/>
    <col min="15891" max="15891" width="0" style="1" hidden="1" customWidth="1"/>
    <col min="15892" max="15895" width="12.77734375" style="1" customWidth="1"/>
    <col min="15896" max="15896" width="1.77734375" style="1" customWidth="1"/>
    <col min="15897" max="15897" width="12.77734375" style="1" customWidth="1"/>
    <col min="15898" max="15898" width="1.77734375" style="1" customWidth="1"/>
    <col min="15899" max="15900" width="0" style="1" hidden="1" customWidth="1"/>
    <col min="15901" max="15901" width="12.77734375" style="1" customWidth="1"/>
    <col min="15902" max="15902" width="17.88671875" style="1" customWidth="1"/>
    <col min="15903" max="15903" width="11.77734375" style="1" customWidth="1"/>
    <col min="15904" max="15904" width="12" style="1" customWidth="1"/>
    <col min="15905" max="16128" width="27.5546875" style="1"/>
    <col min="16129" max="16129" width="19.44140625" style="1" customWidth="1"/>
    <col min="16130" max="16131" width="12.77734375" style="1" customWidth="1"/>
    <col min="16132" max="16132" width="13" style="1" customWidth="1"/>
    <col min="16133" max="16134" width="12.77734375" style="1" customWidth="1"/>
    <col min="16135" max="16137" width="0" style="1" hidden="1" customWidth="1"/>
    <col min="16138" max="16146" width="12.77734375" style="1" customWidth="1"/>
    <col min="16147" max="16147" width="0" style="1" hidden="1" customWidth="1"/>
    <col min="16148" max="16151" width="12.77734375" style="1" customWidth="1"/>
    <col min="16152" max="16152" width="1.77734375" style="1" customWidth="1"/>
    <col min="16153" max="16153" width="12.77734375" style="1" customWidth="1"/>
    <col min="16154" max="16154" width="1.77734375" style="1" customWidth="1"/>
    <col min="16155" max="16156" width="0" style="1" hidden="1" customWidth="1"/>
    <col min="16157" max="16157" width="12.77734375" style="1" customWidth="1"/>
    <col min="16158" max="16158" width="17.88671875" style="1" customWidth="1"/>
    <col min="16159" max="16159" width="11.77734375" style="1" customWidth="1"/>
    <col min="16160" max="16160" width="12" style="1" customWidth="1"/>
    <col min="16161" max="16384" width="27.5546875" style="1"/>
  </cols>
  <sheetData>
    <row r="1" spans="1:52" ht="36.75" customHeight="1" x14ac:dyDescent="0.25">
      <c r="A1" s="65"/>
      <c r="B1" s="50"/>
      <c r="C1" s="64"/>
      <c r="D1" s="50"/>
      <c r="E1" s="50"/>
      <c r="F1" s="50"/>
      <c r="G1" s="50"/>
      <c r="H1" s="50"/>
      <c r="I1" s="50"/>
      <c r="J1" s="50"/>
      <c r="K1" s="50"/>
      <c r="M1" s="63"/>
      <c r="O1" s="50"/>
      <c r="P1" s="50"/>
      <c r="Q1" s="50"/>
      <c r="R1" s="50"/>
      <c r="S1" s="50"/>
      <c r="T1" s="50"/>
      <c r="U1" s="50"/>
      <c r="V1" s="50"/>
      <c r="W1" s="62" t="s">
        <v>94</v>
      </c>
      <c r="Y1" s="61"/>
      <c r="AA1" s="61"/>
      <c r="AC1" s="61"/>
    </row>
    <row r="2" spans="1:52" s="57" customFormat="1" ht="18" customHeight="1" x14ac:dyDescent="0.2">
      <c r="A2" s="60"/>
      <c r="B2" s="27"/>
      <c r="C2" s="27"/>
      <c r="D2" s="28"/>
      <c r="E2" s="27"/>
      <c r="F2" s="27"/>
      <c r="G2" s="27"/>
      <c r="H2" s="27"/>
      <c r="I2" s="27"/>
      <c r="J2" s="27"/>
      <c r="K2" s="27"/>
      <c r="M2" s="59"/>
      <c r="N2" s="58"/>
      <c r="O2" s="27"/>
      <c r="P2" s="27"/>
      <c r="Q2" s="27"/>
      <c r="R2" s="27"/>
      <c r="S2" s="27"/>
      <c r="T2" s="27"/>
      <c r="U2" s="27"/>
      <c r="V2" s="27"/>
      <c r="W2" s="5"/>
      <c r="Y2" s="5"/>
      <c r="AA2" s="5"/>
      <c r="AC2" s="5"/>
    </row>
    <row r="3" spans="1:52" ht="21" customHeight="1" x14ac:dyDescent="0.2">
      <c r="A3" s="56"/>
      <c r="B3" s="50"/>
      <c r="C3" s="50"/>
      <c r="D3" s="56"/>
      <c r="E3" s="50"/>
      <c r="F3" s="51"/>
      <c r="G3" s="50"/>
      <c r="H3" s="50"/>
      <c r="I3" s="51"/>
      <c r="J3" s="50"/>
      <c r="K3" s="50"/>
      <c r="M3" s="55"/>
      <c r="N3" s="54"/>
      <c r="O3" s="50"/>
      <c r="P3" s="50"/>
      <c r="Q3" s="50"/>
      <c r="R3" s="50"/>
      <c r="S3" s="50"/>
      <c r="T3" s="50"/>
      <c r="U3" s="50"/>
      <c r="V3" s="50"/>
      <c r="W3" s="5"/>
      <c r="Y3" s="5"/>
      <c r="AA3" s="5"/>
      <c r="AC3" s="5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50"/>
      <c r="B5" s="50"/>
      <c r="C5" s="50"/>
      <c r="D5" s="50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49"/>
      <c r="Y5" s="48"/>
      <c r="AA5" s="48"/>
      <c r="AC5" s="48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84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84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89"/>
      <c r="T8" s="245" t="s">
        <v>62</v>
      </c>
      <c r="U8" s="83" t="s">
        <v>61</v>
      </c>
      <c r="V8" s="84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13"/>
      <c r="AE8" s="13"/>
      <c r="AF8" s="24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84" t="s">
        <v>51</v>
      </c>
      <c r="O9" s="83" t="s">
        <v>50</v>
      </c>
      <c r="P9" s="251"/>
      <c r="Q9" s="83"/>
      <c r="R9" s="83" t="s">
        <v>49</v>
      </c>
      <c r="S9" s="84"/>
      <c r="T9" s="246"/>
      <c r="U9" s="83" t="s">
        <v>48</v>
      </c>
      <c r="V9" s="84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24"/>
      <c r="AE9" s="24"/>
      <c r="AF9" s="24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480844.1324</v>
      </c>
      <c r="C10" s="40">
        <v>362760.55308448023</v>
      </c>
      <c r="D10" s="76">
        <f>B10+C10</f>
        <v>843604.68548448023</v>
      </c>
      <c r="E10" s="40">
        <v>35.008399999999995</v>
      </c>
      <c r="F10" s="76">
        <f>D10+E10</f>
        <v>843639.69388448028</v>
      </c>
      <c r="G10" s="40">
        <v>0</v>
      </c>
      <c r="H10" s="40">
        <v>0</v>
      </c>
      <c r="I10" s="40">
        <v>0</v>
      </c>
      <c r="J10" s="40">
        <v>6633.8546999999999</v>
      </c>
      <c r="K10" s="40">
        <v>1579.3268999999998</v>
      </c>
      <c r="L10" s="40">
        <v>0</v>
      </c>
      <c r="M10" s="40">
        <v>13989.0761</v>
      </c>
      <c r="N10" s="40">
        <v>2085.5081999999998</v>
      </c>
      <c r="O10" s="40">
        <v>4291.8922999999995</v>
      </c>
      <c r="P10" s="40">
        <v>109.58215049572523</v>
      </c>
      <c r="Q10" s="40">
        <v>6722.0047999999997</v>
      </c>
      <c r="R10" s="40">
        <v>182.06648566799663</v>
      </c>
      <c r="S10" s="40">
        <v>0</v>
      </c>
      <c r="T10" s="40">
        <v>131.33269372811878</v>
      </c>
      <c r="U10" s="40">
        <v>0</v>
      </c>
      <c r="V10" s="40">
        <v>2997.0549000000001</v>
      </c>
      <c r="W10" s="76">
        <f t="shared" ref="W10:W32" si="0">SUM(F10:V10)</f>
        <v>882361.39311437204</v>
      </c>
      <c r="X10" s="36"/>
      <c r="Y10" s="42">
        <v>113812.22571699999</v>
      </c>
      <c r="Z10" s="38"/>
      <c r="AA10" s="109">
        <v>0</v>
      </c>
      <c r="AB10" s="36"/>
      <c r="AC10" s="76">
        <f>+W10+Y10+AA10</f>
        <v>996173.618831372</v>
      </c>
      <c r="AD10" s="29"/>
      <c r="AE10" s="25"/>
      <c r="AF10" s="163"/>
      <c r="AG10" s="2"/>
      <c r="AH10" s="3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88867.845099999991</v>
      </c>
      <c r="C11" s="40">
        <v>16941.212934080006</v>
      </c>
      <c r="D11" s="76">
        <f t="shared" ref="D11:D32" si="1">B11+C11</f>
        <v>105809.05803407999</v>
      </c>
      <c r="E11" s="40">
        <v>1.7832999999999999</v>
      </c>
      <c r="F11" s="76">
        <f t="shared" ref="F11:F32" si="2">D11+E11</f>
        <v>105810.84133407999</v>
      </c>
      <c r="G11" s="40">
        <v>0</v>
      </c>
      <c r="H11" s="40">
        <v>0</v>
      </c>
      <c r="I11" s="40">
        <v>0</v>
      </c>
      <c r="J11" s="40">
        <v>832.05080000000009</v>
      </c>
      <c r="K11" s="40">
        <v>0</v>
      </c>
      <c r="L11" s="40">
        <v>0</v>
      </c>
      <c r="M11" s="40">
        <v>0</v>
      </c>
      <c r="N11" s="40">
        <v>261.57870000000003</v>
      </c>
      <c r="O11" s="40">
        <v>450.12829999999997</v>
      </c>
      <c r="P11" s="40">
        <v>165.15623754593628</v>
      </c>
      <c r="Q11" s="40">
        <v>973.5317</v>
      </c>
      <c r="R11" s="40">
        <v>291.74661230109814</v>
      </c>
      <c r="S11" s="40">
        <v>0</v>
      </c>
      <c r="T11" s="40">
        <v>197.93746946013843</v>
      </c>
      <c r="U11" s="40">
        <v>2.2000000000000002</v>
      </c>
      <c r="V11" s="40">
        <v>375.91109999999998</v>
      </c>
      <c r="W11" s="76">
        <f t="shared" si="0"/>
        <v>109361.08225338715</v>
      </c>
      <c r="X11" s="36"/>
      <c r="Y11" s="42">
        <v>381.983315</v>
      </c>
      <c r="Z11" s="38"/>
      <c r="AA11" s="43">
        <v>0</v>
      </c>
      <c r="AB11" s="36"/>
      <c r="AC11" s="76">
        <f t="shared" ref="AC11:AC38" si="3">+W11+Y11+AA11</f>
        <v>109743.06556838716</v>
      </c>
      <c r="AD11" s="29"/>
      <c r="AE11" s="25"/>
      <c r="AF11" s="163"/>
      <c r="AG11" s="2"/>
      <c r="AH11" s="34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263175.14610000001</v>
      </c>
      <c r="C12" s="40">
        <v>77929.579496639955</v>
      </c>
      <c r="D12" s="76">
        <f t="shared" si="1"/>
        <v>341104.72559663997</v>
      </c>
      <c r="E12" s="40">
        <v>10.441700000000001</v>
      </c>
      <c r="F12" s="76">
        <f>D12+E12</f>
        <v>341115.16729663999</v>
      </c>
      <c r="G12" s="40">
        <v>0</v>
      </c>
      <c r="H12" s="40">
        <v>0</v>
      </c>
      <c r="I12" s="40">
        <v>0</v>
      </c>
      <c r="J12" s="40">
        <v>2682.3454999999999</v>
      </c>
      <c r="K12" s="40">
        <v>539.34690000000001</v>
      </c>
      <c r="L12" s="40">
        <v>0</v>
      </c>
      <c r="M12" s="40">
        <v>4777.3294999999998</v>
      </c>
      <c r="N12" s="40">
        <v>843.2636</v>
      </c>
      <c r="O12" s="40">
        <v>2353.6336000000001</v>
      </c>
      <c r="P12" s="40">
        <v>109.58215049572523</v>
      </c>
      <c r="Q12" s="40">
        <v>2619.2638999999999</v>
      </c>
      <c r="R12" s="40">
        <v>170.876225020525</v>
      </c>
      <c r="S12" s="40">
        <v>0</v>
      </c>
      <c r="T12" s="40">
        <v>131.33269372811878</v>
      </c>
      <c r="U12" s="40">
        <v>0.5</v>
      </c>
      <c r="V12" s="40">
        <v>1211.8424</v>
      </c>
      <c r="W12" s="76">
        <f t="shared" si="0"/>
        <v>356554.48376588436</v>
      </c>
      <c r="X12" s="36"/>
      <c r="Y12" s="42">
        <v>3547.442994</v>
      </c>
      <c r="Z12" s="38"/>
      <c r="AA12" s="43">
        <v>0</v>
      </c>
      <c r="AB12" s="36"/>
      <c r="AC12" s="76">
        <f t="shared" si="3"/>
        <v>360101.92675988434</v>
      </c>
      <c r="AD12" s="29"/>
      <c r="AE12" s="25"/>
      <c r="AF12" s="163"/>
      <c r="AG12" s="2"/>
      <c r="AH12" s="34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107283.33409999999</v>
      </c>
      <c r="C13" s="40">
        <v>35521.898087360001</v>
      </c>
      <c r="D13" s="76">
        <f t="shared" si="1"/>
        <v>142805.23218736</v>
      </c>
      <c r="E13" s="40">
        <v>3.2166999999999999</v>
      </c>
      <c r="F13" s="76">
        <f t="shared" si="2"/>
        <v>142808.44888735999</v>
      </c>
      <c r="G13" s="40">
        <v>0</v>
      </c>
      <c r="H13" s="40">
        <v>0</v>
      </c>
      <c r="I13" s="40">
        <v>0</v>
      </c>
      <c r="J13" s="40">
        <v>1122.9776000000002</v>
      </c>
      <c r="K13" s="40">
        <v>172.45820000000001</v>
      </c>
      <c r="L13" s="40">
        <v>0</v>
      </c>
      <c r="M13" s="40">
        <v>1527.5686000000001</v>
      </c>
      <c r="N13" s="40">
        <v>353.03629999999998</v>
      </c>
      <c r="O13" s="40">
        <v>573.7604</v>
      </c>
      <c r="P13" s="40">
        <v>138.73041783278637</v>
      </c>
      <c r="Q13" s="40">
        <v>2294.7534000000001</v>
      </c>
      <c r="R13" s="40">
        <v>238.78871575811129</v>
      </c>
      <c r="S13" s="40">
        <v>0</v>
      </c>
      <c r="T13" s="40">
        <v>166.26648950719041</v>
      </c>
      <c r="U13" s="40">
        <v>1.5</v>
      </c>
      <c r="V13" s="40">
        <v>507.34350000000001</v>
      </c>
      <c r="W13" s="76">
        <f t="shared" si="0"/>
        <v>149905.63251045806</v>
      </c>
      <c r="X13" s="36"/>
      <c r="Y13" s="42">
        <v>6119.7990530000006</v>
      </c>
      <c r="Z13" s="38"/>
      <c r="AA13" s="43">
        <v>0</v>
      </c>
      <c r="AB13" s="36"/>
      <c r="AC13" s="76">
        <f t="shared" si="3"/>
        <v>156025.43156345806</v>
      </c>
      <c r="AD13" s="29"/>
      <c r="AE13" s="25"/>
      <c r="AF13" s="163"/>
      <c r="AG13" s="2"/>
      <c r="AH13" s="3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151964.95430000001</v>
      </c>
      <c r="C14" s="40">
        <v>39675.227710079984</v>
      </c>
      <c r="D14" s="76">
        <f t="shared" si="1"/>
        <v>191640.18201008</v>
      </c>
      <c r="E14" s="40">
        <v>2.8</v>
      </c>
      <c r="F14" s="76">
        <f t="shared" si="2"/>
        <v>191642.98201007998</v>
      </c>
      <c r="G14" s="40">
        <v>0</v>
      </c>
      <c r="H14" s="40">
        <v>0</v>
      </c>
      <c r="I14" s="40">
        <v>0</v>
      </c>
      <c r="J14" s="40">
        <v>1507.001</v>
      </c>
      <c r="K14" s="40">
        <v>135.5814</v>
      </c>
      <c r="L14" s="40">
        <v>0</v>
      </c>
      <c r="M14" s="40">
        <v>1200.9284</v>
      </c>
      <c r="N14" s="40">
        <v>473.76709999999997</v>
      </c>
      <c r="O14" s="40">
        <v>594.57819999999992</v>
      </c>
      <c r="P14" s="40">
        <v>147.3437060193354</v>
      </c>
      <c r="Q14" s="40">
        <v>2132.4981000000002</v>
      </c>
      <c r="R14" s="40">
        <v>250.46195684299857</v>
      </c>
      <c r="S14" s="40">
        <v>0</v>
      </c>
      <c r="T14" s="40">
        <v>176.58939643391099</v>
      </c>
      <c r="U14" s="40">
        <v>0.5</v>
      </c>
      <c r="V14" s="40">
        <v>680.84410000000003</v>
      </c>
      <c r="W14" s="76">
        <f t="shared" si="0"/>
        <v>198943.07536937619</v>
      </c>
      <c r="X14" s="36"/>
      <c r="Y14" s="42">
        <v>7369.4987259999998</v>
      </c>
      <c r="Z14" s="38"/>
      <c r="AA14" s="43">
        <v>0</v>
      </c>
      <c r="AB14" s="36"/>
      <c r="AC14" s="76">
        <f t="shared" si="3"/>
        <v>206312.57409537619</v>
      </c>
      <c r="AD14" s="29"/>
      <c r="AE14" s="25"/>
      <c r="AF14" s="163"/>
      <c r="AG14" s="2"/>
      <c r="AH14" s="3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44468.439599999998</v>
      </c>
      <c r="C15" s="40">
        <v>16285.424046400005</v>
      </c>
      <c r="D15" s="76">
        <f t="shared" si="1"/>
        <v>60753.863646400001</v>
      </c>
      <c r="E15" s="40">
        <v>2.0167000000000002</v>
      </c>
      <c r="F15" s="76">
        <f t="shared" si="2"/>
        <v>60755.880346400001</v>
      </c>
      <c r="G15" s="40">
        <v>0</v>
      </c>
      <c r="H15" s="40">
        <v>0</v>
      </c>
      <c r="I15" s="40">
        <v>0</v>
      </c>
      <c r="J15" s="40">
        <v>477.75020000000001</v>
      </c>
      <c r="K15" s="40">
        <v>53.036900000000003</v>
      </c>
      <c r="L15" s="40">
        <v>0</v>
      </c>
      <c r="M15" s="40">
        <v>469.78070000000002</v>
      </c>
      <c r="N15" s="40">
        <v>150.1961</v>
      </c>
      <c r="O15" s="40">
        <v>505.52170000000001</v>
      </c>
      <c r="P15" s="40">
        <v>154.48736553675204</v>
      </c>
      <c r="Q15" s="40">
        <v>1483.4768999999999</v>
      </c>
      <c r="R15" s="40">
        <v>297.1064050485586</v>
      </c>
      <c r="S15" s="40">
        <v>0</v>
      </c>
      <c r="T15" s="40">
        <v>185.15097370134819</v>
      </c>
      <c r="U15" s="40">
        <v>3</v>
      </c>
      <c r="V15" s="40">
        <v>215.84479999999999</v>
      </c>
      <c r="W15" s="76">
        <f t="shared" si="0"/>
        <v>64751.232390686666</v>
      </c>
      <c r="X15" s="36"/>
      <c r="Y15" s="42">
        <v>1268.4131150000001</v>
      </c>
      <c r="Z15" s="38"/>
      <c r="AA15" s="43">
        <v>0</v>
      </c>
      <c r="AB15" s="36"/>
      <c r="AC15" s="76">
        <f t="shared" si="3"/>
        <v>66019.645505686669</v>
      </c>
      <c r="AD15" s="29"/>
      <c r="AE15" s="25"/>
      <c r="AF15" s="163"/>
      <c r="AG15" s="2"/>
      <c r="AH15" s="34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153360.28260000001</v>
      </c>
      <c r="C16" s="40">
        <v>34210.320311999996</v>
      </c>
      <c r="D16" s="76">
        <f t="shared" si="1"/>
        <v>187570.602912</v>
      </c>
      <c r="E16" s="40">
        <v>5.6249000000000002</v>
      </c>
      <c r="F16" s="76">
        <f t="shared" si="2"/>
        <v>187576.227812</v>
      </c>
      <c r="G16" s="40">
        <v>0</v>
      </c>
      <c r="H16" s="40">
        <v>0</v>
      </c>
      <c r="I16" s="40">
        <v>0</v>
      </c>
      <c r="J16" s="40">
        <v>1474.9991</v>
      </c>
      <c r="K16" s="40">
        <v>234.06459999999998</v>
      </c>
      <c r="L16" s="40">
        <v>0</v>
      </c>
      <c r="M16" s="40">
        <v>2073.2558000000004</v>
      </c>
      <c r="N16" s="40">
        <v>463.69900000000001</v>
      </c>
      <c r="O16" s="40">
        <v>784.73</v>
      </c>
      <c r="P16" s="40">
        <v>126.80367007241996</v>
      </c>
      <c r="Q16" s="40">
        <v>1807.9875</v>
      </c>
      <c r="R16" s="40">
        <v>238.84903765069495</v>
      </c>
      <c r="S16" s="40">
        <v>0</v>
      </c>
      <c r="T16" s="40">
        <v>151.97244707694341</v>
      </c>
      <c r="U16" s="40">
        <v>1.8</v>
      </c>
      <c r="V16" s="40">
        <v>666.37540000000001</v>
      </c>
      <c r="W16" s="76">
        <f t="shared" si="0"/>
        <v>195600.76436680005</v>
      </c>
      <c r="X16" s="36"/>
      <c r="Y16" s="42">
        <v>2854.2221039999999</v>
      </c>
      <c r="Z16" s="38"/>
      <c r="AA16" s="43">
        <v>0</v>
      </c>
      <c r="AB16" s="36"/>
      <c r="AC16" s="76">
        <f t="shared" si="3"/>
        <v>198454.98647080004</v>
      </c>
      <c r="AD16" s="29"/>
      <c r="AE16" s="25"/>
      <c r="AF16" s="163"/>
      <c r="AG16" s="2"/>
      <c r="AH16" s="34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116674.3309</v>
      </c>
      <c r="C17" s="40">
        <v>23171.207367999999</v>
      </c>
      <c r="D17" s="76">
        <f t="shared" si="1"/>
        <v>139845.538268</v>
      </c>
      <c r="E17" s="40">
        <v>1.7251000000000001</v>
      </c>
      <c r="F17" s="76">
        <f t="shared" si="2"/>
        <v>139847.26336800001</v>
      </c>
      <c r="G17" s="40">
        <v>0</v>
      </c>
      <c r="H17" s="40">
        <v>0</v>
      </c>
      <c r="I17" s="40">
        <v>0</v>
      </c>
      <c r="J17" s="40">
        <v>1099.7033999999999</v>
      </c>
      <c r="K17" s="40">
        <v>63.156500000000001</v>
      </c>
      <c r="L17" s="40">
        <v>0</v>
      </c>
      <c r="M17" s="40">
        <v>559.41590000000008</v>
      </c>
      <c r="N17" s="40">
        <v>345.72270000000003</v>
      </c>
      <c r="O17" s="40">
        <v>408.29179999999997</v>
      </c>
      <c r="P17" s="40">
        <v>170.2632761995815</v>
      </c>
      <c r="Q17" s="40">
        <v>1854.3462</v>
      </c>
      <c r="R17" s="40">
        <v>258.72291100142706</v>
      </c>
      <c r="S17" s="40">
        <v>0</v>
      </c>
      <c r="T17" s="40">
        <v>204.05818470953889</v>
      </c>
      <c r="U17" s="40">
        <v>2.2000000000000002</v>
      </c>
      <c r="V17" s="40">
        <v>496.83330000000001</v>
      </c>
      <c r="W17" s="76">
        <f t="shared" si="0"/>
        <v>145309.97753991059</v>
      </c>
      <c r="X17" s="36"/>
      <c r="Y17" s="42">
        <v>3382.3452110000003</v>
      </c>
      <c r="Z17" s="38"/>
      <c r="AA17" s="43">
        <v>0</v>
      </c>
      <c r="AB17" s="36"/>
      <c r="AC17" s="76">
        <f t="shared" si="3"/>
        <v>148692.32275091059</v>
      </c>
      <c r="AD17" s="29"/>
      <c r="AE17" s="25"/>
      <c r="AF17" s="163"/>
      <c r="AG17" s="2"/>
      <c r="AH17" s="34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86951.189700000003</v>
      </c>
      <c r="C18" s="40">
        <v>22187.524036159994</v>
      </c>
      <c r="D18" s="76">
        <f t="shared" si="1"/>
        <v>109138.71373615999</v>
      </c>
      <c r="E18" s="40">
        <v>2.7749999999999999</v>
      </c>
      <c r="F18" s="76">
        <f t="shared" si="2"/>
        <v>109141.48873615998</v>
      </c>
      <c r="G18" s="40">
        <v>0</v>
      </c>
      <c r="H18" s="40">
        <v>0</v>
      </c>
      <c r="I18" s="40">
        <v>0</v>
      </c>
      <c r="J18" s="40">
        <v>858.23419999999999</v>
      </c>
      <c r="K18" s="40">
        <v>0</v>
      </c>
      <c r="L18" s="40">
        <v>0</v>
      </c>
      <c r="M18" s="40">
        <v>0</v>
      </c>
      <c r="N18" s="40">
        <v>269.80399999999997</v>
      </c>
      <c r="O18" s="40">
        <v>417.81190000000004</v>
      </c>
      <c r="P18" s="40">
        <v>137.39637425573827</v>
      </c>
      <c r="Q18" s="40">
        <v>1390.7596000000001</v>
      </c>
      <c r="R18" s="40">
        <v>267.31537314155753</v>
      </c>
      <c r="S18" s="40">
        <v>0</v>
      </c>
      <c r="T18" s="40">
        <v>164.66765672336371</v>
      </c>
      <c r="U18" s="40">
        <v>2.2000000000000002</v>
      </c>
      <c r="V18" s="40">
        <v>387.73159999999996</v>
      </c>
      <c r="W18" s="76">
        <f t="shared" si="0"/>
        <v>113037.40944028065</v>
      </c>
      <c r="X18" s="36"/>
      <c r="Y18" s="42">
        <v>3416.4888569999998</v>
      </c>
      <c r="Z18" s="38"/>
      <c r="AA18" s="43">
        <v>0</v>
      </c>
      <c r="AB18" s="36"/>
      <c r="AC18" s="76">
        <f t="shared" si="3"/>
        <v>116453.89829728066</v>
      </c>
      <c r="AD18" s="29"/>
      <c r="AE18" s="25"/>
      <c r="AF18" s="163"/>
      <c r="AG18" s="2"/>
      <c r="AH18" s="3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61959.536500000002</v>
      </c>
      <c r="C19" s="40">
        <v>11585.603683840005</v>
      </c>
      <c r="D19" s="76">
        <f t="shared" si="1"/>
        <v>73545.140183840005</v>
      </c>
      <c r="E19" s="40">
        <v>1.6</v>
      </c>
      <c r="F19" s="76">
        <f t="shared" si="2"/>
        <v>73546.740183840011</v>
      </c>
      <c r="G19" s="40">
        <v>0</v>
      </c>
      <c r="H19" s="40">
        <v>0</v>
      </c>
      <c r="I19" s="40">
        <v>0</v>
      </c>
      <c r="J19" s="40">
        <v>578.2956999999999</v>
      </c>
      <c r="K19" s="40">
        <v>46.573500000000003</v>
      </c>
      <c r="L19" s="40">
        <v>1.9000000000000001E-7</v>
      </c>
      <c r="M19" s="40">
        <v>412.57900000000001</v>
      </c>
      <c r="N19" s="40">
        <v>181.80070000000001</v>
      </c>
      <c r="O19" s="40">
        <v>526.66740000000004</v>
      </c>
      <c r="P19" s="40">
        <v>121.96969793277022</v>
      </c>
      <c r="Q19" s="40">
        <v>945.13030000000003</v>
      </c>
      <c r="R19" s="40">
        <v>329.22397533703685</v>
      </c>
      <c r="S19" s="40">
        <v>0</v>
      </c>
      <c r="T19" s="40">
        <v>146.17899823380753</v>
      </c>
      <c r="U19" s="40">
        <v>2.5</v>
      </c>
      <c r="V19" s="40">
        <v>261.26319999999998</v>
      </c>
      <c r="W19" s="76">
        <f t="shared" si="0"/>
        <v>77098.92265553365</v>
      </c>
      <c r="X19" s="36"/>
      <c r="Y19" s="42">
        <v>0</v>
      </c>
      <c r="Z19" s="38"/>
      <c r="AA19" s="43">
        <v>0</v>
      </c>
      <c r="AB19" s="36"/>
      <c r="AC19" s="76">
        <f t="shared" si="3"/>
        <v>77098.92265553365</v>
      </c>
      <c r="AD19" s="29"/>
      <c r="AE19" s="25"/>
      <c r="AF19" s="163"/>
      <c r="AG19" s="2"/>
      <c r="AH19" s="34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66316.698499999999</v>
      </c>
      <c r="C20" s="40">
        <v>13225.075903359992</v>
      </c>
      <c r="D20" s="76">
        <f t="shared" si="1"/>
        <v>79541.774403359988</v>
      </c>
      <c r="E20" s="40">
        <v>1.6916</v>
      </c>
      <c r="F20" s="76">
        <f t="shared" si="2"/>
        <v>79543.466003359994</v>
      </c>
      <c r="G20" s="40">
        <v>0</v>
      </c>
      <c r="H20" s="40">
        <v>0</v>
      </c>
      <c r="I20" s="40">
        <v>0</v>
      </c>
      <c r="J20" s="40">
        <v>625.4926999999999</v>
      </c>
      <c r="K20" s="40">
        <v>0</v>
      </c>
      <c r="L20" s="40">
        <v>0</v>
      </c>
      <c r="M20" s="40">
        <v>0</v>
      </c>
      <c r="N20" s="40">
        <v>196.63989999999998</v>
      </c>
      <c r="O20" s="40">
        <v>408.2885</v>
      </c>
      <c r="P20" s="40">
        <v>160.69773184165268</v>
      </c>
      <c r="Q20" s="40">
        <v>927.17309999999998</v>
      </c>
      <c r="R20" s="40">
        <v>327.83327693333632</v>
      </c>
      <c r="S20" s="40">
        <v>0</v>
      </c>
      <c r="T20" s="40">
        <v>192.59401192903633</v>
      </c>
      <c r="U20" s="40">
        <v>2.2000000000000002</v>
      </c>
      <c r="V20" s="40">
        <v>282.58850000000001</v>
      </c>
      <c r="W20" s="76">
        <f t="shared" si="0"/>
        <v>82666.973724063995</v>
      </c>
      <c r="X20" s="36"/>
      <c r="Y20" s="42">
        <v>817.4244030000001</v>
      </c>
      <c r="Z20" s="38"/>
      <c r="AA20" s="43">
        <v>0</v>
      </c>
      <c r="AB20" s="36"/>
      <c r="AC20" s="76">
        <f t="shared" si="3"/>
        <v>83484.398127063992</v>
      </c>
      <c r="AD20" s="29"/>
      <c r="AE20" s="25"/>
      <c r="AF20" s="163"/>
      <c r="AG20" s="2"/>
      <c r="AH20" s="34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110244.18040000001</v>
      </c>
      <c r="C21" s="40">
        <v>49949.253618560033</v>
      </c>
      <c r="D21" s="76">
        <f t="shared" si="1"/>
        <v>160193.43401856004</v>
      </c>
      <c r="E21" s="40">
        <v>5.1416000000000004</v>
      </c>
      <c r="F21" s="76">
        <f t="shared" si="2"/>
        <v>160198.57561856005</v>
      </c>
      <c r="G21" s="40">
        <v>0</v>
      </c>
      <c r="H21" s="40">
        <v>0</v>
      </c>
      <c r="I21" s="40">
        <v>0</v>
      </c>
      <c r="J21" s="40">
        <v>1259.7131999999999</v>
      </c>
      <c r="K21" s="40">
        <v>0</v>
      </c>
      <c r="L21" s="40">
        <v>0</v>
      </c>
      <c r="M21" s="40">
        <v>0</v>
      </c>
      <c r="N21" s="40">
        <v>396.02479999999997</v>
      </c>
      <c r="O21" s="40">
        <v>827.01609999999994</v>
      </c>
      <c r="P21" s="40">
        <v>124.7325998150574</v>
      </c>
      <c r="Q21" s="40">
        <v>1854.3462</v>
      </c>
      <c r="R21" s="40">
        <v>192.45435543700319</v>
      </c>
      <c r="S21" s="40">
        <v>0</v>
      </c>
      <c r="T21" s="40">
        <v>149.49029799214512</v>
      </c>
      <c r="U21" s="40">
        <v>2.2000000000000002</v>
      </c>
      <c r="V21" s="40">
        <v>569.12180000000001</v>
      </c>
      <c r="W21" s="76">
        <f t="shared" si="0"/>
        <v>165573.67497180428</v>
      </c>
      <c r="X21" s="36"/>
      <c r="Y21" s="42">
        <v>5006.6701640000001</v>
      </c>
      <c r="Z21" s="38"/>
      <c r="AA21" s="43">
        <v>0</v>
      </c>
      <c r="AB21" s="36"/>
      <c r="AC21" s="76">
        <f t="shared" si="3"/>
        <v>170580.34513580429</v>
      </c>
      <c r="AD21" s="29"/>
      <c r="AE21" s="25"/>
      <c r="AF21" s="163"/>
      <c r="AG21" s="2"/>
      <c r="AH21" s="34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84817.090299999996</v>
      </c>
      <c r="C22" s="40">
        <v>42079.786965119994</v>
      </c>
      <c r="D22" s="76">
        <f t="shared" si="1"/>
        <v>126896.87726511998</v>
      </c>
      <c r="E22" s="40">
        <v>2.8416999999999999</v>
      </c>
      <c r="F22" s="76">
        <f t="shared" si="2"/>
        <v>126899.71896511999</v>
      </c>
      <c r="G22" s="40">
        <v>0</v>
      </c>
      <c r="H22" s="40">
        <v>0</v>
      </c>
      <c r="I22" s="40">
        <v>0</v>
      </c>
      <c r="J22" s="40">
        <v>997.87909999999999</v>
      </c>
      <c r="K22" s="40">
        <v>74.0441</v>
      </c>
      <c r="L22" s="40">
        <v>0</v>
      </c>
      <c r="M22" s="40">
        <v>655.85430000000008</v>
      </c>
      <c r="N22" s="40">
        <v>313.70440000000002</v>
      </c>
      <c r="O22" s="40">
        <v>586.49300000000005</v>
      </c>
      <c r="P22" s="40">
        <v>161.34025981418688</v>
      </c>
      <c r="Q22" s="40">
        <v>2178.8567000000003</v>
      </c>
      <c r="R22" s="40">
        <v>220.39841681426805</v>
      </c>
      <c r="S22" s="40">
        <v>0</v>
      </c>
      <c r="T22" s="40">
        <v>193.36407283188225</v>
      </c>
      <c r="U22" s="40">
        <v>2.2000000000000002</v>
      </c>
      <c r="V22" s="40">
        <v>450.82029999999997</v>
      </c>
      <c r="W22" s="76">
        <f t="shared" si="0"/>
        <v>132734.67361458033</v>
      </c>
      <c r="X22" s="36"/>
      <c r="Y22" s="42">
        <v>7082.2253190000001</v>
      </c>
      <c r="Z22" s="38"/>
      <c r="AA22" s="43">
        <v>0</v>
      </c>
      <c r="AB22" s="36"/>
      <c r="AC22" s="76">
        <f t="shared" si="3"/>
        <v>139816.89893358032</v>
      </c>
      <c r="AD22" s="29"/>
      <c r="AE22" s="25"/>
      <c r="AF22" s="163"/>
      <c r="AG22" s="2"/>
      <c r="AH22" s="34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48201.864500000003</v>
      </c>
      <c r="C23" s="40">
        <v>18471.387005439999</v>
      </c>
      <c r="D23" s="76">
        <f t="shared" si="1"/>
        <v>66673.251505439999</v>
      </c>
      <c r="E23" s="40">
        <v>1.4499</v>
      </c>
      <c r="F23" s="76">
        <f t="shared" si="2"/>
        <v>66674.701405440006</v>
      </c>
      <c r="G23" s="40">
        <v>0</v>
      </c>
      <c r="H23" s="40">
        <v>0</v>
      </c>
      <c r="I23" s="40">
        <v>0</v>
      </c>
      <c r="J23" s="40">
        <v>524.29849999999999</v>
      </c>
      <c r="K23" s="40">
        <v>33.299699999999994</v>
      </c>
      <c r="L23" s="40">
        <v>0</v>
      </c>
      <c r="M23" s="40">
        <v>294.95610000000005</v>
      </c>
      <c r="N23" s="40">
        <v>164.82320000000001</v>
      </c>
      <c r="O23" s="40">
        <v>629.41230000000007</v>
      </c>
      <c r="P23" s="40">
        <v>143.2733086589796</v>
      </c>
      <c r="Q23" s="40">
        <v>1993.4221</v>
      </c>
      <c r="R23" s="40">
        <v>214.36509122145719</v>
      </c>
      <c r="S23" s="40">
        <v>0</v>
      </c>
      <c r="T23" s="40">
        <v>171.71108145086461</v>
      </c>
      <c r="U23" s="40">
        <v>2.5</v>
      </c>
      <c r="V23" s="40">
        <v>236.86510000000001</v>
      </c>
      <c r="W23" s="76">
        <f t="shared" si="0"/>
        <v>71083.627886771283</v>
      </c>
      <c r="X23" s="36"/>
      <c r="Y23" s="42">
        <v>1789.696735</v>
      </c>
      <c r="Z23" s="38"/>
      <c r="AA23" s="43">
        <v>0</v>
      </c>
      <c r="AB23" s="36"/>
      <c r="AC23" s="76">
        <f t="shared" si="3"/>
        <v>72873.324621771288</v>
      </c>
      <c r="AD23" s="29"/>
      <c r="AE23" s="25"/>
      <c r="AF23" s="163"/>
      <c r="AG23" s="2"/>
      <c r="AH23" s="34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76928.415200000003</v>
      </c>
      <c r="C24" s="40">
        <v>20001.561077119997</v>
      </c>
      <c r="D24" s="76">
        <f t="shared" si="1"/>
        <v>96929.976277120004</v>
      </c>
      <c r="E24" s="40">
        <v>1.2167000000000001</v>
      </c>
      <c r="F24" s="76">
        <f t="shared" si="2"/>
        <v>96931.192977120008</v>
      </c>
      <c r="G24" s="40">
        <v>0</v>
      </c>
      <c r="H24" s="40">
        <v>0</v>
      </c>
      <c r="I24" s="40">
        <v>0</v>
      </c>
      <c r="J24" s="40">
        <v>762.22829999999999</v>
      </c>
      <c r="K24" s="40">
        <v>0</v>
      </c>
      <c r="L24" s="40">
        <v>0</v>
      </c>
      <c r="M24" s="40">
        <v>0</v>
      </c>
      <c r="N24" s="40">
        <v>239.6285</v>
      </c>
      <c r="O24" s="40">
        <v>500.18470000000002</v>
      </c>
      <c r="P24" s="40">
        <v>133.12654988354055</v>
      </c>
      <c r="Q24" s="40">
        <v>2086.1394</v>
      </c>
      <c r="R24" s="40">
        <v>189.3766907113924</v>
      </c>
      <c r="S24" s="40">
        <v>0</v>
      </c>
      <c r="T24" s="40">
        <v>159.55033119595416</v>
      </c>
      <c r="U24" s="40">
        <v>2.5</v>
      </c>
      <c r="V24" s="40">
        <v>344.36680000000001</v>
      </c>
      <c r="W24" s="76">
        <f t="shared" si="0"/>
        <v>101348.2942489109</v>
      </c>
      <c r="X24" s="36"/>
      <c r="Y24" s="42">
        <v>1482.5947760000001</v>
      </c>
      <c r="Z24" s="38"/>
      <c r="AA24" s="43">
        <v>0</v>
      </c>
      <c r="AB24" s="36"/>
      <c r="AC24" s="76">
        <f t="shared" si="3"/>
        <v>102830.8890249109</v>
      </c>
      <c r="AD24" s="29"/>
      <c r="AE24" s="25"/>
      <c r="AF24" s="163"/>
      <c r="AG24" s="2"/>
      <c r="AH24" s="34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105274.2843</v>
      </c>
      <c r="C25" s="40">
        <v>41970.488817280027</v>
      </c>
      <c r="D25" s="76">
        <f t="shared" si="1"/>
        <v>147244.77311728004</v>
      </c>
      <c r="E25" s="40">
        <v>3.3167</v>
      </c>
      <c r="F25" s="76">
        <f t="shared" si="2"/>
        <v>147248.08981728004</v>
      </c>
      <c r="G25" s="40">
        <v>0</v>
      </c>
      <c r="H25" s="40">
        <v>0</v>
      </c>
      <c r="I25" s="40">
        <v>0</v>
      </c>
      <c r="J25" s="40">
        <v>1157.8887999999999</v>
      </c>
      <c r="K25" s="40">
        <v>0</v>
      </c>
      <c r="L25" s="40">
        <v>0</v>
      </c>
      <c r="M25" s="40">
        <v>0</v>
      </c>
      <c r="N25" s="40">
        <v>364.01609999999999</v>
      </c>
      <c r="O25" s="40">
        <v>615.89340000000004</v>
      </c>
      <c r="P25" s="40">
        <v>136.19412318724869</v>
      </c>
      <c r="Q25" s="40">
        <v>1854.3462</v>
      </c>
      <c r="R25" s="40">
        <v>328.54580934500109</v>
      </c>
      <c r="S25" s="40">
        <v>0</v>
      </c>
      <c r="T25" s="40">
        <v>163.22677542745106</v>
      </c>
      <c r="U25" s="40">
        <v>2.5</v>
      </c>
      <c r="V25" s="40">
        <v>523.12259999999992</v>
      </c>
      <c r="W25" s="76">
        <f t="shared" si="0"/>
        <v>152393.82362523975</v>
      </c>
      <c r="X25" s="36"/>
      <c r="Y25" s="42">
        <v>29152.240664000001</v>
      </c>
      <c r="Z25" s="38"/>
      <c r="AA25" s="43">
        <v>0</v>
      </c>
      <c r="AB25" s="36"/>
      <c r="AC25" s="76">
        <f t="shared" si="3"/>
        <v>181546.06428923976</v>
      </c>
      <c r="AD25" s="29"/>
      <c r="AE25" s="25"/>
      <c r="AF25" s="163"/>
      <c r="AG25" s="2"/>
      <c r="AH25" s="34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102422.73609999999</v>
      </c>
      <c r="C26" s="40">
        <v>27433.83513824</v>
      </c>
      <c r="D26" s="76">
        <f t="shared" si="1"/>
        <v>129856.57123823999</v>
      </c>
      <c r="E26" s="40">
        <v>2.5083000000000002</v>
      </c>
      <c r="F26" s="76">
        <f t="shared" si="2"/>
        <v>129859.07953824</v>
      </c>
      <c r="G26" s="40">
        <v>0</v>
      </c>
      <c r="H26" s="40">
        <v>0</v>
      </c>
      <c r="I26" s="40">
        <v>0</v>
      </c>
      <c r="J26" s="40">
        <v>1021.1532</v>
      </c>
      <c r="K26" s="40">
        <v>0</v>
      </c>
      <c r="L26" s="40">
        <v>0</v>
      </c>
      <c r="M26" s="40">
        <v>0</v>
      </c>
      <c r="N26" s="40">
        <v>321.02759999999995</v>
      </c>
      <c r="O26" s="40">
        <v>451.37079999999997</v>
      </c>
      <c r="P26" s="40">
        <v>126.1734680149727</v>
      </c>
      <c r="Q26" s="40">
        <v>1692.0908999999999</v>
      </c>
      <c r="R26" s="40">
        <v>191.82469813382818</v>
      </c>
      <c r="S26" s="40">
        <v>0</v>
      </c>
      <c r="T26" s="40">
        <v>151.21715862440061</v>
      </c>
      <c r="U26" s="40">
        <v>2.2000000000000002</v>
      </c>
      <c r="V26" s="40">
        <v>461.3442</v>
      </c>
      <c r="W26" s="76">
        <f t="shared" si="0"/>
        <v>134277.48156301322</v>
      </c>
      <c r="X26" s="36"/>
      <c r="Y26" s="42">
        <v>1820.818716</v>
      </c>
      <c r="Z26" s="38"/>
      <c r="AA26" s="43">
        <v>0</v>
      </c>
      <c r="AB26" s="36"/>
      <c r="AC26" s="76">
        <f t="shared" si="3"/>
        <v>136098.30027901323</v>
      </c>
      <c r="AD26" s="29"/>
      <c r="AE26" s="25"/>
      <c r="AF26" s="163"/>
      <c r="AG26" s="2"/>
      <c r="AH26" s="3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71832.701300000001</v>
      </c>
      <c r="C27" s="40">
        <v>15848.231454400006</v>
      </c>
      <c r="D27" s="76">
        <f t="shared" si="1"/>
        <v>87680.932754400012</v>
      </c>
      <c r="E27" s="40">
        <v>1.5751000000000002</v>
      </c>
      <c r="F27" s="76">
        <f t="shared" si="2"/>
        <v>87682.507854400013</v>
      </c>
      <c r="G27" s="40">
        <v>0</v>
      </c>
      <c r="H27" s="40">
        <v>0</v>
      </c>
      <c r="I27" s="40">
        <v>0</v>
      </c>
      <c r="J27" s="40">
        <v>689.49659999999994</v>
      </c>
      <c r="K27" s="40">
        <v>0</v>
      </c>
      <c r="L27" s="40">
        <v>0</v>
      </c>
      <c r="M27" s="40">
        <v>0</v>
      </c>
      <c r="N27" s="40">
        <v>216.7569</v>
      </c>
      <c r="O27" s="40">
        <v>382.25079999999997</v>
      </c>
      <c r="P27" s="40">
        <v>123.60240796339045</v>
      </c>
      <c r="Q27" s="40">
        <v>1692.0908999999999</v>
      </c>
      <c r="R27" s="40">
        <v>217.97084793291182</v>
      </c>
      <c r="S27" s="40">
        <v>0</v>
      </c>
      <c r="T27" s="40">
        <v>148.13577866534118</v>
      </c>
      <c r="U27" s="40">
        <v>2.2000000000000002</v>
      </c>
      <c r="V27" s="40">
        <v>311.4984</v>
      </c>
      <c r="W27" s="76">
        <f t="shared" si="0"/>
        <v>91466.510488961634</v>
      </c>
      <c r="X27" s="36"/>
      <c r="Y27" s="42">
        <v>0</v>
      </c>
      <c r="Z27" s="38"/>
      <c r="AA27" s="43">
        <v>0</v>
      </c>
      <c r="AB27" s="36"/>
      <c r="AC27" s="76">
        <f t="shared" si="3"/>
        <v>91466.510488961634</v>
      </c>
      <c r="AD27" s="29"/>
      <c r="AE27" s="25"/>
      <c r="AF27" s="163"/>
      <c r="AG27" s="2"/>
      <c r="AH27" s="34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52228.608100000005</v>
      </c>
      <c r="C28" s="40">
        <v>8525.2555411199992</v>
      </c>
      <c r="D28" s="76">
        <f t="shared" si="1"/>
        <v>60753.863641120006</v>
      </c>
      <c r="E28" s="40">
        <v>0.70829999999999993</v>
      </c>
      <c r="F28" s="76">
        <f t="shared" si="2"/>
        <v>60754.571941120004</v>
      </c>
      <c r="G28" s="40">
        <v>0</v>
      </c>
      <c r="H28" s="40">
        <v>0</v>
      </c>
      <c r="I28" s="40">
        <v>0</v>
      </c>
      <c r="J28" s="40">
        <v>477.75020000000001</v>
      </c>
      <c r="K28" s="40">
        <v>43.1768</v>
      </c>
      <c r="L28" s="40">
        <v>0</v>
      </c>
      <c r="M28" s="40">
        <v>382.44349999999997</v>
      </c>
      <c r="N28" s="40">
        <v>150.1961</v>
      </c>
      <c r="O28" s="40">
        <v>404.01620000000003</v>
      </c>
      <c r="P28" s="40">
        <v>173.91554046391494</v>
      </c>
      <c r="Q28" s="40">
        <v>1483.4768999999999</v>
      </c>
      <c r="R28" s="40">
        <v>406.72817016236104</v>
      </c>
      <c r="S28" s="40">
        <v>0</v>
      </c>
      <c r="T28" s="40">
        <v>208.43537300042766</v>
      </c>
      <c r="U28" s="40">
        <v>3</v>
      </c>
      <c r="V28" s="40">
        <v>215.84479999999999</v>
      </c>
      <c r="W28" s="76">
        <f t="shared" si="0"/>
        <v>64703.555524746713</v>
      </c>
      <c r="X28" s="36"/>
      <c r="Y28" s="42">
        <v>12.827527</v>
      </c>
      <c r="Z28" s="38"/>
      <c r="AA28" s="43">
        <v>0</v>
      </c>
      <c r="AB28" s="36"/>
      <c r="AC28" s="76">
        <f t="shared" si="3"/>
        <v>64716.383051746714</v>
      </c>
      <c r="AD28" s="29"/>
      <c r="AE28" s="25"/>
      <c r="AF28" s="163"/>
      <c r="AG28" s="2"/>
      <c r="AH28" s="34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277097.57180000003</v>
      </c>
      <c r="C29" s="40">
        <v>72901.864690239992</v>
      </c>
      <c r="D29" s="76">
        <f t="shared" si="1"/>
        <v>349999.43649024004</v>
      </c>
      <c r="E29" s="40">
        <v>11.290799999999999</v>
      </c>
      <c r="F29" s="76">
        <f t="shared" si="2"/>
        <v>350010.72729024006</v>
      </c>
      <c r="G29" s="40">
        <v>0</v>
      </c>
      <c r="H29" s="40">
        <v>0</v>
      </c>
      <c r="I29" s="40">
        <v>0</v>
      </c>
      <c r="J29" s="40">
        <v>2752.0945999999999</v>
      </c>
      <c r="K29" s="40">
        <v>593.59659999999985</v>
      </c>
      <c r="L29" s="40">
        <v>7.6000000000000003E-7</v>
      </c>
      <c r="M29" s="40">
        <v>5258.4761000000008</v>
      </c>
      <c r="N29" s="40">
        <v>865.19200000000001</v>
      </c>
      <c r="O29" s="40">
        <v>1792.5427</v>
      </c>
      <c r="P29" s="40">
        <v>109.58215049572523</v>
      </c>
      <c r="Q29" s="40">
        <v>2669.9929999999999</v>
      </c>
      <c r="R29" s="40">
        <v>155.60020158304036</v>
      </c>
      <c r="S29" s="40">
        <v>0</v>
      </c>
      <c r="T29" s="40">
        <v>131.33269372811878</v>
      </c>
      <c r="U29" s="40">
        <v>0.5</v>
      </c>
      <c r="V29" s="40">
        <v>1243.3552999999999</v>
      </c>
      <c r="W29" s="76">
        <f t="shared" si="0"/>
        <v>365582.99263680697</v>
      </c>
      <c r="X29" s="36"/>
      <c r="Y29" s="42">
        <v>4252.4279809999998</v>
      </c>
      <c r="Z29" s="38"/>
      <c r="AA29" s="43">
        <v>0</v>
      </c>
      <c r="AB29" s="36"/>
      <c r="AC29" s="76">
        <f t="shared" si="3"/>
        <v>369835.42061780696</v>
      </c>
      <c r="AD29" s="29"/>
      <c r="AE29" s="25"/>
      <c r="AF29" s="163"/>
      <c r="AG29" s="2"/>
      <c r="AH29" s="34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122535.9001</v>
      </c>
      <c r="C30" s="40">
        <v>36177.686975359982</v>
      </c>
      <c r="D30" s="76">
        <f t="shared" si="1"/>
        <v>158713.58707535997</v>
      </c>
      <c r="E30" s="40">
        <v>2.6333000000000002</v>
      </c>
      <c r="F30" s="76">
        <f t="shared" si="2"/>
        <v>158716.22037535996</v>
      </c>
      <c r="G30" s="40">
        <v>0</v>
      </c>
      <c r="H30" s="40">
        <v>0</v>
      </c>
      <c r="I30" s="40">
        <v>0</v>
      </c>
      <c r="J30" s="40">
        <v>1248.0761</v>
      </c>
      <c r="K30" s="40">
        <v>0</v>
      </c>
      <c r="L30" s="40">
        <v>0</v>
      </c>
      <c r="M30" s="40">
        <v>0</v>
      </c>
      <c r="N30" s="40">
        <v>392.36809999999997</v>
      </c>
      <c r="O30" s="40">
        <v>806.07940000000008</v>
      </c>
      <c r="P30" s="40">
        <v>146.10763767318272</v>
      </c>
      <c r="Q30" s="40">
        <v>1993.4221</v>
      </c>
      <c r="R30" s="40">
        <v>286.22359478299614</v>
      </c>
      <c r="S30" s="40">
        <v>0</v>
      </c>
      <c r="T30" s="40">
        <v>175.10798561635394</v>
      </c>
      <c r="U30" s="40">
        <v>2.2000000000000002</v>
      </c>
      <c r="V30" s="40">
        <v>563.86669999999992</v>
      </c>
      <c r="W30" s="76">
        <f t="shared" si="0"/>
        <v>164329.67199343248</v>
      </c>
      <c r="X30" s="36"/>
      <c r="Y30" s="42">
        <v>5942.2800199999992</v>
      </c>
      <c r="Z30" s="38"/>
      <c r="AA30" s="43">
        <v>0</v>
      </c>
      <c r="AB30" s="36"/>
      <c r="AC30" s="76">
        <f t="shared" si="3"/>
        <v>170271.95201343248</v>
      </c>
      <c r="AD30" s="29"/>
      <c r="AE30" s="25"/>
      <c r="AF30" s="163"/>
      <c r="AG30" s="2"/>
      <c r="AH30" s="3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137511.66699999999</v>
      </c>
      <c r="C31" s="40">
        <v>45249.433255999997</v>
      </c>
      <c r="D31" s="76">
        <f t="shared" si="1"/>
        <v>182761.10025599998</v>
      </c>
      <c r="E31" s="40">
        <v>4.6500000000000004</v>
      </c>
      <c r="F31" s="76">
        <f t="shared" si="2"/>
        <v>182765.75025599997</v>
      </c>
      <c r="G31" s="40">
        <v>0</v>
      </c>
      <c r="H31" s="40">
        <v>0</v>
      </c>
      <c r="I31" s="40">
        <v>0</v>
      </c>
      <c r="J31" s="40">
        <v>1437.1786000000002</v>
      </c>
      <c r="K31" s="40">
        <v>0</v>
      </c>
      <c r="L31" s="40">
        <v>0</v>
      </c>
      <c r="M31" s="40">
        <v>0</v>
      </c>
      <c r="N31" s="40">
        <v>451.81690000000003</v>
      </c>
      <c r="O31" s="40">
        <v>599.13909999999998</v>
      </c>
      <c r="P31" s="40">
        <v>112.53468185950103</v>
      </c>
      <c r="Q31" s="40">
        <v>1947.0635</v>
      </c>
      <c r="R31" s="40">
        <v>270.5109996606347</v>
      </c>
      <c r="S31" s="40">
        <v>0</v>
      </c>
      <c r="T31" s="40">
        <v>134.87126183414506</v>
      </c>
      <c r="U31" s="40">
        <v>2.2000000000000002</v>
      </c>
      <c r="V31" s="40">
        <v>649.2998</v>
      </c>
      <c r="W31" s="76">
        <f t="shared" si="0"/>
        <v>188370.3650993543</v>
      </c>
      <c r="X31" s="36"/>
      <c r="Y31" s="42">
        <v>9592.2111719999994</v>
      </c>
      <c r="Z31" s="38"/>
      <c r="AA31" s="43">
        <v>0</v>
      </c>
      <c r="AB31" s="36"/>
      <c r="AC31" s="76">
        <f t="shared" si="3"/>
        <v>197962.57627135431</v>
      </c>
      <c r="AD31" s="29"/>
      <c r="AE31" s="25"/>
      <c r="AF31" s="163"/>
      <c r="AG31" s="2"/>
      <c r="AH31" s="34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43225.907899999998</v>
      </c>
      <c r="C32" s="40">
        <v>4153.3296223999987</v>
      </c>
      <c r="D32" s="76">
        <f t="shared" si="1"/>
        <v>47379.237522399999</v>
      </c>
      <c r="E32" s="40">
        <v>1</v>
      </c>
      <c r="F32" s="76">
        <f t="shared" si="2"/>
        <v>47380.237522399999</v>
      </c>
      <c r="G32" s="40">
        <v>0</v>
      </c>
      <c r="H32" s="40">
        <v>0</v>
      </c>
      <c r="I32" s="40">
        <v>0</v>
      </c>
      <c r="J32" s="40">
        <v>372.57370000000003</v>
      </c>
      <c r="K32" s="40">
        <v>3.8299000000000003</v>
      </c>
      <c r="L32" s="40">
        <v>0</v>
      </c>
      <c r="M32" s="40">
        <v>33.923499999999997</v>
      </c>
      <c r="N32" s="40">
        <v>117.1317</v>
      </c>
      <c r="O32" s="40">
        <v>329.98230000000001</v>
      </c>
      <c r="P32" s="40">
        <v>127.89625206187664</v>
      </c>
      <c r="Q32" s="40">
        <v>1228.5043000000001</v>
      </c>
      <c r="R32" s="40">
        <v>153.53725127176486</v>
      </c>
      <c r="S32" s="40">
        <v>0</v>
      </c>
      <c r="T32" s="40">
        <v>153.28189152140021</v>
      </c>
      <c r="U32" s="40">
        <v>3</v>
      </c>
      <c r="V32" s="40">
        <v>168.32829999999998</v>
      </c>
      <c r="W32" s="76">
        <f t="shared" si="0"/>
        <v>50072.226617255037</v>
      </c>
      <c r="X32" s="36"/>
      <c r="Y32" s="42">
        <v>0</v>
      </c>
      <c r="Z32" s="38"/>
      <c r="AA32" s="37">
        <v>0</v>
      </c>
      <c r="AB32" s="36"/>
      <c r="AC32" s="76">
        <f t="shared" si="3"/>
        <v>50072.226617255037</v>
      </c>
      <c r="AD32" s="29"/>
      <c r="AE32" s="25"/>
      <c r="AF32" s="163"/>
      <c r="AG32" s="2"/>
      <c r="AH32" s="34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>SUM(B10:B32)</f>
        <v>2854186.8167999992</v>
      </c>
      <c r="C33" s="79">
        <f>SUM(C10:C32)</f>
        <v>1036255.7408236803</v>
      </c>
      <c r="D33" s="79">
        <f>SUM(D10:D32)</f>
        <v>3890442.5576236811</v>
      </c>
      <c r="E33" s="79">
        <f t="shared" ref="E33:W33" si="4">SUM(E10:E32)</f>
        <v>107.0158</v>
      </c>
      <c r="F33" s="79">
        <f>SUM(F10:F32)</f>
        <v>3890549.5734236808</v>
      </c>
      <c r="G33" s="79">
        <f t="shared" si="4"/>
        <v>0</v>
      </c>
      <c r="H33" s="79">
        <f t="shared" si="4"/>
        <v>0</v>
      </c>
      <c r="I33" s="79">
        <f t="shared" si="4"/>
        <v>0</v>
      </c>
      <c r="J33" s="79">
        <f t="shared" si="4"/>
        <v>30593.035799999994</v>
      </c>
      <c r="K33" s="79">
        <f t="shared" si="4"/>
        <v>3571.4920000000002</v>
      </c>
      <c r="L33" s="79">
        <f t="shared" si="4"/>
        <v>9.5000000000000001E-7</v>
      </c>
      <c r="M33" s="79">
        <f t="shared" si="4"/>
        <v>31635.587499999998</v>
      </c>
      <c r="N33" s="79">
        <f t="shared" si="4"/>
        <v>9617.7025999999987</v>
      </c>
      <c r="O33" s="79">
        <f t="shared" si="4"/>
        <v>19239.6849</v>
      </c>
      <c r="P33" s="79">
        <f t="shared" si="4"/>
        <v>3160.4917581200002</v>
      </c>
      <c r="Q33" s="79">
        <f t="shared" si="4"/>
        <v>45824.677700000007</v>
      </c>
      <c r="R33" s="79">
        <f>SUM(R10:R32)</f>
        <v>5680.5271017599989</v>
      </c>
      <c r="S33" s="79">
        <f t="shared" si="4"/>
        <v>0</v>
      </c>
      <c r="T33" s="79">
        <f t="shared" si="4"/>
        <v>3787.8057171200003</v>
      </c>
      <c r="U33" s="79">
        <f t="shared" si="4"/>
        <v>45.800000000000004</v>
      </c>
      <c r="V33" s="79">
        <f t="shared" si="4"/>
        <v>13821.466900000001</v>
      </c>
      <c r="W33" s="79">
        <f t="shared" si="4"/>
        <v>4057527.8454016307</v>
      </c>
      <c r="X33" s="47"/>
      <c r="Y33" s="78">
        <f>SUM(Y10:Y32)</f>
        <v>209103.83656900001</v>
      </c>
      <c r="Z33" s="38"/>
      <c r="AA33" s="110">
        <f>SUM(AA10:AA32)</f>
        <v>0</v>
      </c>
      <c r="AB33" s="46"/>
      <c r="AC33" s="77">
        <f>SUM(AC10:AC32)</f>
        <v>4266631.6819706308</v>
      </c>
      <c r="AD33" s="29"/>
      <c r="AE33" s="25"/>
      <c r="AF33" s="163"/>
      <c r="AG33" s="46"/>
      <c r="AH33" s="34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38034.736199999999</v>
      </c>
      <c r="C34" s="40">
        <v>56725.738792000004</v>
      </c>
      <c r="D34" s="76">
        <f>B34+C34</f>
        <v>94760.474992000003</v>
      </c>
      <c r="E34" s="40">
        <v>0</v>
      </c>
      <c r="F34" s="76">
        <f>D34+E34</f>
        <v>94760.474992000003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602.66250000000002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95363.137492000009</v>
      </c>
      <c r="X34" s="36"/>
      <c r="Y34" s="42"/>
      <c r="Z34" s="38"/>
      <c r="AA34" s="109">
        <v>0</v>
      </c>
      <c r="AB34" s="36"/>
      <c r="AC34" s="76">
        <f>+W34+Y34+AA34</f>
        <v>95363.137492000009</v>
      </c>
      <c r="AD34" s="29"/>
      <c r="AE34" s="25"/>
      <c r="AF34" s="163"/>
      <c r="AG34" s="2"/>
      <c r="AH34" s="34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 t="shared" si="3"/>
        <v>0</v>
      </c>
      <c r="AD35" s="29"/>
      <c r="AF35" s="163"/>
      <c r="AG35" s="2"/>
      <c r="AH35" s="34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2723686.7950999998</v>
      </c>
      <c r="C36" s="40">
        <v>0</v>
      </c>
      <c r="D36" s="76">
        <f>B36+C36</f>
        <v>2723686.7950999998</v>
      </c>
      <c r="E36" s="40">
        <v>0</v>
      </c>
      <c r="F36" s="76">
        <f>D36+E36</f>
        <v>2723686.7950999998</v>
      </c>
      <c r="G36" s="40">
        <v>0</v>
      </c>
      <c r="H36" s="40">
        <v>0</v>
      </c>
      <c r="I36" s="40">
        <v>0</v>
      </c>
      <c r="J36" s="40">
        <v>22162.812999999998</v>
      </c>
      <c r="K36" s="40">
        <v>0</v>
      </c>
      <c r="L36" s="40">
        <v>0</v>
      </c>
      <c r="M36" s="40">
        <v>0</v>
      </c>
      <c r="N36" s="40">
        <v>0</v>
      </c>
      <c r="O36" s="40">
        <v>31992.700800000002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2777842.3089000001</v>
      </c>
      <c r="X36" s="36"/>
      <c r="Y36" s="42">
        <f>-SUM(Y33)</f>
        <v>-209103.83656900001</v>
      </c>
      <c r="Z36" s="38"/>
      <c r="AA36" s="43">
        <f>-(AA33+AA34)</f>
        <v>0</v>
      </c>
      <c r="AB36" s="36"/>
      <c r="AC36" s="76">
        <f>+W36+Y36+AA36</f>
        <v>2568738.472331</v>
      </c>
      <c r="AD36" s="29"/>
      <c r="AE36" s="25"/>
      <c r="AF36" s="163"/>
      <c r="AG36" s="2"/>
      <c r="AH36" s="3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471445.1323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32183.386200000001</v>
      </c>
      <c r="W37" s="76">
        <f>SUM(F37:V37)</f>
        <v>503628.51850000001</v>
      </c>
      <c r="X37" s="36"/>
      <c r="Y37" s="42"/>
      <c r="Z37" s="38"/>
      <c r="AA37" s="43"/>
      <c r="AB37" s="36"/>
      <c r="AC37" s="76">
        <f t="shared" si="3"/>
        <v>503628.51850000001</v>
      </c>
      <c r="AD37" s="29"/>
      <c r="AE37" s="25"/>
      <c r="AF37" s="163"/>
      <c r="AG37" s="2"/>
      <c r="AH37" s="34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67686.053599999999</v>
      </c>
      <c r="C38" s="39">
        <v>0</v>
      </c>
      <c r="D38" s="76">
        <f>B38+C38</f>
        <v>67686.053599999999</v>
      </c>
      <c r="E38" s="39">
        <v>0</v>
      </c>
      <c r="F38" s="76">
        <f>D38+E38</f>
        <v>67686.053599999999</v>
      </c>
      <c r="G38" s="39">
        <v>0</v>
      </c>
      <c r="H38" s="39">
        <v>0</v>
      </c>
      <c r="I38" s="39">
        <v>0</v>
      </c>
      <c r="J38" s="39">
        <v>532.24810000000002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68218.301699999996</v>
      </c>
      <c r="X38" s="36"/>
      <c r="Y38" s="35"/>
      <c r="Z38" s="38"/>
      <c r="AA38" s="37"/>
      <c r="AB38" s="36"/>
      <c r="AC38" s="75">
        <f t="shared" si="3"/>
        <v>68218.301699999996</v>
      </c>
      <c r="AD38" s="29"/>
      <c r="AE38" s="25"/>
      <c r="AF38" s="163"/>
      <c r="AG38" s="2"/>
      <c r="AH38" s="3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27" customFormat="1" ht="20.100000000000001" customHeight="1" x14ac:dyDescent="0.2">
      <c r="A39" s="74" t="s">
        <v>15</v>
      </c>
      <c r="B39" s="73">
        <f>+SUM(B33:B38)</f>
        <v>5683640.2016999992</v>
      </c>
      <c r="C39" s="73">
        <f>+SUM(C33:C38)</f>
        <v>1092981.4796156804</v>
      </c>
      <c r="D39" s="73">
        <f>+SUM(D33:D38)</f>
        <v>6776621.681315681</v>
      </c>
      <c r="E39" s="73">
        <f t="shared" ref="E39:V39" si="5">+SUM(E33:E38)</f>
        <v>107.0158</v>
      </c>
      <c r="F39" s="73">
        <f>SUM(F33:F38)</f>
        <v>6776728.6971156802</v>
      </c>
      <c r="G39" s="73">
        <f t="shared" si="5"/>
        <v>0</v>
      </c>
      <c r="H39" s="73">
        <f t="shared" si="5"/>
        <v>0</v>
      </c>
      <c r="I39" s="73">
        <f t="shared" si="5"/>
        <v>0</v>
      </c>
      <c r="J39" s="73">
        <f t="shared" si="5"/>
        <v>53288.09689999999</v>
      </c>
      <c r="K39" s="73">
        <f t="shared" si="5"/>
        <v>3571.4920000000002</v>
      </c>
      <c r="L39" s="73">
        <f t="shared" si="5"/>
        <v>9.5000000000000001E-7</v>
      </c>
      <c r="M39" s="73">
        <f t="shared" si="5"/>
        <v>503080.71980000002</v>
      </c>
      <c r="N39" s="73">
        <f t="shared" si="5"/>
        <v>9617.7025999999987</v>
      </c>
      <c r="O39" s="73">
        <f t="shared" si="5"/>
        <v>51232.385699999999</v>
      </c>
      <c r="P39" s="73">
        <f t="shared" si="5"/>
        <v>3160.4917581200002</v>
      </c>
      <c r="Q39" s="73">
        <f t="shared" si="5"/>
        <v>46427.340200000006</v>
      </c>
      <c r="R39" s="73">
        <f t="shared" si="5"/>
        <v>5680.5271017599989</v>
      </c>
      <c r="S39" s="73">
        <f t="shared" si="5"/>
        <v>0</v>
      </c>
      <c r="T39" s="73">
        <f t="shared" si="5"/>
        <v>3787.8057171200003</v>
      </c>
      <c r="U39" s="73">
        <f t="shared" si="5"/>
        <v>45.800000000000004</v>
      </c>
      <c r="V39" s="73">
        <f t="shared" si="5"/>
        <v>46004.8531</v>
      </c>
      <c r="W39" s="73">
        <f>+SUM(W33:W38)</f>
        <v>7502580.1119936313</v>
      </c>
      <c r="X39" s="33"/>
      <c r="Y39" s="32">
        <f>+SUM(Y33:Y38)</f>
        <v>0</v>
      </c>
      <c r="Z39" s="31"/>
      <c r="AA39" s="111"/>
      <c r="AB39" s="30"/>
      <c r="AC39" s="72">
        <f>+SUM(AC33:AC38)</f>
        <v>7502580.1119936313</v>
      </c>
      <c r="AD39" s="29"/>
      <c r="AE39" s="25"/>
      <c r="AF39" s="163"/>
      <c r="AG39" s="28"/>
      <c r="AH39" s="20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1:52" ht="15" customHeight="1" x14ac:dyDescent="0.2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5"/>
      <c r="Q40" s="164"/>
      <c r="R40" s="165"/>
      <c r="S40" s="164"/>
      <c r="T40" s="165"/>
      <c r="U40" s="164"/>
      <c r="V40" s="164"/>
      <c r="W40" s="164"/>
      <c r="X40" s="166"/>
      <c r="Y40" s="166"/>
      <c r="Z40" s="26">
        <v>0</v>
      </c>
      <c r="AA40" s="26">
        <v>0</v>
      </c>
      <c r="AB40" s="26">
        <v>0</v>
      </c>
      <c r="AC40" s="166"/>
      <c r="AF40" s="164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A41" s="164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25">
        <f t="shared" ref="Z41:AB41" si="6">Z40/1000</f>
        <v>0</v>
      </c>
      <c r="AA41" s="25">
        <f t="shared" si="6"/>
        <v>0</v>
      </c>
      <c r="AB41" s="25">
        <f t="shared" si="6"/>
        <v>0</v>
      </c>
      <c r="AC41" s="167"/>
      <c r="AF41" s="164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64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3"/>
      <c r="Y42" s="163"/>
      <c r="Z42" s="163"/>
      <c r="AA42" s="177">
        <f>AA39-AA41</f>
        <v>0</v>
      </c>
      <c r="AB42" s="177">
        <f>AB39-AB41</f>
        <v>0</v>
      </c>
      <c r="AC42" s="163"/>
      <c r="AF42" s="164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16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F43" s="164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6" customFormat="1" ht="15" customHeight="1" x14ac:dyDescent="0.2">
      <c r="A44" s="23" t="s">
        <v>14</v>
      </c>
      <c r="B44" s="22"/>
      <c r="C44" s="22"/>
      <c r="D44" s="21"/>
      <c r="E44" s="17">
        <v>2406227.801</v>
      </c>
      <c r="F44" s="170"/>
      <c r="J44" s="4" t="s">
        <v>13</v>
      </c>
      <c r="K44" s="7" t="s">
        <v>12</v>
      </c>
      <c r="W44" s="20"/>
      <c r="AD44" s="7"/>
      <c r="AE44" s="7"/>
      <c r="AF44" s="171"/>
    </row>
    <row r="45" spans="1:52" s="6" customFormat="1" ht="15" customHeight="1" x14ac:dyDescent="0.2">
      <c r="A45" s="161" t="s">
        <v>11</v>
      </c>
      <c r="B45" s="162"/>
      <c r="C45" s="162"/>
      <c r="D45" s="18"/>
      <c r="E45" s="17">
        <v>4069503.1861</v>
      </c>
      <c r="F45" s="170"/>
      <c r="K45" s="7" t="s">
        <v>10</v>
      </c>
      <c r="W45" s="4"/>
      <c r="Y45" s="4"/>
      <c r="AA45" s="4"/>
      <c r="AC45" s="4"/>
      <c r="AD45" s="7"/>
      <c r="AE45" s="7"/>
      <c r="AF45" s="171"/>
    </row>
    <row r="46" spans="1:52" s="6" customFormat="1" ht="15" hidden="1" customHeight="1" x14ac:dyDescent="0.2">
      <c r="A46" s="233"/>
      <c r="B46" s="234"/>
      <c r="C46" s="234"/>
      <c r="D46" s="18"/>
      <c r="E46" s="17"/>
      <c r="F46" s="170"/>
      <c r="K46" s="6" t="s">
        <v>9</v>
      </c>
      <c r="AD46" s="7"/>
      <c r="AE46" s="7"/>
      <c r="AF46" s="171"/>
    </row>
    <row r="47" spans="1:52" s="6" customFormat="1" ht="15" customHeight="1" x14ac:dyDescent="0.2">
      <c r="A47" s="19" t="s">
        <v>8</v>
      </c>
      <c r="B47" s="162"/>
      <c r="C47" s="162"/>
      <c r="D47" s="18"/>
      <c r="E47" s="17">
        <v>266964.65899999999</v>
      </c>
      <c r="F47" s="170"/>
      <c r="K47" s="7" t="s">
        <v>7</v>
      </c>
      <c r="AD47" s="7"/>
      <c r="AE47" s="7"/>
      <c r="AF47" s="171"/>
    </row>
    <row r="48" spans="1:52" s="6" customFormat="1" ht="15" customHeight="1" x14ac:dyDescent="0.2">
      <c r="A48" s="19" t="s">
        <v>6</v>
      </c>
      <c r="B48" s="162"/>
      <c r="C48" s="162"/>
      <c r="D48" s="18"/>
      <c r="E48" s="17">
        <v>139.07599999999999</v>
      </c>
      <c r="F48" s="170"/>
      <c r="K48" s="7" t="s">
        <v>119</v>
      </c>
      <c r="AD48" s="7"/>
      <c r="AE48" s="7"/>
      <c r="AF48" s="171"/>
    </row>
    <row r="49" spans="1:52" s="6" customFormat="1" ht="15" customHeight="1" x14ac:dyDescent="0.2">
      <c r="A49" s="161" t="s">
        <v>5</v>
      </c>
      <c r="B49" s="162"/>
      <c r="C49" s="162"/>
      <c r="D49" s="18"/>
      <c r="E49" s="17">
        <v>6248.7789000000002</v>
      </c>
      <c r="F49" s="170"/>
      <c r="AD49" s="7"/>
      <c r="AE49" s="7"/>
      <c r="AF49" s="171"/>
    </row>
    <row r="50" spans="1:52" s="6" customFormat="1" ht="15" customHeight="1" x14ac:dyDescent="0.2">
      <c r="A50" s="161" t="s">
        <v>4</v>
      </c>
      <c r="B50" s="162"/>
      <c r="C50" s="162"/>
      <c r="D50" s="18"/>
      <c r="E50" s="17">
        <v>19567.654600000002</v>
      </c>
      <c r="F50" s="170"/>
      <c r="AF50" s="172"/>
    </row>
    <row r="51" spans="1:52" s="6" customFormat="1" ht="15" customHeight="1" x14ac:dyDescent="0.2">
      <c r="A51" s="19" t="s">
        <v>3</v>
      </c>
      <c r="B51" s="162"/>
      <c r="C51" s="162"/>
      <c r="D51" s="18"/>
      <c r="E51" s="17">
        <v>8077.5415156793597</v>
      </c>
      <c r="F51" s="170"/>
      <c r="AF51" s="172"/>
    </row>
    <row r="52" spans="1:52" s="70" customFormat="1" ht="20.100000000000001" customHeight="1" x14ac:dyDescent="0.2">
      <c r="A52" s="237" t="s">
        <v>100</v>
      </c>
      <c r="B52" s="238"/>
      <c r="C52" s="238"/>
      <c r="D52" s="112"/>
      <c r="E52" s="71">
        <f>SUM(E44:E51)</f>
        <v>6776728.6971156793</v>
      </c>
      <c r="F52" s="173"/>
      <c r="AF52" s="174"/>
    </row>
    <row r="53" spans="1:52" s="6" customFormat="1" ht="15" customHeight="1" x14ac:dyDescent="0.2">
      <c r="A53" s="233"/>
      <c r="B53" s="234"/>
      <c r="C53" s="234"/>
      <c r="D53" s="18"/>
      <c r="E53" s="17">
        <v>0</v>
      </c>
      <c r="F53" s="170"/>
      <c r="AF53" s="172"/>
    </row>
    <row r="54" spans="1:52" s="6" customFormat="1" ht="15" customHeight="1" x14ac:dyDescent="0.2">
      <c r="A54" s="233" t="s">
        <v>2</v>
      </c>
      <c r="B54" s="234"/>
      <c r="C54" s="234"/>
      <c r="D54" s="18"/>
      <c r="E54" s="17">
        <v>45.8</v>
      </c>
      <c r="F54" s="170"/>
      <c r="AF54" s="172"/>
    </row>
    <row r="55" spans="1:52" s="6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6776682.8971156795</v>
      </c>
      <c r="F55" s="170"/>
      <c r="AF55" s="172"/>
    </row>
    <row r="56" spans="1:52" x14ac:dyDescent="0.2">
      <c r="A56" s="6"/>
      <c r="B56" s="6"/>
      <c r="C56" s="6"/>
      <c r="D56" s="6"/>
      <c r="E56" s="2"/>
      <c r="F56" s="16"/>
      <c r="G56" s="14"/>
      <c r="H56" s="14"/>
      <c r="I56" s="14"/>
      <c r="J56" s="15"/>
      <c r="K56" s="6"/>
      <c r="L56" s="14"/>
      <c r="M56" s="14"/>
      <c r="N56" s="14"/>
      <c r="O56" s="7"/>
      <c r="P56" s="7"/>
      <c r="Q56" s="7"/>
      <c r="R56" s="7"/>
      <c r="S56" s="7"/>
      <c r="T56" s="7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6"/>
      <c r="C57" s="6"/>
      <c r="D57" s="6"/>
      <c r="E57" s="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67" t="s">
        <v>108</v>
      </c>
      <c r="B58" s="6"/>
      <c r="C58" s="6"/>
      <c r="D58" s="6"/>
      <c r="E58" s="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D59" s="7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66" t="s">
        <v>96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V60" s="2"/>
      <c r="W60" s="4"/>
      <c r="X60" s="6"/>
      <c r="Y60" s="5"/>
      <c r="Z60" s="2"/>
      <c r="AA60" s="4"/>
      <c r="AB60" s="2"/>
      <c r="AC60" s="4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4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 W33" formula="1"/>
    <ignoredError sqref="W9:Y9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Z77"/>
  <sheetViews>
    <sheetView showGridLines="0" showZeros="0" topLeftCell="F13" zoomScaleNormal="100" workbookViewId="0">
      <selection activeCell="K49" sqref="K49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256" width="27.5546875" style="1"/>
    <col min="257" max="257" width="19.44140625" style="1" customWidth="1"/>
    <col min="258" max="259" width="12.77734375" style="1" customWidth="1"/>
    <col min="260" max="260" width="13" style="1" customWidth="1"/>
    <col min="261" max="262" width="12.77734375" style="1" customWidth="1"/>
    <col min="263" max="265" width="0" style="1" hidden="1" customWidth="1"/>
    <col min="266" max="274" width="12.77734375" style="1" customWidth="1"/>
    <col min="275" max="275" width="0" style="1" hidden="1" customWidth="1"/>
    <col min="276" max="279" width="12.77734375" style="1" customWidth="1"/>
    <col min="280" max="280" width="1.77734375" style="1" customWidth="1"/>
    <col min="281" max="281" width="12.77734375" style="1" customWidth="1"/>
    <col min="282" max="282" width="1.77734375" style="1" customWidth="1"/>
    <col min="283" max="284" width="0" style="1" hidden="1" customWidth="1"/>
    <col min="285" max="285" width="12.77734375" style="1" customWidth="1"/>
    <col min="286" max="286" width="17.88671875" style="1" customWidth="1"/>
    <col min="287" max="287" width="11.77734375" style="1" customWidth="1"/>
    <col min="288" max="288" width="12" style="1" customWidth="1"/>
    <col min="289" max="512" width="27.5546875" style="1"/>
    <col min="513" max="513" width="19.44140625" style="1" customWidth="1"/>
    <col min="514" max="515" width="12.77734375" style="1" customWidth="1"/>
    <col min="516" max="516" width="13" style="1" customWidth="1"/>
    <col min="517" max="518" width="12.77734375" style="1" customWidth="1"/>
    <col min="519" max="521" width="0" style="1" hidden="1" customWidth="1"/>
    <col min="522" max="530" width="12.77734375" style="1" customWidth="1"/>
    <col min="531" max="531" width="0" style="1" hidden="1" customWidth="1"/>
    <col min="532" max="535" width="12.77734375" style="1" customWidth="1"/>
    <col min="536" max="536" width="1.77734375" style="1" customWidth="1"/>
    <col min="537" max="537" width="12.77734375" style="1" customWidth="1"/>
    <col min="538" max="538" width="1.77734375" style="1" customWidth="1"/>
    <col min="539" max="540" width="0" style="1" hidden="1" customWidth="1"/>
    <col min="541" max="541" width="12.77734375" style="1" customWidth="1"/>
    <col min="542" max="542" width="17.88671875" style="1" customWidth="1"/>
    <col min="543" max="543" width="11.77734375" style="1" customWidth="1"/>
    <col min="544" max="544" width="12" style="1" customWidth="1"/>
    <col min="545" max="768" width="27.5546875" style="1"/>
    <col min="769" max="769" width="19.44140625" style="1" customWidth="1"/>
    <col min="770" max="771" width="12.77734375" style="1" customWidth="1"/>
    <col min="772" max="772" width="13" style="1" customWidth="1"/>
    <col min="773" max="774" width="12.77734375" style="1" customWidth="1"/>
    <col min="775" max="777" width="0" style="1" hidden="1" customWidth="1"/>
    <col min="778" max="786" width="12.77734375" style="1" customWidth="1"/>
    <col min="787" max="787" width="0" style="1" hidden="1" customWidth="1"/>
    <col min="788" max="791" width="12.77734375" style="1" customWidth="1"/>
    <col min="792" max="792" width="1.77734375" style="1" customWidth="1"/>
    <col min="793" max="793" width="12.77734375" style="1" customWidth="1"/>
    <col min="794" max="794" width="1.77734375" style="1" customWidth="1"/>
    <col min="795" max="796" width="0" style="1" hidden="1" customWidth="1"/>
    <col min="797" max="797" width="12.77734375" style="1" customWidth="1"/>
    <col min="798" max="798" width="17.88671875" style="1" customWidth="1"/>
    <col min="799" max="799" width="11.77734375" style="1" customWidth="1"/>
    <col min="800" max="800" width="12" style="1" customWidth="1"/>
    <col min="801" max="1024" width="27.5546875" style="1"/>
    <col min="1025" max="1025" width="19.44140625" style="1" customWidth="1"/>
    <col min="1026" max="1027" width="12.77734375" style="1" customWidth="1"/>
    <col min="1028" max="1028" width="13" style="1" customWidth="1"/>
    <col min="1029" max="1030" width="12.77734375" style="1" customWidth="1"/>
    <col min="1031" max="1033" width="0" style="1" hidden="1" customWidth="1"/>
    <col min="1034" max="1042" width="12.77734375" style="1" customWidth="1"/>
    <col min="1043" max="1043" width="0" style="1" hidden="1" customWidth="1"/>
    <col min="1044" max="1047" width="12.77734375" style="1" customWidth="1"/>
    <col min="1048" max="1048" width="1.77734375" style="1" customWidth="1"/>
    <col min="1049" max="1049" width="12.77734375" style="1" customWidth="1"/>
    <col min="1050" max="1050" width="1.77734375" style="1" customWidth="1"/>
    <col min="1051" max="1052" width="0" style="1" hidden="1" customWidth="1"/>
    <col min="1053" max="1053" width="12.77734375" style="1" customWidth="1"/>
    <col min="1054" max="1054" width="17.88671875" style="1" customWidth="1"/>
    <col min="1055" max="1055" width="11.77734375" style="1" customWidth="1"/>
    <col min="1056" max="1056" width="12" style="1" customWidth="1"/>
    <col min="1057" max="1280" width="27.5546875" style="1"/>
    <col min="1281" max="1281" width="19.44140625" style="1" customWidth="1"/>
    <col min="1282" max="1283" width="12.77734375" style="1" customWidth="1"/>
    <col min="1284" max="1284" width="13" style="1" customWidth="1"/>
    <col min="1285" max="1286" width="12.77734375" style="1" customWidth="1"/>
    <col min="1287" max="1289" width="0" style="1" hidden="1" customWidth="1"/>
    <col min="1290" max="1298" width="12.77734375" style="1" customWidth="1"/>
    <col min="1299" max="1299" width="0" style="1" hidden="1" customWidth="1"/>
    <col min="1300" max="1303" width="12.77734375" style="1" customWidth="1"/>
    <col min="1304" max="1304" width="1.77734375" style="1" customWidth="1"/>
    <col min="1305" max="1305" width="12.77734375" style="1" customWidth="1"/>
    <col min="1306" max="1306" width="1.77734375" style="1" customWidth="1"/>
    <col min="1307" max="1308" width="0" style="1" hidden="1" customWidth="1"/>
    <col min="1309" max="1309" width="12.77734375" style="1" customWidth="1"/>
    <col min="1310" max="1310" width="17.88671875" style="1" customWidth="1"/>
    <col min="1311" max="1311" width="11.77734375" style="1" customWidth="1"/>
    <col min="1312" max="1312" width="12" style="1" customWidth="1"/>
    <col min="1313" max="1536" width="27.5546875" style="1"/>
    <col min="1537" max="1537" width="19.44140625" style="1" customWidth="1"/>
    <col min="1538" max="1539" width="12.77734375" style="1" customWidth="1"/>
    <col min="1540" max="1540" width="13" style="1" customWidth="1"/>
    <col min="1541" max="1542" width="12.77734375" style="1" customWidth="1"/>
    <col min="1543" max="1545" width="0" style="1" hidden="1" customWidth="1"/>
    <col min="1546" max="1554" width="12.77734375" style="1" customWidth="1"/>
    <col min="1555" max="1555" width="0" style="1" hidden="1" customWidth="1"/>
    <col min="1556" max="1559" width="12.77734375" style="1" customWidth="1"/>
    <col min="1560" max="1560" width="1.77734375" style="1" customWidth="1"/>
    <col min="1561" max="1561" width="12.77734375" style="1" customWidth="1"/>
    <col min="1562" max="1562" width="1.77734375" style="1" customWidth="1"/>
    <col min="1563" max="1564" width="0" style="1" hidden="1" customWidth="1"/>
    <col min="1565" max="1565" width="12.77734375" style="1" customWidth="1"/>
    <col min="1566" max="1566" width="17.88671875" style="1" customWidth="1"/>
    <col min="1567" max="1567" width="11.77734375" style="1" customWidth="1"/>
    <col min="1568" max="1568" width="12" style="1" customWidth="1"/>
    <col min="1569" max="1792" width="27.5546875" style="1"/>
    <col min="1793" max="1793" width="19.44140625" style="1" customWidth="1"/>
    <col min="1794" max="1795" width="12.77734375" style="1" customWidth="1"/>
    <col min="1796" max="1796" width="13" style="1" customWidth="1"/>
    <col min="1797" max="1798" width="12.77734375" style="1" customWidth="1"/>
    <col min="1799" max="1801" width="0" style="1" hidden="1" customWidth="1"/>
    <col min="1802" max="1810" width="12.77734375" style="1" customWidth="1"/>
    <col min="1811" max="1811" width="0" style="1" hidden="1" customWidth="1"/>
    <col min="1812" max="1815" width="12.77734375" style="1" customWidth="1"/>
    <col min="1816" max="1816" width="1.77734375" style="1" customWidth="1"/>
    <col min="1817" max="1817" width="12.77734375" style="1" customWidth="1"/>
    <col min="1818" max="1818" width="1.77734375" style="1" customWidth="1"/>
    <col min="1819" max="1820" width="0" style="1" hidden="1" customWidth="1"/>
    <col min="1821" max="1821" width="12.77734375" style="1" customWidth="1"/>
    <col min="1822" max="1822" width="17.88671875" style="1" customWidth="1"/>
    <col min="1823" max="1823" width="11.77734375" style="1" customWidth="1"/>
    <col min="1824" max="1824" width="12" style="1" customWidth="1"/>
    <col min="1825" max="2048" width="27.5546875" style="1"/>
    <col min="2049" max="2049" width="19.44140625" style="1" customWidth="1"/>
    <col min="2050" max="2051" width="12.77734375" style="1" customWidth="1"/>
    <col min="2052" max="2052" width="13" style="1" customWidth="1"/>
    <col min="2053" max="2054" width="12.77734375" style="1" customWidth="1"/>
    <col min="2055" max="2057" width="0" style="1" hidden="1" customWidth="1"/>
    <col min="2058" max="2066" width="12.77734375" style="1" customWidth="1"/>
    <col min="2067" max="2067" width="0" style="1" hidden="1" customWidth="1"/>
    <col min="2068" max="2071" width="12.77734375" style="1" customWidth="1"/>
    <col min="2072" max="2072" width="1.77734375" style="1" customWidth="1"/>
    <col min="2073" max="2073" width="12.77734375" style="1" customWidth="1"/>
    <col min="2074" max="2074" width="1.77734375" style="1" customWidth="1"/>
    <col min="2075" max="2076" width="0" style="1" hidden="1" customWidth="1"/>
    <col min="2077" max="2077" width="12.77734375" style="1" customWidth="1"/>
    <col min="2078" max="2078" width="17.88671875" style="1" customWidth="1"/>
    <col min="2079" max="2079" width="11.77734375" style="1" customWidth="1"/>
    <col min="2080" max="2080" width="12" style="1" customWidth="1"/>
    <col min="2081" max="2304" width="27.5546875" style="1"/>
    <col min="2305" max="2305" width="19.44140625" style="1" customWidth="1"/>
    <col min="2306" max="2307" width="12.77734375" style="1" customWidth="1"/>
    <col min="2308" max="2308" width="13" style="1" customWidth="1"/>
    <col min="2309" max="2310" width="12.77734375" style="1" customWidth="1"/>
    <col min="2311" max="2313" width="0" style="1" hidden="1" customWidth="1"/>
    <col min="2314" max="2322" width="12.77734375" style="1" customWidth="1"/>
    <col min="2323" max="2323" width="0" style="1" hidden="1" customWidth="1"/>
    <col min="2324" max="2327" width="12.77734375" style="1" customWidth="1"/>
    <col min="2328" max="2328" width="1.77734375" style="1" customWidth="1"/>
    <col min="2329" max="2329" width="12.77734375" style="1" customWidth="1"/>
    <col min="2330" max="2330" width="1.77734375" style="1" customWidth="1"/>
    <col min="2331" max="2332" width="0" style="1" hidden="1" customWidth="1"/>
    <col min="2333" max="2333" width="12.77734375" style="1" customWidth="1"/>
    <col min="2334" max="2334" width="17.88671875" style="1" customWidth="1"/>
    <col min="2335" max="2335" width="11.77734375" style="1" customWidth="1"/>
    <col min="2336" max="2336" width="12" style="1" customWidth="1"/>
    <col min="2337" max="2560" width="27.5546875" style="1"/>
    <col min="2561" max="2561" width="19.44140625" style="1" customWidth="1"/>
    <col min="2562" max="2563" width="12.77734375" style="1" customWidth="1"/>
    <col min="2564" max="2564" width="13" style="1" customWidth="1"/>
    <col min="2565" max="2566" width="12.77734375" style="1" customWidth="1"/>
    <col min="2567" max="2569" width="0" style="1" hidden="1" customWidth="1"/>
    <col min="2570" max="2578" width="12.77734375" style="1" customWidth="1"/>
    <col min="2579" max="2579" width="0" style="1" hidden="1" customWidth="1"/>
    <col min="2580" max="2583" width="12.77734375" style="1" customWidth="1"/>
    <col min="2584" max="2584" width="1.77734375" style="1" customWidth="1"/>
    <col min="2585" max="2585" width="12.77734375" style="1" customWidth="1"/>
    <col min="2586" max="2586" width="1.77734375" style="1" customWidth="1"/>
    <col min="2587" max="2588" width="0" style="1" hidden="1" customWidth="1"/>
    <col min="2589" max="2589" width="12.77734375" style="1" customWidth="1"/>
    <col min="2590" max="2590" width="17.88671875" style="1" customWidth="1"/>
    <col min="2591" max="2591" width="11.77734375" style="1" customWidth="1"/>
    <col min="2592" max="2592" width="12" style="1" customWidth="1"/>
    <col min="2593" max="2816" width="27.5546875" style="1"/>
    <col min="2817" max="2817" width="19.44140625" style="1" customWidth="1"/>
    <col min="2818" max="2819" width="12.77734375" style="1" customWidth="1"/>
    <col min="2820" max="2820" width="13" style="1" customWidth="1"/>
    <col min="2821" max="2822" width="12.77734375" style="1" customWidth="1"/>
    <col min="2823" max="2825" width="0" style="1" hidden="1" customWidth="1"/>
    <col min="2826" max="2834" width="12.77734375" style="1" customWidth="1"/>
    <col min="2835" max="2835" width="0" style="1" hidden="1" customWidth="1"/>
    <col min="2836" max="2839" width="12.77734375" style="1" customWidth="1"/>
    <col min="2840" max="2840" width="1.77734375" style="1" customWidth="1"/>
    <col min="2841" max="2841" width="12.77734375" style="1" customWidth="1"/>
    <col min="2842" max="2842" width="1.77734375" style="1" customWidth="1"/>
    <col min="2843" max="2844" width="0" style="1" hidden="1" customWidth="1"/>
    <col min="2845" max="2845" width="12.77734375" style="1" customWidth="1"/>
    <col min="2846" max="2846" width="17.88671875" style="1" customWidth="1"/>
    <col min="2847" max="2847" width="11.77734375" style="1" customWidth="1"/>
    <col min="2848" max="2848" width="12" style="1" customWidth="1"/>
    <col min="2849" max="3072" width="27.5546875" style="1"/>
    <col min="3073" max="3073" width="19.44140625" style="1" customWidth="1"/>
    <col min="3074" max="3075" width="12.77734375" style="1" customWidth="1"/>
    <col min="3076" max="3076" width="13" style="1" customWidth="1"/>
    <col min="3077" max="3078" width="12.77734375" style="1" customWidth="1"/>
    <col min="3079" max="3081" width="0" style="1" hidden="1" customWidth="1"/>
    <col min="3082" max="3090" width="12.77734375" style="1" customWidth="1"/>
    <col min="3091" max="3091" width="0" style="1" hidden="1" customWidth="1"/>
    <col min="3092" max="3095" width="12.77734375" style="1" customWidth="1"/>
    <col min="3096" max="3096" width="1.77734375" style="1" customWidth="1"/>
    <col min="3097" max="3097" width="12.77734375" style="1" customWidth="1"/>
    <col min="3098" max="3098" width="1.77734375" style="1" customWidth="1"/>
    <col min="3099" max="3100" width="0" style="1" hidden="1" customWidth="1"/>
    <col min="3101" max="3101" width="12.77734375" style="1" customWidth="1"/>
    <col min="3102" max="3102" width="17.88671875" style="1" customWidth="1"/>
    <col min="3103" max="3103" width="11.77734375" style="1" customWidth="1"/>
    <col min="3104" max="3104" width="12" style="1" customWidth="1"/>
    <col min="3105" max="3328" width="27.5546875" style="1"/>
    <col min="3329" max="3329" width="19.44140625" style="1" customWidth="1"/>
    <col min="3330" max="3331" width="12.77734375" style="1" customWidth="1"/>
    <col min="3332" max="3332" width="13" style="1" customWidth="1"/>
    <col min="3333" max="3334" width="12.77734375" style="1" customWidth="1"/>
    <col min="3335" max="3337" width="0" style="1" hidden="1" customWidth="1"/>
    <col min="3338" max="3346" width="12.77734375" style="1" customWidth="1"/>
    <col min="3347" max="3347" width="0" style="1" hidden="1" customWidth="1"/>
    <col min="3348" max="3351" width="12.77734375" style="1" customWidth="1"/>
    <col min="3352" max="3352" width="1.77734375" style="1" customWidth="1"/>
    <col min="3353" max="3353" width="12.77734375" style="1" customWidth="1"/>
    <col min="3354" max="3354" width="1.77734375" style="1" customWidth="1"/>
    <col min="3355" max="3356" width="0" style="1" hidden="1" customWidth="1"/>
    <col min="3357" max="3357" width="12.77734375" style="1" customWidth="1"/>
    <col min="3358" max="3358" width="17.88671875" style="1" customWidth="1"/>
    <col min="3359" max="3359" width="11.77734375" style="1" customWidth="1"/>
    <col min="3360" max="3360" width="12" style="1" customWidth="1"/>
    <col min="3361" max="3584" width="27.5546875" style="1"/>
    <col min="3585" max="3585" width="19.44140625" style="1" customWidth="1"/>
    <col min="3586" max="3587" width="12.77734375" style="1" customWidth="1"/>
    <col min="3588" max="3588" width="13" style="1" customWidth="1"/>
    <col min="3589" max="3590" width="12.77734375" style="1" customWidth="1"/>
    <col min="3591" max="3593" width="0" style="1" hidden="1" customWidth="1"/>
    <col min="3594" max="3602" width="12.77734375" style="1" customWidth="1"/>
    <col min="3603" max="3603" width="0" style="1" hidden="1" customWidth="1"/>
    <col min="3604" max="3607" width="12.77734375" style="1" customWidth="1"/>
    <col min="3608" max="3608" width="1.77734375" style="1" customWidth="1"/>
    <col min="3609" max="3609" width="12.77734375" style="1" customWidth="1"/>
    <col min="3610" max="3610" width="1.77734375" style="1" customWidth="1"/>
    <col min="3611" max="3612" width="0" style="1" hidden="1" customWidth="1"/>
    <col min="3613" max="3613" width="12.77734375" style="1" customWidth="1"/>
    <col min="3614" max="3614" width="17.88671875" style="1" customWidth="1"/>
    <col min="3615" max="3615" width="11.77734375" style="1" customWidth="1"/>
    <col min="3616" max="3616" width="12" style="1" customWidth="1"/>
    <col min="3617" max="3840" width="27.5546875" style="1"/>
    <col min="3841" max="3841" width="19.44140625" style="1" customWidth="1"/>
    <col min="3842" max="3843" width="12.77734375" style="1" customWidth="1"/>
    <col min="3844" max="3844" width="13" style="1" customWidth="1"/>
    <col min="3845" max="3846" width="12.77734375" style="1" customWidth="1"/>
    <col min="3847" max="3849" width="0" style="1" hidden="1" customWidth="1"/>
    <col min="3850" max="3858" width="12.77734375" style="1" customWidth="1"/>
    <col min="3859" max="3859" width="0" style="1" hidden="1" customWidth="1"/>
    <col min="3860" max="3863" width="12.77734375" style="1" customWidth="1"/>
    <col min="3864" max="3864" width="1.77734375" style="1" customWidth="1"/>
    <col min="3865" max="3865" width="12.77734375" style="1" customWidth="1"/>
    <col min="3866" max="3866" width="1.77734375" style="1" customWidth="1"/>
    <col min="3867" max="3868" width="0" style="1" hidden="1" customWidth="1"/>
    <col min="3869" max="3869" width="12.77734375" style="1" customWidth="1"/>
    <col min="3870" max="3870" width="17.88671875" style="1" customWidth="1"/>
    <col min="3871" max="3871" width="11.77734375" style="1" customWidth="1"/>
    <col min="3872" max="3872" width="12" style="1" customWidth="1"/>
    <col min="3873" max="4096" width="27.5546875" style="1"/>
    <col min="4097" max="4097" width="19.44140625" style="1" customWidth="1"/>
    <col min="4098" max="4099" width="12.77734375" style="1" customWidth="1"/>
    <col min="4100" max="4100" width="13" style="1" customWidth="1"/>
    <col min="4101" max="4102" width="12.77734375" style="1" customWidth="1"/>
    <col min="4103" max="4105" width="0" style="1" hidden="1" customWidth="1"/>
    <col min="4106" max="4114" width="12.77734375" style="1" customWidth="1"/>
    <col min="4115" max="4115" width="0" style="1" hidden="1" customWidth="1"/>
    <col min="4116" max="4119" width="12.77734375" style="1" customWidth="1"/>
    <col min="4120" max="4120" width="1.77734375" style="1" customWidth="1"/>
    <col min="4121" max="4121" width="12.77734375" style="1" customWidth="1"/>
    <col min="4122" max="4122" width="1.77734375" style="1" customWidth="1"/>
    <col min="4123" max="4124" width="0" style="1" hidden="1" customWidth="1"/>
    <col min="4125" max="4125" width="12.77734375" style="1" customWidth="1"/>
    <col min="4126" max="4126" width="17.88671875" style="1" customWidth="1"/>
    <col min="4127" max="4127" width="11.77734375" style="1" customWidth="1"/>
    <col min="4128" max="4128" width="12" style="1" customWidth="1"/>
    <col min="4129" max="4352" width="27.5546875" style="1"/>
    <col min="4353" max="4353" width="19.44140625" style="1" customWidth="1"/>
    <col min="4354" max="4355" width="12.77734375" style="1" customWidth="1"/>
    <col min="4356" max="4356" width="13" style="1" customWidth="1"/>
    <col min="4357" max="4358" width="12.77734375" style="1" customWidth="1"/>
    <col min="4359" max="4361" width="0" style="1" hidden="1" customWidth="1"/>
    <col min="4362" max="4370" width="12.77734375" style="1" customWidth="1"/>
    <col min="4371" max="4371" width="0" style="1" hidden="1" customWidth="1"/>
    <col min="4372" max="4375" width="12.77734375" style="1" customWidth="1"/>
    <col min="4376" max="4376" width="1.77734375" style="1" customWidth="1"/>
    <col min="4377" max="4377" width="12.77734375" style="1" customWidth="1"/>
    <col min="4378" max="4378" width="1.77734375" style="1" customWidth="1"/>
    <col min="4379" max="4380" width="0" style="1" hidden="1" customWidth="1"/>
    <col min="4381" max="4381" width="12.77734375" style="1" customWidth="1"/>
    <col min="4382" max="4382" width="17.88671875" style="1" customWidth="1"/>
    <col min="4383" max="4383" width="11.77734375" style="1" customWidth="1"/>
    <col min="4384" max="4384" width="12" style="1" customWidth="1"/>
    <col min="4385" max="4608" width="27.5546875" style="1"/>
    <col min="4609" max="4609" width="19.44140625" style="1" customWidth="1"/>
    <col min="4610" max="4611" width="12.77734375" style="1" customWidth="1"/>
    <col min="4612" max="4612" width="13" style="1" customWidth="1"/>
    <col min="4613" max="4614" width="12.77734375" style="1" customWidth="1"/>
    <col min="4615" max="4617" width="0" style="1" hidden="1" customWidth="1"/>
    <col min="4618" max="4626" width="12.77734375" style="1" customWidth="1"/>
    <col min="4627" max="4627" width="0" style="1" hidden="1" customWidth="1"/>
    <col min="4628" max="4631" width="12.77734375" style="1" customWidth="1"/>
    <col min="4632" max="4632" width="1.77734375" style="1" customWidth="1"/>
    <col min="4633" max="4633" width="12.77734375" style="1" customWidth="1"/>
    <col min="4634" max="4634" width="1.77734375" style="1" customWidth="1"/>
    <col min="4635" max="4636" width="0" style="1" hidden="1" customWidth="1"/>
    <col min="4637" max="4637" width="12.77734375" style="1" customWidth="1"/>
    <col min="4638" max="4638" width="17.88671875" style="1" customWidth="1"/>
    <col min="4639" max="4639" width="11.77734375" style="1" customWidth="1"/>
    <col min="4640" max="4640" width="12" style="1" customWidth="1"/>
    <col min="4641" max="4864" width="27.5546875" style="1"/>
    <col min="4865" max="4865" width="19.44140625" style="1" customWidth="1"/>
    <col min="4866" max="4867" width="12.77734375" style="1" customWidth="1"/>
    <col min="4868" max="4868" width="13" style="1" customWidth="1"/>
    <col min="4869" max="4870" width="12.77734375" style="1" customWidth="1"/>
    <col min="4871" max="4873" width="0" style="1" hidden="1" customWidth="1"/>
    <col min="4874" max="4882" width="12.77734375" style="1" customWidth="1"/>
    <col min="4883" max="4883" width="0" style="1" hidden="1" customWidth="1"/>
    <col min="4884" max="4887" width="12.77734375" style="1" customWidth="1"/>
    <col min="4888" max="4888" width="1.77734375" style="1" customWidth="1"/>
    <col min="4889" max="4889" width="12.77734375" style="1" customWidth="1"/>
    <col min="4890" max="4890" width="1.77734375" style="1" customWidth="1"/>
    <col min="4891" max="4892" width="0" style="1" hidden="1" customWidth="1"/>
    <col min="4893" max="4893" width="12.77734375" style="1" customWidth="1"/>
    <col min="4894" max="4894" width="17.88671875" style="1" customWidth="1"/>
    <col min="4895" max="4895" width="11.77734375" style="1" customWidth="1"/>
    <col min="4896" max="4896" width="12" style="1" customWidth="1"/>
    <col min="4897" max="5120" width="27.5546875" style="1"/>
    <col min="5121" max="5121" width="19.44140625" style="1" customWidth="1"/>
    <col min="5122" max="5123" width="12.77734375" style="1" customWidth="1"/>
    <col min="5124" max="5124" width="13" style="1" customWidth="1"/>
    <col min="5125" max="5126" width="12.77734375" style="1" customWidth="1"/>
    <col min="5127" max="5129" width="0" style="1" hidden="1" customWidth="1"/>
    <col min="5130" max="5138" width="12.77734375" style="1" customWidth="1"/>
    <col min="5139" max="5139" width="0" style="1" hidden="1" customWidth="1"/>
    <col min="5140" max="5143" width="12.77734375" style="1" customWidth="1"/>
    <col min="5144" max="5144" width="1.77734375" style="1" customWidth="1"/>
    <col min="5145" max="5145" width="12.77734375" style="1" customWidth="1"/>
    <col min="5146" max="5146" width="1.77734375" style="1" customWidth="1"/>
    <col min="5147" max="5148" width="0" style="1" hidden="1" customWidth="1"/>
    <col min="5149" max="5149" width="12.77734375" style="1" customWidth="1"/>
    <col min="5150" max="5150" width="17.88671875" style="1" customWidth="1"/>
    <col min="5151" max="5151" width="11.77734375" style="1" customWidth="1"/>
    <col min="5152" max="5152" width="12" style="1" customWidth="1"/>
    <col min="5153" max="5376" width="27.5546875" style="1"/>
    <col min="5377" max="5377" width="19.44140625" style="1" customWidth="1"/>
    <col min="5378" max="5379" width="12.77734375" style="1" customWidth="1"/>
    <col min="5380" max="5380" width="13" style="1" customWidth="1"/>
    <col min="5381" max="5382" width="12.77734375" style="1" customWidth="1"/>
    <col min="5383" max="5385" width="0" style="1" hidden="1" customWidth="1"/>
    <col min="5386" max="5394" width="12.77734375" style="1" customWidth="1"/>
    <col min="5395" max="5395" width="0" style="1" hidden="1" customWidth="1"/>
    <col min="5396" max="5399" width="12.77734375" style="1" customWidth="1"/>
    <col min="5400" max="5400" width="1.77734375" style="1" customWidth="1"/>
    <col min="5401" max="5401" width="12.77734375" style="1" customWidth="1"/>
    <col min="5402" max="5402" width="1.77734375" style="1" customWidth="1"/>
    <col min="5403" max="5404" width="0" style="1" hidden="1" customWidth="1"/>
    <col min="5405" max="5405" width="12.77734375" style="1" customWidth="1"/>
    <col min="5406" max="5406" width="17.88671875" style="1" customWidth="1"/>
    <col min="5407" max="5407" width="11.77734375" style="1" customWidth="1"/>
    <col min="5408" max="5408" width="12" style="1" customWidth="1"/>
    <col min="5409" max="5632" width="27.5546875" style="1"/>
    <col min="5633" max="5633" width="19.44140625" style="1" customWidth="1"/>
    <col min="5634" max="5635" width="12.77734375" style="1" customWidth="1"/>
    <col min="5636" max="5636" width="13" style="1" customWidth="1"/>
    <col min="5637" max="5638" width="12.77734375" style="1" customWidth="1"/>
    <col min="5639" max="5641" width="0" style="1" hidden="1" customWidth="1"/>
    <col min="5642" max="5650" width="12.77734375" style="1" customWidth="1"/>
    <col min="5651" max="5651" width="0" style="1" hidden="1" customWidth="1"/>
    <col min="5652" max="5655" width="12.77734375" style="1" customWidth="1"/>
    <col min="5656" max="5656" width="1.77734375" style="1" customWidth="1"/>
    <col min="5657" max="5657" width="12.77734375" style="1" customWidth="1"/>
    <col min="5658" max="5658" width="1.77734375" style="1" customWidth="1"/>
    <col min="5659" max="5660" width="0" style="1" hidden="1" customWidth="1"/>
    <col min="5661" max="5661" width="12.77734375" style="1" customWidth="1"/>
    <col min="5662" max="5662" width="17.88671875" style="1" customWidth="1"/>
    <col min="5663" max="5663" width="11.77734375" style="1" customWidth="1"/>
    <col min="5664" max="5664" width="12" style="1" customWidth="1"/>
    <col min="5665" max="5888" width="27.5546875" style="1"/>
    <col min="5889" max="5889" width="19.44140625" style="1" customWidth="1"/>
    <col min="5890" max="5891" width="12.77734375" style="1" customWidth="1"/>
    <col min="5892" max="5892" width="13" style="1" customWidth="1"/>
    <col min="5893" max="5894" width="12.77734375" style="1" customWidth="1"/>
    <col min="5895" max="5897" width="0" style="1" hidden="1" customWidth="1"/>
    <col min="5898" max="5906" width="12.77734375" style="1" customWidth="1"/>
    <col min="5907" max="5907" width="0" style="1" hidden="1" customWidth="1"/>
    <col min="5908" max="5911" width="12.77734375" style="1" customWidth="1"/>
    <col min="5912" max="5912" width="1.77734375" style="1" customWidth="1"/>
    <col min="5913" max="5913" width="12.77734375" style="1" customWidth="1"/>
    <col min="5914" max="5914" width="1.77734375" style="1" customWidth="1"/>
    <col min="5915" max="5916" width="0" style="1" hidden="1" customWidth="1"/>
    <col min="5917" max="5917" width="12.77734375" style="1" customWidth="1"/>
    <col min="5918" max="5918" width="17.88671875" style="1" customWidth="1"/>
    <col min="5919" max="5919" width="11.77734375" style="1" customWidth="1"/>
    <col min="5920" max="5920" width="12" style="1" customWidth="1"/>
    <col min="5921" max="6144" width="27.5546875" style="1"/>
    <col min="6145" max="6145" width="19.44140625" style="1" customWidth="1"/>
    <col min="6146" max="6147" width="12.77734375" style="1" customWidth="1"/>
    <col min="6148" max="6148" width="13" style="1" customWidth="1"/>
    <col min="6149" max="6150" width="12.77734375" style="1" customWidth="1"/>
    <col min="6151" max="6153" width="0" style="1" hidden="1" customWidth="1"/>
    <col min="6154" max="6162" width="12.77734375" style="1" customWidth="1"/>
    <col min="6163" max="6163" width="0" style="1" hidden="1" customWidth="1"/>
    <col min="6164" max="6167" width="12.77734375" style="1" customWidth="1"/>
    <col min="6168" max="6168" width="1.77734375" style="1" customWidth="1"/>
    <col min="6169" max="6169" width="12.77734375" style="1" customWidth="1"/>
    <col min="6170" max="6170" width="1.77734375" style="1" customWidth="1"/>
    <col min="6171" max="6172" width="0" style="1" hidden="1" customWidth="1"/>
    <col min="6173" max="6173" width="12.77734375" style="1" customWidth="1"/>
    <col min="6174" max="6174" width="17.88671875" style="1" customWidth="1"/>
    <col min="6175" max="6175" width="11.77734375" style="1" customWidth="1"/>
    <col min="6176" max="6176" width="12" style="1" customWidth="1"/>
    <col min="6177" max="6400" width="27.5546875" style="1"/>
    <col min="6401" max="6401" width="19.44140625" style="1" customWidth="1"/>
    <col min="6402" max="6403" width="12.77734375" style="1" customWidth="1"/>
    <col min="6404" max="6404" width="13" style="1" customWidth="1"/>
    <col min="6405" max="6406" width="12.77734375" style="1" customWidth="1"/>
    <col min="6407" max="6409" width="0" style="1" hidden="1" customWidth="1"/>
    <col min="6410" max="6418" width="12.77734375" style="1" customWidth="1"/>
    <col min="6419" max="6419" width="0" style="1" hidden="1" customWidth="1"/>
    <col min="6420" max="6423" width="12.77734375" style="1" customWidth="1"/>
    <col min="6424" max="6424" width="1.77734375" style="1" customWidth="1"/>
    <col min="6425" max="6425" width="12.77734375" style="1" customWidth="1"/>
    <col min="6426" max="6426" width="1.77734375" style="1" customWidth="1"/>
    <col min="6427" max="6428" width="0" style="1" hidden="1" customWidth="1"/>
    <col min="6429" max="6429" width="12.77734375" style="1" customWidth="1"/>
    <col min="6430" max="6430" width="17.88671875" style="1" customWidth="1"/>
    <col min="6431" max="6431" width="11.77734375" style="1" customWidth="1"/>
    <col min="6432" max="6432" width="12" style="1" customWidth="1"/>
    <col min="6433" max="6656" width="27.5546875" style="1"/>
    <col min="6657" max="6657" width="19.44140625" style="1" customWidth="1"/>
    <col min="6658" max="6659" width="12.77734375" style="1" customWidth="1"/>
    <col min="6660" max="6660" width="13" style="1" customWidth="1"/>
    <col min="6661" max="6662" width="12.77734375" style="1" customWidth="1"/>
    <col min="6663" max="6665" width="0" style="1" hidden="1" customWidth="1"/>
    <col min="6666" max="6674" width="12.77734375" style="1" customWidth="1"/>
    <col min="6675" max="6675" width="0" style="1" hidden="1" customWidth="1"/>
    <col min="6676" max="6679" width="12.77734375" style="1" customWidth="1"/>
    <col min="6680" max="6680" width="1.77734375" style="1" customWidth="1"/>
    <col min="6681" max="6681" width="12.77734375" style="1" customWidth="1"/>
    <col min="6682" max="6682" width="1.77734375" style="1" customWidth="1"/>
    <col min="6683" max="6684" width="0" style="1" hidden="1" customWidth="1"/>
    <col min="6685" max="6685" width="12.77734375" style="1" customWidth="1"/>
    <col min="6686" max="6686" width="17.88671875" style="1" customWidth="1"/>
    <col min="6687" max="6687" width="11.77734375" style="1" customWidth="1"/>
    <col min="6688" max="6688" width="12" style="1" customWidth="1"/>
    <col min="6689" max="6912" width="27.5546875" style="1"/>
    <col min="6913" max="6913" width="19.44140625" style="1" customWidth="1"/>
    <col min="6914" max="6915" width="12.77734375" style="1" customWidth="1"/>
    <col min="6916" max="6916" width="13" style="1" customWidth="1"/>
    <col min="6917" max="6918" width="12.77734375" style="1" customWidth="1"/>
    <col min="6919" max="6921" width="0" style="1" hidden="1" customWidth="1"/>
    <col min="6922" max="6930" width="12.77734375" style="1" customWidth="1"/>
    <col min="6931" max="6931" width="0" style="1" hidden="1" customWidth="1"/>
    <col min="6932" max="6935" width="12.77734375" style="1" customWidth="1"/>
    <col min="6936" max="6936" width="1.77734375" style="1" customWidth="1"/>
    <col min="6937" max="6937" width="12.77734375" style="1" customWidth="1"/>
    <col min="6938" max="6938" width="1.77734375" style="1" customWidth="1"/>
    <col min="6939" max="6940" width="0" style="1" hidden="1" customWidth="1"/>
    <col min="6941" max="6941" width="12.77734375" style="1" customWidth="1"/>
    <col min="6942" max="6942" width="17.88671875" style="1" customWidth="1"/>
    <col min="6943" max="6943" width="11.77734375" style="1" customWidth="1"/>
    <col min="6944" max="6944" width="12" style="1" customWidth="1"/>
    <col min="6945" max="7168" width="27.5546875" style="1"/>
    <col min="7169" max="7169" width="19.44140625" style="1" customWidth="1"/>
    <col min="7170" max="7171" width="12.77734375" style="1" customWidth="1"/>
    <col min="7172" max="7172" width="13" style="1" customWidth="1"/>
    <col min="7173" max="7174" width="12.77734375" style="1" customWidth="1"/>
    <col min="7175" max="7177" width="0" style="1" hidden="1" customWidth="1"/>
    <col min="7178" max="7186" width="12.77734375" style="1" customWidth="1"/>
    <col min="7187" max="7187" width="0" style="1" hidden="1" customWidth="1"/>
    <col min="7188" max="7191" width="12.77734375" style="1" customWidth="1"/>
    <col min="7192" max="7192" width="1.77734375" style="1" customWidth="1"/>
    <col min="7193" max="7193" width="12.77734375" style="1" customWidth="1"/>
    <col min="7194" max="7194" width="1.77734375" style="1" customWidth="1"/>
    <col min="7195" max="7196" width="0" style="1" hidden="1" customWidth="1"/>
    <col min="7197" max="7197" width="12.77734375" style="1" customWidth="1"/>
    <col min="7198" max="7198" width="17.88671875" style="1" customWidth="1"/>
    <col min="7199" max="7199" width="11.77734375" style="1" customWidth="1"/>
    <col min="7200" max="7200" width="12" style="1" customWidth="1"/>
    <col min="7201" max="7424" width="27.5546875" style="1"/>
    <col min="7425" max="7425" width="19.44140625" style="1" customWidth="1"/>
    <col min="7426" max="7427" width="12.77734375" style="1" customWidth="1"/>
    <col min="7428" max="7428" width="13" style="1" customWidth="1"/>
    <col min="7429" max="7430" width="12.77734375" style="1" customWidth="1"/>
    <col min="7431" max="7433" width="0" style="1" hidden="1" customWidth="1"/>
    <col min="7434" max="7442" width="12.77734375" style="1" customWidth="1"/>
    <col min="7443" max="7443" width="0" style="1" hidden="1" customWidth="1"/>
    <col min="7444" max="7447" width="12.77734375" style="1" customWidth="1"/>
    <col min="7448" max="7448" width="1.77734375" style="1" customWidth="1"/>
    <col min="7449" max="7449" width="12.77734375" style="1" customWidth="1"/>
    <col min="7450" max="7450" width="1.77734375" style="1" customWidth="1"/>
    <col min="7451" max="7452" width="0" style="1" hidden="1" customWidth="1"/>
    <col min="7453" max="7453" width="12.77734375" style="1" customWidth="1"/>
    <col min="7454" max="7454" width="17.88671875" style="1" customWidth="1"/>
    <col min="7455" max="7455" width="11.77734375" style="1" customWidth="1"/>
    <col min="7456" max="7456" width="12" style="1" customWidth="1"/>
    <col min="7457" max="7680" width="27.5546875" style="1"/>
    <col min="7681" max="7681" width="19.44140625" style="1" customWidth="1"/>
    <col min="7682" max="7683" width="12.77734375" style="1" customWidth="1"/>
    <col min="7684" max="7684" width="13" style="1" customWidth="1"/>
    <col min="7685" max="7686" width="12.77734375" style="1" customWidth="1"/>
    <col min="7687" max="7689" width="0" style="1" hidden="1" customWidth="1"/>
    <col min="7690" max="7698" width="12.77734375" style="1" customWidth="1"/>
    <col min="7699" max="7699" width="0" style="1" hidden="1" customWidth="1"/>
    <col min="7700" max="7703" width="12.77734375" style="1" customWidth="1"/>
    <col min="7704" max="7704" width="1.77734375" style="1" customWidth="1"/>
    <col min="7705" max="7705" width="12.77734375" style="1" customWidth="1"/>
    <col min="7706" max="7706" width="1.77734375" style="1" customWidth="1"/>
    <col min="7707" max="7708" width="0" style="1" hidden="1" customWidth="1"/>
    <col min="7709" max="7709" width="12.77734375" style="1" customWidth="1"/>
    <col min="7710" max="7710" width="17.88671875" style="1" customWidth="1"/>
    <col min="7711" max="7711" width="11.77734375" style="1" customWidth="1"/>
    <col min="7712" max="7712" width="12" style="1" customWidth="1"/>
    <col min="7713" max="7936" width="27.5546875" style="1"/>
    <col min="7937" max="7937" width="19.44140625" style="1" customWidth="1"/>
    <col min="7938" max="7939" width="12.77734375" style="1" customWidth="1"/>
    <col min="7940" max="7940" width="13" style="1" customWidth="1"/>
    <col min="7941" max="7942" width="12.77734375" style="1" customWidth="1"/>
    <col min="7943" max="7945" width="0" style="1" hidden="1" customWidth="1"/>
    <col min="7946" max="7954" width="12.77734375" style="1" customWidth="1"/>
    <col min="7955" max="7955" width="0" style="1" hidden="1" customWidth="1"/>
    <col min="7956" max="7959" width="12.77734375" style="1" customWidth="1"/>
    <col min="7960" max="7960" width="1.77734375" style="1" customWidth="1"/>
    <col min="7961" max="7961" width="12.77734375" style="1" customWidth="1"/>
    <col min="7962" max="7962" width="1.77734375" style="1" customWidth="1"/>
    <col min="7963" max="7964" width="0" style="1" hidden="1" customWidth="1"/>
    <col min="7965" max="7965" width="12.77734375" style="1" customWidth="1"/>
    <col min="7966" max="7966" width="17.88671875" style="1" customWidth="1"/>
    <col min="7967" max="7967" width="11.77734375" style="1" customWidth="1"/>
    <col min="7968" max="7968" width="12" style="1" customWidth="1"/>
    <col min="7969" max="8192" width="27.5546875" style="1"/>
    <col min="8193" max="8193" width="19.44140625" style="1" customWidth="1"/>
    <col min="8194" max="8195" width="12.77734375" style="1" customWidth="1"/>
    <col min="8196" max="8196" width="13" style="1" customWidth="1"/>
    <col min="8197" max="8198" width="12.77734375" style="1" customWidth="1"/>
    <col min="8199" max="8201" width="0" style="1" hidden="1" customWidth="1"/>
    <col min="8202" max="8210" width="12.77734375" style="1" customWidth="1"/>
    <col min="8211" max="8211" width="0" style="1" hidden="1" customWidth="1"/>
    <col min="8212" max="8215" width="12.77734375" style="1" customWidth="1"/>
    <col min="8216" max="8216" width="1.77734375" style="1" customWidth="1"/>
    <col min="8217" max="8217" width="12.77734375" style="1" customWidth="1"/>
    <col min="8218" max="8218" width="1.77734375" style="1" customWidth="1"/>
    <col min="8219" max="8220" width="0" style="1" hidden="1" customWidth="1"/>
    <col min="8221" max="8221" width="12.77734375" style="1" customWidth="1"/>
    <col min="8222" max="8222" width="17.88671875" style="1" customWidth="1"/>
    <col min="8223" max="8223" width="11.77734375" style="1" customWidth="1"/>
    <col min="8224" max="8224" width="12" style="1" customWidth="1"/>
    <col min="8225" max="8448" width="27.5546875" style="1"/>
    <col min="8449" max="8449" width="19.44140625" style="1" customWidth="1"/>
    <col min="8450" max="8451" width="12.77734375" style="1" customWidth="1"/>
    <col min="8452" max="8452" width="13" style="1" customWidth="1"/>
    <col min="8453" max="8454" width="12.77734375" style="1" customWidth="1"/>
    <col min="8455" max="8457" width="0" style="1" hidden="1" customWidth="1"/>
    <col min="8458" max="8466" width="12.77734375" style="1" customWidth="1"/>
    <col min="8467" max="8467" width="0" style="1" hidden="1" customWidth="1"/>
    <col min="8468" max="8471" width="12.77734375" style="1" customWidth="1"/>
    <col min="8472" max="8472" width="1.77734375" style="1" customWidth="1"/>
    <col min="8473" max="8473" width="12.77734375" style="1" customWidth="1"/>
    <col min="8474" max="8474" width="1.77734375" style="1" customWidth="1"/>
    <col min="8475" max="8476" width="0" style="1" hidden="1" customWidth="1"/>
    <col min="8477" max="8477" width="12.77734375" style="1" customWidth="1"/>
    <col min="8478" max="8478" width="17.88671875" style="1" customWidth="1"/>
    <col min="8479" max="8479" width="11.77734375" style="1" customWidth="1"/>
    <col min="8480" max="8480" width="12" style="1" customWidth="1"/>
    <col min="8481" max="8704" width="27.5546875" style="1"/>
    <col min="8705" max="8705" width="19.44140625" style="1" customWidth="1"/>
    <col min="8706" max="8707" width="12.77734375" style="1" customWidth="1"/>
    <col min="8708" max="8708" width="13" style="1" customWidth="1"/>
    <col min="8709" max="8710" width="12.77734375" style="1" customWidth="1"/>
    <col min="8711" max="8713" width="0" style="1" hidden="1" customWidth="1"/>
    <col min="8714" max="8722" width="12.77734375" style="1" customWidth="1"/>
    <col min="8723" max="8723" width="0" style="1" hidden="1" customWidth="1"/>
    <col min="8724" max="8727" width="12.77734375" style="1" customWidth="1"/>
    <col min="8728" max="8728" width="1.77734375" style="1" customWidth="1"/>
    <col min="8729" max="8729" width="12.77734375" style="1" customWidth="1"/>
    <col min="8730" max="8730" width="1.77734375" style="1" customWidth="1"/>
    <col min="8731" max="8732" width="0" style="1" hidden="1" customWidth="1"/>
    <col min="8733" max="8733" width="12.77734375" style="1" customWidth="1"/>
    <col min="8734" max="8734" width="17.88671875" style="1" customWidth="1"/>
    <col min="8735" max="8735" width="11.77734375" style="1" customWidth="1"/>
    <col min="8736" max="8736" width="12" style="1" customWidth="1"/>
    <col min="8737" max="8960" width="27.5546875" style="1"/>
    <col min="8961" max="8961" width="19.44140625" style="1" customWidth="1"/>
    <col min="8962" max="8963" width="12.77734375" style="1" customWidth="1"/>
    <col min="8964" max="8964" width="13" style="1" customWidth="1"/>
    <col min="8965" max="8966" width="12.77734375" style="1" customWidth="1"/>
    <col min="8967" max="8969" width="0" style="1" hidden="1" customWidth="1"/>
    <col min="8970" max="8978" width="12.77734375" style="1" customWidth="1"/>
    <col min="8979" max="8979" width="0" style="1" hidden="1" customWidth="1"/>
    <col min="8980" max="8983" width="12.77734375" style="1" customWidth="1"/>
    <col min="8984" max="8984" width="1.77734375" style="1" customWidth="1"/>
    <col min="8985" max="8985" width="12.77734375" style="1" customWidth="1"/>
    <col min="8986" max="8986" width="1.77734375" style="1" customWidth="1"/>
    <col min="8987" max="8988" width="0" style="1" hidden="1" customWidth="1"/>
    <col min="8989" max="8989" width="12.77734375" style="1" customWidth="1"/>
    <col min="8990" max="8990" width="17.88671875" style="1" customWidth="1"/>
    <col min="8991" max="8991" width="11.77734375" style="1" customWidth="1"/>
    <col min="8992" max="8992" width="12" style="1" customWidth="1"/>
    <col min="8993" max="9216" width="27.5546875" style="1"/>
    <col min="9217" max="9217" width="19.44140625" style="1" customWidth="1"/>
    <col min="9218" max="9219" width="12.77734375" style="1" customWidth="1"/>
    <col min="9220" max="9220" width="13" style="1" customWidth="1"/>
    <col min="9221" max="9222" width="12.77734375" style="1" customWidth="1"/>
    <col min="9223" max="9225" width="0" style="1" hidden="1" customWidth="1"/>
    <col min="9226" max="9234" width="12.77734375" style="1" customWidth="1"/>
    <col min="9235" max="9235" width="0" style="1" hidden="1" customWidth="1"/>
    <col min="9236" max="9239" width="12.77734375" style="1" customWidth="1"/>
    <col min="9240" max="9240" width="1.77734375" style="1" customWidth="1"/>
    <col min="9241" max="9241" width="12.77734375" style="1" customWidth="1"/>
    <col min="9242" max="9242" width="1.77734375" style="1" customWidth="1"/>
    <col min="9243" max="9244" width="0" style="1" hidden="1" customWidth="1"/>
    <col min="9245" max="9245" width="12.77734375" style="1" customWidth="1"/>
    <col min="9246" max="9246" width="17.88671875" style="1" customWidth="1"/>
    <col min="9247" max="9247" width="11.77734375" style="1" customWidth="1"/>
    <col min="9248" max="9248" width="12" style="1" customWidth="1"/>
    <col min="9249" max="9472" width="27.5546875" style="1"/>
    <col min="9473" max="9473" width="19.44140625" style="1" customWidth="1"/>
    <col min="9474" max="9475" width="12.77734375" style="1" customWidth="1"/>
    <col min="9476" max="9476" width="13" style="1" customWidth="1"/>
    <col min="9477" max="9478" width="12.77734375" style="1" customWidth="1"/>
    <col min="9479" max="9481" width="0" style="1" hidden="1" customWidth="1"/>
    <col min="9482" max="9490" width="12.77734375" style="1" customWidth="1"/>
    <col min="9491" max="9491" width="0" style="1" hidden="1" customWidth="1"/>
    <col min="9492" max="9495" width="12.77734375" style="1" customWidth="1"/>
    <col min="9496" max="9496" width="1.77734375" style="1" customWidth="1"/>
    <col min="9497" max="9497" width="12.77734375" style="1" customWidth="1"/>
    <col min="9498" max="9498" width="1.77734375" style="1" customWidth="1"/>
    <col min="9499" max="9500" width="0" style="1" hidden="1" customWidth="1"/>
    <col min="9501" max="9501" width="12.77734375" style="1" customWidth="1"/>
    <col min="9502" max="9502" width="17.88671875" style="1" customWidth="1"/>
    <col min="9503" max="9503" width="11.77734375" style="1" customWidth="1"/>
    <col min="9504" max="9504" width="12" style="1" customWidth="1"/>
    <col min="9505" max="9728" width="27.5546875" style="1"/>
    <col min="9729" max="9729" width="19.44140625" style="1" customWidth="1"/>
    <col min="9730" max="9731" width="12.77734375" style="1" customWidth="1"/>
    <col min="9732" max="9732" width="13" style="1" customWidth="1"/>
    <col min="9733" max="9734" width="12.77734375" style="1" customWidth="1"/>
    <col min="9735" max="9737" width="0" style="1" hidden="1" customWidth="1"/>
    <col min="9738" max="9746" width="12.77734375" style="1" customWidth="1"/>
    <col min="9747" max="9747" width="0" style="1" hidden="1" customWidth="1"/>
    <col min="9748" max="9751" width="12.77734375" style="1" customWidth="1"/>
    <col min="9752" max="9752" width="1.77734375" style="1" customWidth="1"/>
    <col min="9753" max="9753" width="12.77734375" style="1" customWidth="1"/>
    <col min="9754" max="9754" width="1.77734375" style="1" customWidth="1"/>
    <col min="9755" max="9756" width="0" style="1" hidden="1" customWidth="1"/>
    <col min="9757" max="9757" width="12.77734375" style="1" customWidth="1"/>
    <col min="9758" max="9758" width="17.88671875" style="1" customWidth="1"/>
    <col min="9759" max="9759" width="11.77734375" style="1" customWidth="1"/>
    <col min="9760" max="9760" width="12" style="1" customWidth="1"/>
    <col min="9761" max="9984" width="27.5546875" style="1"/>
    <col min="9985" max="9985" width="19.44140625" style="1" customWidth="1"/>
    <col min="9986" max="9987" width="12.77734375" style="1" customWidth="1"/>
    <col min="9988" max="9988" width="13" style="1" customWidth="1"/>
    <col min="9989" max="9990" width="12.77734375" style="1" customWidth="1"/>
    <col min="9991" max="9993" width="0" style="1" hidden="1" customWidth="1"/>
    <col min="9994" max="10002" width="12.77734375" style="1" customWidth="1"/>
    <col min="10003" max="10003" width="0" style="1" hidden="1" customWidth="1"/>
    <col min="10004" max="10007" width="12.77734375" style="1" customWidth="1"/>
    <col min="10008" max="10008" width="1.77734375" style="1" customWidth="1"/>
    <col min="10009" max="10009" width="12.77734375" style="1" customWidth="1"/>
    <col min="10010" max="10010" width="1.77734375" style="1" customWidth="1"/>
    <col min="10011" max="10012" width="0" style="1" hidden="1" customWidth="1"/>
    <col min="10013" max="10013" width="12.77734375" style="1" customWidth="1"/>
    <col min="10014" max="10014" width="17.88671875" style="1" customWidth="1"/>
    <col min="10015" max="10015" width="11.77734375" style="1" customWidth="1"/>
    <col min="10016" max="10016" width="12" style="1" customWidth="1"/>
    <col min="10017" max="10240" width="27.5546875" style="1"/>
    <col min="10241" max="10241" width="19.44140625" style="1" customWidth="1"/>
    <col min="10242" max="10243" width="12.77734375" style="1" customWidth="1"/>
    <col min="10244" max="10244" width="13" style="1" customWidth="1"/>
    <col min="10245" max="10246" width="12.77734375" style="1" customWidth="1"/>
    <col min="10247" max="10249" width="0" style="1" hidden="1" customWidth="1"/>
    <col min="10250" max="10258" width="12.77734375" style="1" customWidth="1"/>
    <col min="10259" max="10259" width="0" style="1" hidden="1" customWidth="1"/>
    <col min="10260" max="10263" width="12.77734375" style="1" customWidth="1"/>
    <col min="10264" max="10264" width="1.77734375" style="1" customWidth="1"/>
    <col min="10265" max="10265" width="12.77734375" style="1" customWidth="1"/>
    <col min="10266" max="10266" width="1.77734375" style="1" customWidth="1"/>
    <col min="10267" max="10268" width="0" style="1" hidden="1" customWidth="1"/>
    <col min="10269" max="10269" width="12.77734375" style="1" customWidth="1"/>
    <col min="10270" max="10270" width="17.88671875" style="1" customWidth="1"/>
    <col min="10271" max="10271" width="11.77734375" style="1" customWidth="1"/>
    <col min="10272" max="10272" width="12" style="1" customWidth="1"/>
    <col min="10273" max="10496" width="27.5546875" style="1"/>
    <col min="10497" max="10497" width="19.44140625" style="1" customWidth="1"/>
    <col min="10498" max="10499" width="12.77734375" style="1" customWidth="1"/>
    <col min="10500" max="10500" width="13" style="1" customWidth="1"/>
    <col min="10501" max="10502" width="12.77734375" style="1" customWidth="1"/>
    <col min="10503" max="10505" width="0" style="1" hidden="1" customWidth="1"/>
    <col min="10506" max="10514" width="12.77734375" style="1" customWidth="1"/>
    <col min="10515" max="10515" width="0" style="1" hidden="1" customWidth="1"/>
    <col min="10516" max="10519" width="12.77734375" style="1" customWidth="1"/>
    <col min="10520" max="10520" width="1.77734375" style="1" customWidth="1"/>
    <col min="10521" max="10521" width="12.77734375" style="1" customWidth="1"/>
    <col min="10522" max="10522" width="1.77734375" style="1" customWidth="1"/>
    <col min="10523" max="10524" width="0" style="1" hidden="1" customWidth="1"/>
    <col min="10525" max="10525" width="12.77734375" style="1" customWidth="1"/>
    <col min="10526" max="10526" width="17.88671875" style="1" customWidth="1"/>
    <col min="10527" max="10527" width="11.77734375" style="1" customWidth="1"/>
    <col min="10528" max="10528" width="12" style="1" customWidth="1"/>
    <col min="10529" max="10752" width="27.5546875" style="1"/>
    <col min="10753" max="10753" width="19.44140625" style="1" customWidth="1"/>
    <col min="10754" max="10755" width="12.77734375" style="1" customWidth="1"/>
    <col min="10756" max="10756" width="13" style="1" customWidth="1"/>
    <col min="10757" max="10758" width="12.77734375" style="1" customWidth="1"/>
    <col min="10759" max="10761" width="0" style="1" hidden="1" customWidth="1"/>
    <col min="10762" max="10770" width="12.77734375" style="1" customWidth="1"/>
    <col min="10771" max="10771" width="0" style="1" hidden="1" customWidth="1"/>
    <col min="10772" max="10775" width="12.77734375" style="1" customWidth="1"/>
    <col min="10776" max="10776" width="1.77734375" style="1" customWidth="1"/>
    <col min="10777" max="10777" width="12.77734375" style="1" customWidth="1"/>
    <col min="10778" max="10778" width="1.77734375" style="1" customWidth="1"/>
    <col min="10779" max="10780" width="0" style="1" hidden="1" customWidth="1"/>
    <col min="10781" max="10781" width="12.77734375" style="1" customWidth="1"/>
    <col min="10782" max="10782" width="17.88671875" style="1" customWidth="1"/>
    <col min="10783" max="10783" width="11.77734375" style="1" customWidth="1"/>
    <col min="10784" max="10784" width="12" style="1" customWidth="1"/>
    <col min="10785" max="11008" width="27.5546875" style="1"/>
    <col min="11009" max="11009" width="19.44140625" style="1" customWidth="1"/>
    <col min="11010" max="11011" width="12.77734375" style="1" customWidth="1"/>
    <col min="11012" max="11012" width="13" style="1" customWidth="1"/>
    <col min="11013" max="11014" width="12.77734375" style="1" customWidth="1"/>
    <col min="11015" max="11017" width="0" style="1" hidden="1" customWidth="1"/>
    <col min="11018" max="11026" width="12.77734375" style="1" customWidth="1"/>
    <col min="11027" max="11027" width="0" style="1" hidden="1" customWidth="1"/>
    <col min="11028" max="11031" width="12.77734375" style="1" customWidth="1"/>
    <col min="11032" max="11032" width="1.77734375" style="1" customWidth="1"/>
    <col min="11033" max="11033" width="12.77734375" style="1" customWidth="1"/>
    <col min="11034" max="11034" width="1.77734375" style="1" customWidth="1"/>
    <col min="11035" max="11036" width="0" style="1" hidden="1" customWidth="1"/>
    <col min="11037" max="11037" width="12.77734375" style="1" customWidth="1"/>
    <col min="11038" max="11038" width="17.88671875" style="1" customWidth="1"/>
    <col min="11039" max="11039" width="11.77734375" style="1" customWidth="1"/>
    <col min="11040" max="11040" width="12" style="1" customWidth="1"/>
    <col min="11041" max="11264" width="27.5546875" style="1"/>
    <col min="11265" max="11265" width="19.44140625" style="1" customWidth="1"/>
    <col min="11266" max="11267" width="12.77734375" style="1" customWidth="1"/>
    <col min="11268" max="11268" width="13" style="1" customWidth="1"/>
    <col min="11269" max="11270" width="12.77734375" style="1" customWidth="1"/>
    <col min="11271" max="11273" width="0" style="1" hidden="1" customWidth="1"/>
    <col min="11274" max="11282" width="12.77734375" style="1" customWidth="1"/>
    <col min="11283" max="11283" width="0" style="1" hidden="1" customWidth="1"/>
    <col min="11284" max="11287" width="12.77734375" style="1" customWidth="1"/>
    <col min="11288" max="11288" width="1.77734375" style="1" customWidth="1"/>
    <col min="11289" max="11289" width="12.77734375" style="1" customWidth="1"/>
    <col min="11290" max="11290" width="1.77734375" style="1" customWidth="1"/>
    <col min="11291" max="11292" width="0" style="1" hidden="1" customWidth="1"/>
    <col min="11293" max="11293" width="12.77734375" style="1" customWidth="1"/>
    <col min="11294" max="11294" width="17.88671875" style="1" customWidth="1"/>
    <col min="11295" max="11295" width="11.77734375" style="1" customWidth="1"/>
    <col min="11296" max="11296" width="12" style="1" customWidth="1"/>
    <col min="11297" max="11520" width="27.5546875" style="1"/>
    <col min="11521" max="11521" width="19.44140625" style="1" customWidth="1"/>
    <col min="11522" max="11523" width="12.77734375" style="1" customWidth="1"/>
    <col min="11524" max="11524" width="13" style="1" customWidth="1"/>
    <col min="11525" max="11526" width="12.77734375" style="1" customWidth="1"/>
    <col min="11527" max="11529" width="0" style="1" hidden="1" customWidth="1"/>
    <col min="11530" max="11538" width="12.77734375" style="1" customWidth="1"/>
    <col min="11539" max="11539" width="0" style="1" hidden="1" customWidth="1"/>
    <col min="11540" max="11543" width="12.77734375" style="1" customWidth="1"/>
    <col min="11544" max="11544" width="1.77734375" style="1" customWidth="1"/>
    <col min="11545" max="11545" width="12.77734375" style="1" customWidth="1"/>
    <col min="11546" max="11546" width="1.77734375" style="1" customWidth="1"/>
    <col min="11547" max="11548" width="0" style="1" hidden="1" customWidth="1"/>
    <col min="11549" max="11549" width="12.77734375" style="1" customWidth="1"/>
    <col min="11550" max="11550" width="17.88671875" style="1" customWidth="1"/>
    <col min="11551" max="11551" width="11.77734375" style="1" customWidth="1"/>
    <col min="11552" max="11552" width="12" style="1" customWidth="1"/>
    <col min="11553" max="11776" width="27.5546875" style="1"/>
    <col min="11777" max="11777" width="19.44140625" style="1" customWidth="1"/>
    <col min="11778" max="11779" width="12.77734375" style="1" customWidth="1"/>
    <col min="11780" max="11780" width="13" style="1" customWidth="1"/>
    <col min="11781" max="11782" width="12.77734375" style="1" customWidth="1"/>
    <col min="11783" max="11785" width="0" style="1" hidden="1" customWidth="1"/>
    <col min="11786" max="11794" width="12.77734375" style="1" customWidth="1"/>
    <col min="11795" max="11795" width="0" style="1" hidden="1" customWidth="1"/>
    <col min="11796" max="11799" width="12.77734375" style="1" customWidth="1"/>
    <col min="11800" max="11800" width="1.77734375" style="1" customWidth="1"/>
    <col min="11801" max="11801" width="12.77734375" style="1" customWidth="1"/>
    <col min="11802" max="11802" width="1.77734375" style="1" customWidth="1"/>
    <col min="11803" max="11804" width="0" style="1" hidden="1" customWidth="1"/>
    <col min="11805" max="11805" width="12.77734375" style="1" customWidth="1"/>
    <col min="11806" max="11806" width="17.88671875" style="1" customWidth="1"/>
    <col min="11807" max="11807" width="11.77734375" style="1" customWidth="1"/>
    <col min="11808" max="11808" width="12" style="1" customWidth="1"/>
    <col min="11809" max="12032" width="27.5546875" style="1"/>
    <col min="12033" max="12033" width="19.44140625" style="1" customWidth="1"/>
    <col min="12034" max="12035" width="12.77734375" style="1" customWidth="1"/>
    <col min="12036" max="12036" width="13" style="1" customWidth="1"/>
    <col min="12037" max="12038" width="12.77734375" style="1" customWidth="1"/>
    <col min="12039" max="12041" width="0" style="1" hidden="1" customWidth="1"/>
    <col min="12042" max="12050" width="12.77734375" style="1" customWidth="1"/>
    <col min="12051" max="12051" width="0" style="1" hidden="1" customWidth="1"/>
    <col min="12052" max="12055" width="12.77734375" style="1" customWidth="1"/>
    <col min="12056" max="12056" width="1.77734375" style="1" customWidth="1"/>
    <col min="12057" max="12057" width="12.77734375" style="1" customWidth="1"/>
    <col min="12058" max="12058" width="1.77734375" style="1" customWidth="1"/>
    <col min="12059" max="12060" width="0" style="1" hidden="1" customWidth="1"/>
    <col min="12061" max="12061" width="12.77734375" style="1" customWidth="1"/>
    <col min="12062" max="12062" width="17.88671875" style="1" customWidth="1"/>
    <col min="12063" max="12063" width="11.77734375" style="1" customWidth="1"/>
    <col min="12064" max="12064" width="12" style="1" customWidth="1"/>
    <col min="12065" max="12288" width="27.5546875" style="1"/>
    <col min="12289" max="12289" width="19.44140625" style="1" customWidth="1"/>
    <col min="12290" max="12291" width="12.77734375" style="1" customWidth="1"/>
    <col min="12292" max="12292" width="13" style="1" customWidth="1"/>
    <col min="12293" max="12294" width="12.77734375" style="1" customWidth="1"/>
    <col min="12295" max="12297" width="0" style="1" hidden="1" customWidth="1"/>
    <col min="12298" max="12306" width="12.77734375" style="1" customWidth="1"/>
    <col min="12307" max="12307" width="0" style="1" hidden="1" customWidth="1"/>
    <col min="12308" max="12311" width="12.77734375" style="1" customWidth="1"/>
    <col min="12312" max="12312" width="1.77734375" style="1" customWidth="1"/>
    <col min="12313" max="12313" width="12.77734375" style="1" customWidth="1"/>
    <col min="12314" max="12314" width="1.77734375" style="1" customWidth="1"/>
    <col min="12315" max="12316" width="0" style="1" hidden="1" customWidth="1"/>
    <col min="12317" max="12317" width="12.77734375" style="1" customWidth="1"/>
    <col min="12318" max="12318" width="17.88671875" style="1" customWidth="1"/>
    <col min="12319" max="12319" width="11.77734375" style="1" customWidth="1"/>
    <col min="12320" max="12320" width="12" style="1" customWidth="1"/>
    <col min="12321" max="12544" width="27.5546875" style="1"/>
    <col min="12545" max="12545" width="19.44140625" style="1" customWidth="1"/>
    <col min="12546" max="12547" width="12.77734375" style="1" customWidth="1"/>
    <col min="12548" max="12548" width="13" style="1" customWidth="1"/>
    <col min="12549" max="12550" width="12.77734375" style="1" customWidth="1"/>
    <col min="12551" max="12553" width="0" style="1" hidden="1" customWidth="1"/>
    <col min="12554" max="12562" width="12.77734375" style="1" customWidth="1"/>
    <col min="12563" max="12563" width="0" style="1" hidden="1" customWidth="1"/>
    <col min="12564" max="12567" width="12.77734375" style="1" customWidth="1"/>
    <col min="12568" max="12568" width="1.77734375" style="1" customWidth="1"/>
    <col min="12569" max="12569" width="12.77734375" style="1" customWidth="1"/>
    <col min="12570" max="12570" width="1.77734375" style="1" customWidth="1"/>
    <col min="12571" max="12572" width="0" style="1" hidden="1" customWidth="1"/>
    <col min="12573" max="12573" width="12.77734375" style="1" customWidth="1"/>
    <col min="12574" max="12574" width="17.88671875" style="1" customWidth="1"/>
    <col min="12575" max="12575" width="11.77734375" style="1" customWidth="1"/>
    <col min="12576" max="12576" width="12" style="1" customWidth="1"/>
    <col min="12577" max="12800" width="27.5546875" style="1"/>
    <col min="12801" max="12801" width="19.44140625" style="1" customWidth="1"/>
    <col min="12802" max="12803" width="12.77734375" style="1" customWidth="1"/>
    <col min="12804" max="12804" width="13" style="1" customWidth="1"/>
    <col min="12805" max="12806" width="12.77734375" style="1" customWidth="1"/>
    <col min="12807" max="12809" width="0" style="1" hidden="1" customWidth="1"/>
    <col min="12810" max="12818" width="12.77734375" style="1" customWidth="1"/>
    <col min="12819" max="12819" width="0" style="1" hidden="1" customWidth="1"/>
    <col min="12820" max="12823" width="12.77734375" style="1" customWidth="1"/>
    <col min="12824" max="12824" width="1.77734375" style="1" customWidth="1"/>
    <col min="12825" max="12825" width="12.77734375" style="1" customWidth="1"/>
    <col min="12826" max="12826" width="1.77734375" style="1" customWidth="1"/>
    <col min="12827" max="12828" width="0" style="1" hidden="1" customWidth="1"/>
    <col min="12829" max="12829" width="12.77734375" style="1" customWidth="1"/>
    <col min="12830" max="12830" width="17.88671875" style="1" customWidth="1"/>
    <col min="12831" max="12831" width="11.77734375" style="1" customWidth="1"/>
    <col min="12832" max="12832" width="12" style="1" customWidth="1"/>
    <col min="12833" max="13056" width="27.5546875" style="1"/>
    <col min="13057" max="13057" width="19.44140625" style="1" customWidth="1"/>
    <col min="13058" max="13059" width="12.77734375" style="1" customWidth="1"/>
    <col min="13060" max="13060" width="13" style="1" customWidth="1"/>
    <col min="13061" max="13062" width="12.77734375" style="1" customWidth="1"/>
    <col min="13063" max="13065" width="0" style="1" hidden="1" customWidth="1"/>
    <col min="13066" max="13074" width="12.77734375" style="1" customWidth="1"/>
    <col min="13075" max="13075" width="0" style="1" hidden="1" customWidth="1"/>
    <col min="13076" max="13079" width="12.77734375" style="1" customWidth="1"/>
    <col min="13080" max="13080" width="1.77734375" style="1" customWidth="1"/>
    <col min="13081" max="13081" width="12.77734375" style="1" customWidth="1"/>
    <col min="13082" max="13082" width="1.77734375" style="1" customWidth="1"/>
    <col min="13083" max="13084" width="0" style="1" hidden="1" customWidth="1"/>
    <col min="13085" max="13085" width="12.77734375" style="1" customWidth="1"/>
    <col min="13086" max="13086" width="17.88671875" style="1" customWidth="1"/>
    <col min="13087" max="13087" width="11.77734375" style="1" customWidth="1"/>
    <col min="13088" max="13088" width="12" style="1" customWidth="1"/>
    <col min="13089" max="13312" width="27.5546875" style="1"/>
    <col min="13313" max="13313" width="19.44140625" style="1" customWidth="1"/>
    <col min="13314" max="13315" width="12.77734375" style="1" customWidth="1"/>
    <col min="13316" max="13316" width="13" style="1" customWidth="1"/>
    <col min="13317" max="13318" width="12.77734375" style="1" customWidth="1"/>
    <col min="13319" max="13321" width="0" style="1" hidden="1" customWidth="1"/>
    <col min="13322" max="13330" width="12.77734375" style="1" customWidth="1"/>
    <col min="13331" max="13331" width="0" style="1" hidden="1" customWidth="1"/>
    <col min="13332" max="13335" width="12.77734375" style="1" customWidth="1"/>
    <col min="13336" max="13336" width="1.77734375" style="1" customWidth="1"/>
    <col min="13337" max="13337" width="12.77734375" style="1" customWidth="1"/>
    <col min="13338" max="13338" width="1.77734375" style="1" customWidth="1"/>
    <col min="13339" max="13340" width="0" style="1" hidden="1" customWidth="1"/>
    <col min="13341" max="13341" width="12.77734375" style="1" customWidth="1"/>
    <col min="13342" max="13342" width="17.88671875" style="1" customWidth="1"/>
    <col min="13343" max="13343" width="11.77734375" style="1" customWidth="1"/>
    <col min="13344" max="13344" width="12" style="1" customWidth="1"/>
    <col min="13345" max="13568" width="27.5546875" style="1"/>
    <col min="13569" max="13569" width="19.44140625" style="1" customWidth="1"/>
    <col min="13570" max="13571" width="12.77734375" style="1" customWidth="1"/>
    <col min="13572" max="13572" width="13" style="1" customWidth="1"/>
    <col min="13573" max="13574" width="12.77734375" style="1" customWidth="1"/>
    <col min="13575" max="13577" width="0" style="1" hidden="1" customWidth="1"/>
    <col min="13578" max="13586" width="12.77734375" style="1" customWidth="1"/>
    <col min="13587" max="13587" width="0" style="1" hidden="1" customWidth="1"/>
    <col min="13588" max="13591" width="12.77734375" style="1" customWidth="1"/>
    <col min="13592" max="13592" width="1.77734375" style="1" customWidth="1"/>
    <col min="13593" max="13593" width="12.77734375" style="1" customWidth="1"/>
    <col min="13594" max="13594" width="1.77734375" style="1" customWidth="1"/>
    <col min="13595" max="13596" width="0" style="1" hidden="1" customWidth="1"/>
    <col min="13597" max="13597" width="12.77734375" style="1" customWidth="1"/>
    <col min="13598" max="13598" width="17.88671875" style="1" customWidth="1"/>
    <col min="13599" max="13599" width="11.77734375" style="1" customWidth="1"/>
    <col min="13600" max="13600" width="12" style="1" customWidth="1"/>
    <col min="13601" max="13824" width="27.5546875" style="1"/>
    <col min="13825" max="13825" width="19.44140625" style="1" customWidth="1"/>
    <col min="13826" max="13827" width="12.77734375" style="1" customWidth="1"/>
    <col min="13828" max="13828" width="13" style="1" customWidth="1"/>
    <col min="13829" max="13830" width="12.77734375" style="1" customWidth="1"/>
    <col min="13831" max="13833" width="0" style="1" hidden="1" customWidth="1"/>
    <col min="13834" max="13842" width="12.77734375" style="1" customWidth="1"/>
    <col min="13843" max="13843" width="0" style="1" hidden="1" customWidth="1"/>
    <col min="13844" max="13847" width="12.77734375" style="1" customWidth="1"/>
    <col min="13848" max="13848" width="1.77734375" style="1" customWidth="1"/>
    <col min="13849" max="13849" width="12.77734375" style="1" customWidth="1"/>
    <col min="13850" max="13850" width="1.77734375" style="1" customWidth="1"/>
    <col min="13851" max="13852" width="0" style="1" hidden="1" customWidth="1"/>
    <col min="13853" max="13853" width="12.77734375" style="1" customWidth="1"/>
    <col min="13854" max="13854" width="17.88671875" style="1" customWidth="1"/>
    <col min="13855" max="13855" width="11.77734375" style="1" customWidth="1"/>
    <col min="13856" max="13856" width="12" style="1" customWidth="1"/>
    <col min="13857" max="14080" width="27.5546875" style="1"/>
    <col min="14081" max="14081" width="19.44140625" style="1" customWidth="1"/>
    <col min="14082" max="14083" width="12.77734375" style="1" customWidth="1"/>
    <col min="14084" max="14084" width="13" style="1" customWidth="1"/>
    <col min="14085" max="14086" width="12.77734375" style="1" customWidth="1"/>
    <col min="14087" max="14089" width="0" style="1" hidden="1" customWidth="1"/>
    <col min="14090" max="14098" width="12.77734375" style="1" customWidth="1"/>
    <col min="14099" max="14099" width="0" style="1" hidden="1" customWidth="1"/>
    <col min="14100" max="14103" width="12.77734375" style="1" customWidth="1"/>
    <col min="14104" max="14104" width="1.77734375" style="1" customWidth="1"/>
    <col min="14105" max="14105" width="12.77734375" style="1" customWidth="1"/>
    <col min="14106" max="14106" width="1.77734375" style="1" customWidth="1"/>
    <col min="14107" max="14108" width="0" style="1" hidden="1" customWidth="1"/>
    <col min="14109" max="14109" width="12.77734375" style="1" customWidth="1"/>
    <col min="14110" max="14110" width="17.88671875" style="1" customWidth="1"/>
    <col min="14111" max="14111" width="11.77734375" style="1" customWidth="1"/>
    <col min="14112" max="14112" width="12" style="1" customWidth="1"/>
    <col min="14113" max="14336" width="27.5546875" style="1"/>
    <col min="14337" max="14337" width="19.44140625" style="1" customWidth="1"/>
    <col min="14338" max="14339" width="12.77734375" style="1" customWidth="1"/>
    <col min="14340" max="14340" width="13" style="1" customWidth="1"/>
    <col min="14341" max="14342" width="12.77734375" style="1" customWidth="1"/>
    <col min="14343" max="14345" width="0" style="1" hidden="1" customWidth="1"/>
    <col min="14346" max="14354" width="12.77734375" style="1" customWidth="1"/>
    <col min="14355" max="14355" width="0" style="1" hidden="1" customWidth="1"/>
    <col min="14356" max="14359" width="12.77734375" style="1" customWidth="1"/>
    <col min="14360" max="14360" width="1.77734375" style="1" customWidth="1"/>
    <col min="14361" max="14361" width="12.77734375" style="1" customWidth="1"/>
    <col min="14362" max="14362" width="1.77734375" style="1" customWidth="1"/>
    <col min="14363" max="14364" width="0" style="1" hidden="1" customWidth="1"/>
    <col min="14365" max="14365" width="12.77734375" style="1" customWidth="1"/>
    <col min="14366" max="14366" width="17.88671875" style="1" customWidth="1"/>
    <col min="14367" max="14367" width="11.77734375" style="1" customWidth="1"/>
    <col min="14368" max="14368" width="12" style="1" customWidth="1"/>
    <col min="14369" max="14592" width="27.5546875" style="1"/>
    <col min="14593" max="14593" width="19.44140625" style="1" customWidth="1"/>
    <col min="14594" max="14595" width="12.77734375" style="1" customWidth="1"/>
    <col min="14596" max="14596" width="13" style="1" customWidth="1"/>
    <col min="14597" max="14598" width="12.77734375" style="1" customWidth="1"/>
    <col min="14599" max="14601" width="0" style="1" hidden="1" customWidth="1"/>
    <col min="14602" max="14610" width="12.77734375" style="1" customWidth="1"/>
    <col min="14611" max="14611" width="0" style="1" hidden="1" customWidth="1"/>
    <col min="14612" max="14615" width="12.77734375" style="1" customWidth="1"/>
    <col min="14616" max="14616" width="1.77734375" style="1" customWidth="1"/>
    <col min="14617" max="14617" width="12.77734375" style="1" customWidth="1"/>
    <col min="14618" max="14618" width="1.77734375" style="1" customWidth="1"/>
    <col min="14619" max="14620" width="0" style="1" hidden="1" customWidth="1"/>
    <col min="14621" max="14621" width="12.77734375" style="1" customWidth="1"/>
    <col min="14622" max="14622" width="17.88671875" style="1" customWidth="1"/>
    <col min="14623" max="14623" width="11.77734375" style="1" customWidth="1"/>
    <col min="14624" max="14624" width="12" style="1" customWidth="1"/>
    <col min="14625" max="14848" width="27.5546875" style="1"/>
    <col min="14849" max="14849" width="19.44140625" style="1" customWidth="1"/>
    <col min="14850" max="14851" width="12.77734375" style="1" customWidth="1"/>
    <col min="14852" max="14852" width="13" style="1" customWidth="1"/>
    <col min="14853" max="14854" width="12.77734375" style="1" customWidth="1"/>
    <col min="14855" max="14857" width="0" style="1" hidden="1" customWidth="1"/>
    <col min="14858" max="14866" width="12.77734375" style="1" customWidth="1"/>
    <col min="14867" max="14867" width="0" style="1" hidden="1" customWidth="1"/>
    <col min="14868" max="14871" width="12.77734375" style="1" customWidth="1"/>
    <col min="14872" max="14872" width="1.77734375" style="1" customWidth="1"/>
    <col min="14873" max="14873" width="12.77734375" style="1" customWidth="1"/>
    <col min="14874" max="14874" width="1.77734375" style="1" customWidth="1"/>
    <col min="14875" max="14876" width="0" style="1" hidden="1" customWidth="1"/>
    <col min="14877" max="14877" width="12.77734375" style="1" customWidth="1"/>
    <col min="14878" max="14878" width="17.88671875" style="1" customWidth="1"/>
    <col min="14879" max="14879" width="11.77734375" style="1" customWidth="1"/>
    <col min="14880" max="14880" width="12" style="1" customWidth="1"/>
    <col min="14881" max="15104" width="27.5546875" style="1"/>
    <col min="15105" max="15105" width="19.44140625" style="1" customWidth="1"/>
    <col min="15106" max="15107" width="12.77734375" style="1" customWidth="1"/>
    <col min="15108" max="15108" width="13" style="1" customWidth="1"/>
    <col min="15109" max="15110" width="12.77734375" style="1" customWidth="1"/>
    <col min="15111" max="15113" width="0" style="1" hidden="1" customWidth="1"/>
    <col min="15114" max="15122" width="12.77734375" style="1" customWidth="1"/>
    <col min="15123" max="15123" width="0" style="1" hidden="1" customWidth="1"/>
    <col min="15124" max="15127" width="12.77734375" style="1" customWidth="1"/>
    <col min="15128" max="15128" width="1.77734375" style="1" customWidth="1"/>
    <col min="15129" max="15129" width="12.77734375" style="1" customWidth="1"/>
    <col min="15130" max="15130" width="1.77734375" style="1" customWidth="1"/>
    <col min="15131" max="15132" width="0" style="1" hidden="1" customWidth="1"/>
    <col min="15133" max="15133" width="12.77734375" style="1" customWidth="1"/>
    <col min="15134" max="15134" width="17.88671875" style="1" customWidth="1"/>
    <col min="15135" max="15135" width="11.77734375" style="1" customWidth="1"/>
    <col min="15136" max="15136" width="12" style="1" customWidth="1"/>
    <col min="15137" max="15360" width="27.5546875" style="1"/>
    <col min="15361" max="15361" width="19.44140625" style="1" customWidth="1"/>
    <col min="15362" max="15363" width="12.77734375" style="1" customWidth="1"/>
    <col min="15364" max="15364" width="13" style="1" customWidth="1"/>
    <col min="15365" max="15366" width="12.77734375" style="1" customWidth="1"/>
    <col min="15367" max="15369" width="0" style="1" hidden="1" customWidth="1"/>
    <col min="15370" max="15378" width="12.77734375" style="1" customWidth="1"/>
    <col min="15379" max="15379" width="0" style="1" hidden="1" customWidth="1"/>
    <col min="15380" max="15383" width="12.77734375" style="1" customWidth="1"/>
    <col min="15384" max="15384" width="1.77734375" style="1" customWidth="1"/>
    <col min="15385" max="15385" width="12.77734375" style="1" customWidth="1"/>
    <col min="15386" max="15386" width="1.77734375" style="1" customWidth="1"/>
    <col min="15387" max="15388" width="0" style="1" hidden="1" customWidth="1"/>
    <col min="15389" max="15389" width="12.77734375" style="1" customWidth="1"/>
    <col min="15390" max="15390" width="17.88671875" style="1" customWidth="1"/>
    <col min="15391" max="15391" width="11.77734375" style="1" customWidth="1"/>
    <col min="15392" max="15392" width="12" style="1" customWidth="1"/>
    <col min="15393" max="15616" width="27.5546875" style="1"/>
    <col min="15617" max="15617" width="19.44140625" style="1" customWidth="1"/>
    <col min="15618" max="15619" width="12.77734375" style="1" customWidth="1"/>
    <col min="15620" max="15620" width="13" style="1" customWidth="1"/>
    <col min="15621" max="15622" width="12.77734375" style="1" customWidth="1"/>
    <col min="15623" max="15625" width="0" style="1" hidden="1" customWidth="1"/>
    <col min="15626" max="15634" width="12.77734375" style="1" customWidth="1"/>
    <col min="15635" max="15635" width="0" style="1" hidden="1" customWidth="1"/>
    <col min="15636" max="15639" width="12.77734375" style="1" customWidth="1"/>
    <col min="15640" max="15640" width="1.77734375" style="1" customWidth="1"/>
    <col min="15641" max="15641" width="12.77734375" style="1" customWidth="1"/>
    <col min="15642" max="15642" width="1.77734375" style="1" customWidth="1"/>
    <col min="15643" max="15644" width="0" style="1" hidden="1" customWidth="1"/>
    <col min="15645" max="15645" width="12.77734375" style="1" customWidth="1"/>
    <col min="15646" max="15646" width="17.88671875" style="1" customWidth="1"/>
    <col min="15647" max="15647" width="11.77734375" style="1" customWidth="1"/>
    <col min="15648" max="15648" width="12" style="1" customWidth="1"/>
    <col min="15649" max="15872" width="27.5546875" style="1"/>
    <col min="15873" max="15873" width="19.44140625" style="1" customWidth="1"/>
    <col min="15874" max="15875" width="12.77734375" style="1" customWidth="1"/>
    <col min="15876" max="15876" width="13" style="1" customWidth="1"/>
    <col min="15877" max="15878" width="12.77734375" style="1" customWidth="1"/>
    <col min="15879" max="15881" width="0" style="1" hidden="1" customWidth="1"/>
    <col min="15882" max="15890" width="12.77734375" style="1" customWidth="1"/>
    <col min="15891" max="15891" width="0" style="1" hidden="1" customWidth="1"/>
    <col min="15892" max="15895" width="12.77734375" style="1" customWidth="1"/>
    <col min="15896" max="15896" width="1.77734375" style="1" customWidth="1"/>
    <col min="15897" max="15897" width="12.77734375" style="1" customWidth="1"/>
    <col min="15898" max="15898" width="1.77734375" style="1" customWidth="1"/>
    <col min="15899" max="15900" width="0" style="1" hidden="1" customWidth="1"/>
    <col min="15901" max="15901" width="12.77734375" style="1" customWidth="1"/>
    <col min="15902" max="15902" width="17.88671875" style="1" customWidth="1"/>
    <col min="15903" max="15903" width="11.77734375" style="1" customWidth="1"/>
    <col min="15904" max="15904" width="12" style="1" customWidth="1"/>
    <col min="15905" max="16128" width="27.5546875" style="1"/>
    <col min="16129" max="16129" width="19.44140625" style="1" customWidth="1"/>
    <col min="16130" max="16131" width="12.77734375" style="1" customWidth="1"/>
    <col min="16132" max="16132" width="13" style="1" customWidth="1"/>
    <col min="16133" max="16134" width="12.77734375" style="1" customWidth="1"/>
    <col min="16135" max="16137" width="0" style="1" hidden="1" customWidth="1"/>
    <col min="16138" max="16146" width="12.77734375" style="1" customWidth="1"/>
    <col min="16147" max="16147" width="0" style="1" hidden="1" customWidth="1"/>
    <col min="16148" max="16151" width="12.77734375" style="1" customWidth="1"/>
    <col min="16152" max="16152" width="1.77734375" style="1" customWidth="1"/>
    <col min="16153" max="16153" width="12.77734375" style="1" customWidth="1"/>
    <col min="16154" max="16154" width="1.77734375" style="1" customWidth="1"/>
    <col min="16155" max="16156" width="0" style="1" hidden="1" customWidth="1"/>
    <col min="16157" max="16157" width="12.77734375" style="1" customWidth="1"/>
    <col min="16158" max="16158" width="17.88671875" style="1" customWidth="1"/>
    <col min="16159" max="16159" width="11.77734375" style="1" customWidth="1"/>
    <col min="16160" max="16160" width="12" style="1" customWidth="1"/>
    <col min="16161" max="16384" width="27.5546875" style="1"/>
  </cols>
  <sheetData>
    <row r="1" spans="1:52" ht="36.75" customHeight="1" x14ac:dyDescent="0.25">
      <c r="A1" s="65"/>
      <c r="B1" s="50"/>
      <c r="C1" s="64"/>
      <c r="D1" s="50"/>
      <c r="E1" s="50"/>
      <c r="F1" s="50"/>
      <c r="G1" s="50"/>
      <c r="H1" s="50"/>
      <c r="I1" s="50"/>
      <c r="J1" s="50"/>
      <c r="K1" s="50"/>
      <c r="M1" s="63"/>
      <c r="O1" s="50"/>
      <c r="P1" s="50"/>
      <c r="Q1" s="50"/>
      <c r="R1" s="50"/>
      <c r="S1" s="50"/>
      <c r="T1" s="50"/>
      <c r="U1" s="50"/>
      <c r="V1" s="50"/>
      <c r="W1" s="62" t="s">
        <v>94</v>
      </c>
      <c r="Y1" s="61"/>
      <c r="AA1" s="61"/>
      <c r="AC1" s="61"/>
    </row>
    <row r="2" spans="1:52" s="57" customFormat="1" ht="18" customHeight="1" x14ac:dyDescent="0.2">
      <c r="A2" s="60"/>
      <c r="B2" s="27"/>
      <c r="C2" s="27"/>
      <c r="D2" s="28"/>
      <c r="E2" s="27"/>
      <c r="F2" s="27"/>
      <c r="G2" s="27"/>
      <c r="H2" s="27"/>
      <c r="I2" s="27"/>
      <c r="J2" s="27"/>
      <c r="K2" s="27"/>
      <c r="M2" s="59"/>
      <c r="N2" s="58"/>
      <c r="O2" s="27"/>
      <c r="P2" s="27"/>
      <c r="Q2" s="27"/>
      <c r="R2" s="27"/>
      <c r="S2" s="27"/>
      <c r="T2" s="27"/>
      <c r="U2" s="27"/>
      <c r="V2" s="27"/>
      <c r="W2" s="5"/>
      <c r="Y2" s="5"/>
      <c r="AA2" s="5"/>
      <c r="AC2" s="5"/>
    </row>
    <row r="3" spans="1:52" ht="21" customHeight="1" x14ac:dyDescent="0.2">
      <c r="A3" s="56"/>
      <c r="B3" s="50"/>
      <c r="C3" s="50"/>
      <c r="D3" s="56"/>
      <c r="E3" s="50"/>
      <c r="F3" s="51"/>
      <c r="G3" s="50"/>
      <c r="H3" s="50"/>
      <c r="I3" s="51"/>
      <c r="J3" s="50"/>
      <c r="K3" s="50"/>
      <c r="M3" s="55"/>
      <c r="N3" s="54"/>
      <c r="O3" s="50"/>
      <c r="P3" s="50"/>
      <c r="Q3" s="50"/>
      <c r="R3" s="50"/>
      <c r="S3" s="50"/>
      <c r="T3" s="50"/>
      <c r="U3" s="50"/>
      <c r="V3" s="50"/>
      <c r="W3" s="5"/>
      <c r="Y3" s="5"/>
      <c r="AA3" s="5"/>
      <c r="AC3" s="5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50"/>
      <c r="B5" s="50"/>
      <c r="C5" s="50"/>
      <c r="D5" s="50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49"/>
      <c r="Y5" s="48"/>
      <c r="AA5" s="48"/>
      <c r="AC5" s="48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84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84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89"/>
      <c r="T8" s="245" t="s">
        <v>62</v>
      </c>
      <c r="U8" s="83" t="s">
        <v>61</v>
      </c>
      <c r="V8" s="84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13"/>
      <c r="AE8" s="13"/>
      <c r="AF8" s="24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84" t="s">
        <v>51</v>
      </c>
      <c r="O9" s="83" t="s">
        <v>50</v>
      </c>
      <c r="P9" s="251"/>
      <c r="Q9" s="83"/>
      <c r="R9" s="83" t="s">
        <v>49</v>
      </c>
      <c r="S9" s="84"/>
      <c r="T9" s="246"/>
      <c r="U9" s="83" t="s">
        <v>48</v>
      </c>
      <c r="V9" s="84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24"/>
      <c r="AE9" s="24"/>
      <c r="AF9" s="169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722031.6801</v>
      </c>
      <c r="C10" s="40">
        <v>374096.82036837027</v>
      </c>
      <c r="D10" s="76">
        <f>B10+C10</f>
        <v>1096128.5004683703</v>
      </c>
      <c r="E10" s="40">
        <v>35.008399999999995</v>
      </c>
      <c r="F10" s="76">
        <f>D10+E10</f>
        <v>1096163.5088683702</v>
      </c>
      <c r="G10" s="40">
        <v>0</v>
      </c>
      <c r="H10" s="40">
        <v>0</v>
      </c>
      <c r="I10" s="40">
        <v>0</v>
      </c>
      <c r="J10" s="40">
        <v>4580.5455999999995</v>
      </c>
      <c r="K10" s="40">
        <v>1090.4939999999999</v>
      </c>
      <c r="L10" s="40">
        <v>0</v>
      </c>
      <c r="M10" s="40">
        <v>13115.874800000001</v>
      </c>
      <c r="N10" s="40">
        <v>2269.1846</v>
      </c>
      <c r="O10" s="40">
        <v>4669.8909999999996</v>
      </c>
      <c r="P10" s="40">
        <v>211.25900365667474</v>
      </c>
      <c r="Q10" s="40">
        <v>7314.0302000000001</v>
      </c>
      <c r="R10" s="40">
        <v>310.52708001370746</v>
      </c>
      <c r="S10" s="40">
        <v>0</v>
      </c>
      <c r="T10" s="40">
        <v>488.74226440980135</v>
      </c>
      <c r="U10" s="40">
        <v>0</v>
      </c>
      <c r="V10" s="40">
        <v>3145.8087999999998</v>
      </c>
      <c r="W10" s="76">
        <f t="shared" ref="W10:W32" si="0">SUM(F10:V10)</f>
        <v>1133359.8662164505</v>
      </c>
      <c r="X10" s="36"/>
      <c r="Y10" s="42">
        <v>119802.34286</v>
      </c>
      <c r="Z10" s="38"/>
      <c r="AA10" s="109">
        <v>0</v>
      </c>
      <c r="AB10" s="36"/>
      <c r="AC10" s="76">
        <f>+W10+Y10+AA10</f>
        <v>1253162.2090764504</v>
      </c>
      <c r="AD10" s="29"/>
      <c r="AE10" s="25"/>
      <c r="AF10" s="163"/>
      <c r="AG10" s="2"/>
      <c r="AH10" s="3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120011.2138</v>
      </c>
      <c r="C11" s="40">
        <v>17470.625838269982</v>
      </c>
      <c r="D11" s="76">
        <f t="shared" ref="D11:D32" si="1">B11+C11</f>
        <v>137481.83963826997</v>
      </c>
      <c r="E11" s="40">
        <v>1.7832999999999999</v>
      </c>
      <c r="F11" s="76">
        <f t="shared" ref="F11:F32" si="2">D11+E11</f>
        <v>137483.62293826998</v>
      </c>
      <c r="G11" s="40">
        <v>0</v>
      </c>
      <c r="H11" s="40">
        <v>0</v>
      </c>
      <c r="I11" s="40">
        <v>0</v>
      </c>
      <c r="J11" s="40">
        <v>574.51459999999997</v>
      </c>
      <c r="K11" s="40">
        <v>0</v>
      </c>
      <c r="L11" s="40">
        <v>0</v>
      </c>
      <c r="M11" s="40">
        <v>0</v>
      </c>
      <c r="N11" s="40">
        <v>284.61670000000004</v>
      </c>
      <c r="O11" s="40">
        <v>489.77229999999997</v>
      </c>
      <c r="P11" s="40">
        <v>318.39804237404655</v>
      </c>
      <c r="Q11" s="40">
        <v>1059.2733000000001</v>
      </c>
      <c r="R11" s="40">
        <v>498.88707871765627</v>
      </c>
      <c r="S11" s="40">
        <v>0</v>
      </c>
      <c r="T11" s="40">
        <v>736.60567133123982</v>
      </c>
      <c r="U11" s="40">
        <v>2.2000000000000002</v>
      </c>
      <c r="V11" s="40">
        <v>394.56890000000004</v>
      </c>
      <c r="W11" s="76">
        <f t="shared" si="0"/>
        <v>141842.45953069296</v>
      </c>
      <c r="X11" s="36"/>
      <c r="Y11" s="42">
        <v>402.08769999999998</v>
      </c>
      <c r="Z11" s="38"/>
      <c r="AA11" s="43">
        <v>0</v>
      </c>
      <c r="AB11" s="36"/>
      <c r="AC11" s="76">
        <f t="shared" ref="AC11:AC38" si="3">+W11+Y11+AA11</f>
        <v>142244.54723069296</v>
      </c>
      <c r="AD11" s="29"/>
      <c r="AE11" s="25"/>
      <c r="AF11" s="163"/>
      <c r="AG11" s="2"/>
      <c r="AH11" s="34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362845.80710000003</v>
      </c>
      <c r="C12" s="40">
        <v>80364.878855910065</v>
      </c>
      <c r="D12" s="76">
        <f t="shared" si="1"/>
        <v>443210.68595591013</v>
      </c>
      <c r="E12" s="40">
        <v>10.441700000000001</v>
      </c>
      <c r="F12" s="76">
        <f>D12+E12</f>
        <v>443221.12765591015</v>
      </c>
      <c r="G12" s="40">
        <v>0</v>
      </c>
      <c r="H12" s="40">
        <v>0</v>
      </c>
      <c r="I12" s="40">
        <v>0</v>
      </c>
      <c r="J12" s="40">
        <v>1852.1065000000001</v>
      </c>
      <c r="K12" s="40">
        <v>372.40840000000003</v>
      </c>
      <c r="L12" s="40">
        <v>0</v>
      </c>
      <c r="M12" s="40">
        <v>4479.1274999999996</v>
      </c>
      <c r="N12" s="40">
        <v>917.53210000000001</v>
      </c>
      <c r="O12" s="40">
        <v>2560.9245000000001</v>
      </c>
      <c r="P12" s="40">
        <v>211.25900365667474</v>
      </c>
      <c r="Q12" s="40">
        <v>2849.9497000000001</v>
      </c>
      <c r="R12" s="40">
        <v>291.44131060218746</v>
      </c>
      <c r="S12" s="40">
        <v>0</v>
      </c>
      <c r="T12" s="40">
        <v>488.74226440980135</v>
      </c>
      <c r="U12" s="40">
        <v>0.5</v>
      </c>
      <c r="V12" s="40">
        <v>1271.9902999999999</v>
      </c>
      <c r="W12" s="76">
        <f t="shared" si="0"/>
        <v>458517.10923457885</v>
      </c>
      <c r="X12" s="36"/>
      <c r="Y12" s="42">
        <v>3734.1505200000001</v>
      </c>
      <c r="Z12" s="38"/>
      <c r="AA12" s="43">
        <v>0</v>
      </c>
      <c r="AB12" s="36"/>
      <c r="AC12" s="76">
        <f t="shared" si="3"/>
        <v>462251.25975457887</v>
      </c>
      <c r="AD12" s="29"/>
      <c r="AE12" s="25"/>
      <c r="AF12" s="163"/>
      <c r="AG12" s="2"/>
      <c r="AH12" s="34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148920.45559999999</v>
      </c>
      <c r="C13" s="40">
        <v>36631.957402590058</v>
      </c>
      <c r="D13" s="76">
        <f t="shared" si="1"/>
        <v>185552.41300259004</v>
      </c>
      <c r="E13" s="40">
        <v>3.2166999999999999</v>
      </c>
      <c r="F13" s="76">
        <f t="shared" si="2"/>
        <v>185555.62970259003</v>
      </c>
      <c r="G13" s="40">
        <v>0</v>
      </c>
      <c r="H13" s="40">
        <v>0</v>
      </c>
      <c r="I13" s="40">
        <v>0</v>
      </c>
      <c r="J13" s="40">
        <v>775.39380000000006</v>
      </c>
      <c r="K13" s="40">
        <v>119.07889999999999</v>
      </c>
      <c r="L13" s="40">
        <v>0</v>
      </c>
      <c r="M13" s="40">
        <v>1432.2174</v>
      </c>
      <c r="N13" s="40">
        <v>384.12909999999999</v>
      </c>
      <c r="O13" s="40">
        <v>624.29300000000001</v>
      </c>
      <c r="P13" s="40">
        <v>267.45277143520519</v>
      </c>
      <c r="Q13" s="40">
        <v>2496.8586</v>
      </c>
      <c r="R13" s="40">
        <v>407.27079656411189</v>
      </c>
      <c r="S13" s="40">
        <v>0</v>
      </c>
      <c r="T13" s="40">
        <v>618.74509897552559</v>
      </c>
      <c r="U13" s="40">
        <v>1.5</v>
      </c>
      <c r="V13" s="40">
        <v>532.52469999999994</v>
      </c>
      <c r="W13" s="76">
        <f t="shared" si="0"/>
        <v>193215.09386956485</v>
      </c>
      <c r="X13" s="36"/>
      <c r="Y13" s="42">
        <v>6441.8937400000004</v>
      </c>
      <c r="Z13" s="38"/>
      <c r="AA13" s="43">
        <v>0</v>
      </c>
      <c r="AB13" s="36"/>
      <c r="AC13" s="76">
        <f t="shared" si="3"/>
        <v>199656.98760956485</v>
      </c>
      <c r="AD13" s="29"/>
      <c r="AE13" s="25"/>
      <c r="AF13" s="163"/>
      <c r="AG13" s="2"/>
      <c r="AH13" s="3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208090.49119999999</v>
      </c>
      <c r="C14" s="40">
        <v>40915.078576020045</v>
      </c>
      <c r="D14" s="76">
        <f t="shared" si="1"/>
        <v>249005.56977602004</v>
      </c>
      <c r="E14" s="40">
        <v>2.8</v>
      </c>
      <c r="F14" s="76">
        <f t="shared" si="2"/>
        <v>249008.36977602003</v>
      </c>
      <c r="G14" s="40">
        <v>0</v>
      </c>
      <c r="H14" s="40">
        <v>0</v>
      </c>
      <c r="I14" s="40">
        <v>0</v>
      </c>
      <c r="J14" s="40">
        <v>1040.5544</v>
      </c>
      <c r="K14" s="40">
        <v>93.61630000000001</v>
      </c>
      <c r="L14" s="40">
        <v>0</v>
      </c>
      <c r="M14" s="40">
        <v>1125.9661000000001</v>
      </c>
      <c r="N14" s="40">
        <v>515.49310000000003</v>
      </c>
      <c r="O14" s="40">
        <v>646.9443</v>
      </c>
      <c r="P14" s="40">
        <v>284.0579819692154</v>
      </c>
      <c r="Q14" s="40">
        <v>2320.3130000000001</v>
      </c>
      <c r="R14" s="40">
        <v>427.18032276906968</v>
      </c>
      <c r="S14" s="40">
        <v>0</v>
      </c>
      <c r="T14" s="40">
        <v>657.16082593901876</v>
      </c>
      <c r="U14" s="40">
        <v>0.5</v>
      </c>
      <c r="V14" s="40">
        <v>714.63669999999991</v>
      </c>
      <c r="W14" s="76">
        <f t="shared" si="0"/>
        <v>256834.79280669728</v>
      </c>
      <c r="X14" s="36"/>
      <c r="Y14" s="42">
        <v>7757.36708</v>
      </c>
      <c r="Z14" s="38"/>
      <c r="AA14" s="43">
        <v>0</v>
      </c>
      <c r="AB14" s="36"/>
      <c r="AC14" s="76">
        <f t="shared" si="3"/>
        <v>264592.15988669731</v>
      </c>
      <c r="AD14" s="29"/>
      <c r="AE14" s="25"/>
      <c r="AF14" s="163"/>
      <c r="AG14" s="2"/>
      <c r="AH14" s="3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62145.523200000003</v>
      </c>
      <c r="C15" s="40">
        <v>16794.343547850014</v>
      </c>
      <c r="D15" s="76">
        <f t="shared" si="1"/>
        <v>78939.866747850014</v>
      </c>
      <c r="E15" s="40">
        <v>2.0167000000000002</v>
      </c>
      <c r="F15" s="76">
        <f t="shared" si="2"/>
        <v>78941.883447850007</v>
      </c>
      <c r="G15" s="40">
        <v>0</v>
      </c>
      <c r="H15" s="40">
        <v>0</v>
      </c>
      <c r="I15" s="40">
        <v>0</v>
      </c>
      <c r="J15" s="40">
        <v>329.87709999999998</v>
      </c>
      <c r="K15" s="40">
        <v>36.620899999999999</v>
      </c>
      <c r="L15" s="40">
        <v>0</v>
      </c>
      <c r="M15" s="40">
        <v>440.45679999999999</v>
      </c>
      <c r="N15" s="40">
        <v>163.42429999999999</v>
      </c>
      <c r="O15" s="40">
        <v>550.04430000000002</v>
      </c>
      <c r="P15" s="40">
        <v>297.82995473646821</v>
      </c>
      <c r="Q15" s="40">
        <v>1614.1308000000001</v>
      </c>
      <c r="R15" s="40">
        <v>499.74866112952549</v>
      </c>
      <c r="S15" s="40">
        <v>0</v>
      </c>
      <c r="T15" s="40">
        <v>689.02193027823455</v>
      </c>
      <c r="U15" s="40">
        <v>3</v>
      </c>
      <c r="V15" s="40">
        <v>226.55789999999999</v>
      </c>
      <c r="W15" s="76">
        <f t="shared" si="0"/>
        <v>83792.596093994231</v>
      </c>
      <c r="X15" s="36"/>
      <c r="Y15" s="42">
        <v>1335.1716999999999</v>
      </c>
      <c r="Z15" s="38"/>
      <c r="AA15" s="43">
        <v>0</v>
      </c>
      <c r="AB15" s="36"/>
      <c r="AC15" s="76">
        <f t="shared" si="3"/>
        <v>85127.767793994237</v>
      </c>
      <c r="AD15" s="29"/>
      <c r="AE15" s="25"/>
      <c r="AF15" s="163"/>
      <c r="AG15" s="2"/>
      <c r="AH15" s="34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208438.41390000001</v>
      </c>
      <c r="C16" s="40">
        <v>35279.39282175</v>
      </c>
      <c r="D16" s="76">
        <f t="shared" si="1"/>
        <v>243717.80672175001</v>
      </c>
      <c r="E16" s="40">
        <v>5.6249000000000002</v>
      </c>
      <c r="F16" s="76">
        <f t="shared" si="2"/>
        <v>243723.43162175</v>
      </c>
      <c r="G16" s="40">
        <v>0</v>
      </c>
      <c r="H16" s="40">
        <v>0</v>
      </c>
      <c r="I16" s="40">
        <v>0</v>
      </c>
      <c r="J16" s="40">
        <v>1018.4576999999999</v>
      </c>
      <c r="K16" s="40">
        <v>161.61709999999999</v>
      </c>
      <c r="L16" s="40">
        <v>0</v>
      </c>
      <c r="M16" s="40">
        <v>1943.8426999999999</v>
      </c>
      <c r="N16" s="40">
        <v>504.53820000000002</v>
      </c>
      <c r="O16" s="40">
        <v>853.8433</v>
      </c>
      <c r="P16" s="40">
        <v>244.45967596955987</v>
      </c>
      <c r="Q16" s="40">
        <v>1967.2219</v>
      </c>
      <c r="R16" s="40">
        <v>407.37367975018964</v>
      </c>
      <c r="S16" s="40">
        <v>0</v>
      </c>
      <c r="T16" s="40">
        <v>565.55116477697106</v>
      </c>
      <c r="U16" s="40">
        <v>1.8</v>
      </c>
      <c r="V16" s="40">
        <v>699.44990000000007</v>
      </c>
      <c r="W16" s="76">
        <f t="shared" si="0"/>
        <v>252091.58694224674</v>
      </c>
      <c r="X16" s="36"/>
      <c r="Y16" s="42">
        <v>3004.4443199999996</v>
      </c>
      <c r="Z16" s="38"/>
      <c r="AA16" s="43">
        <v>0</v>
      </c>
      <c r="AB16" s="36"/>
      <c r="AC16" s="76">
        <f t="shared" si="3"/>
        <v>255096.03126224675</v>
      </c>
      <c r="AD16" s="29"/>
      <c r="AE16" s="25"/>
      <c r="AF16" s="163"/>
      <c r="AG16" s="2"/>
      <c r="AH16" s="34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157811.4595</v>
      </c>
      <c r="C17" s="40">
        <v>23895.307598250001</v>
      </c>
      <c r="D17" s="76">
        <f t="shared" si="1"/>
        <v>181706.76709824998</v>
      </c>
      <c r="E17" s="40">
        <v>1.7251000000000001</v>
      </c>
      <c r="F17" s="76">
        <f t="shared" si="2"/>
        <v>181708.49219824999</v>
      </c>
      <c r="G17" s="40">
        <v>0</v>
      </c>
      <c r="H17" s="40">
        <v>0</v>
      </c>
      <c r="I17" s="40">
        <v>0</v>
      </c>
      <c r="J17" s="40">
        <v>759.32349999999997</v>
      </c>
      <c r="K17" s="40">
        <v>43.6083</v>
      </c>
      <c r="L17" s="40">
        <v>0</v>
      </c>
      <c r="M17" s="40">
        <v>524.49699999999996</v>
      </c>
      <c r="N17" s="40">
        <v>376.17149999999998</v>
      </c>
      <c r="O17" s="40">
        <v>444.25120000000004</v>
      </c>
      <c r="P17" s="40">
        <v>328.2436959687513</v>
      </c>
      <c r="Q17" s="40">
        <v>2017.6635000000001</v>
      </c>
      <c r="R17" s="40">
        <v>441.26995581033924</v>
      </c>
      <c r="S17" s="40">
        <v>0</v>
      </c>
      <c r="T17" s="40">
        <v>759.38333735571473</v>
      </c>
      <c r="U17" s="40">
        <v>2.2000000000000002</v>
      </c>
      <c r="V17" s="40">
        <v>521.49279999999999</v>
      </c>
      <c r="W17" s="76">
        <f t="shared" si="0"/>
        <v>187926.59698738481</v>
      </c>
      <c r="X17" s="36"/>
      <c r="Y17" s="42">
        <v>3560.3633799999998</v>
      </c>
      <c r="Z17" s="38"/>
      <c r="AA17" s="43">
        <v>0</v>
      </c>
      <c r="AB17" s="36"/>
      <c r="AC17" s="76">
        <f t="shared" si="3"/>
        <v>191486.9603673848</v>
      </c>
      <c r="AD17" s="29"/>
      <c r="AE17" s="25"/>
      <c r="AF17" s="163"/>
      <c r="AG17" s="2"/>
      <c r="AH17" s="34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118927.30709999999</v>
      </c>
      <c r="C18" s="40">
        <v>22880.884162290025</v>
      </c>
      <c r="D18" s="76">
        <f t="shared" si="1"/>
        <v>141808.19126229003</v>
      </c>
      <c r="E18" s="40">
        <v>2.7749999999999999</v>
      </c>
      <c r="F18" s="76">
        <f t="shared" si="2"/>
        <v>141810.96626229002</v>
      </c>
      <c r="G18" s="40">
        <v>0</v>
      </c>
      <c r="H18" s="40">
        <v>0</v>
      </c>
      <c r="I18" s="40">
        <v>0</v>
      </c>
      <c r="J18" s="40">
        <v>592.5936999999999</v>
      </c>
      <c r="K18" s="40">
        <v>0</v>
      </c>
      <c r="L18" s="40">
        <v>0</v>
      </c>
      <c r="M18" s="40">
        <v>0</v>
      </c>
      <c r="N18" s="40">
        <v>293.56640000000004</v>
      </c>
      <c r="O18" s="40">
        <v>454.60970000000003</v>
      </c>
      <c r="P18" s="40">
        <v>264.88092268627327</v>
      </c>
      <c r="Q18" s="40">
        <v>1513.2476000000001</v>
      </c>
      <c r="R18" s="40">
        <v>455.85363536805755</v>
      </c>
      <c r="S18" s="40">
        <v>0</v>
      </c>
      <c r="T18" s="40">
        <v>612.79519314317713</v>
      </c>
      <c r="U18" s="40">
        <v>2.2000000000000002</v>
      </c>
      <c r="V18" s="40">
        <v>406.97609999999997</v>
      </c>
      <c r="W18" s="76">
        <f t="shared" si="0"/>
        <v>146407.68951348757</v>
      </c>
      <c r="X18" s="36"/>
      <c r="Y18" s="42">
        <v>3596.3040599999999</v>
      </c>
      <c r="Z18" s="38"/>
      <c r="AA18" s="43">
        <v>0</v>
      </c>
      <c r="AB18" s="36"/>
      <c r="AC18" s="76">
        <f t="shared" si="3"/>
        <v>150003.99357348756</v>
      </c>
      <c r="AD18" s="29"/>
      <c r="AE18" s="25"/>
      <c r="AF18" s="163"/>
      <c r="AG18" s="2"/>
      <c r="AH18" s="3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83601.196599999996</v>
      </c>
      <c r="C19" s="40">
        <v>11947.653798960017</v>
      </c>
      <c r="D19" s="76">
        <f t="shared" si="1"/>
        <v>95548.850398960014</v>
      </c>
      <c r="E19" s="40">
        <v>1.6</v>
      </c>
      <c r="F19" s="76">
        <f t="shared" si="2"/>
        <v>95550.45039896002</v>
      </c>
      <c r="G19" s="40">
        <v>0</v>
      </c>
      <c r="H19" s="40">
        <v>0</v>
      </c>
      <c r="I19" s="40">
        <v>0</v>
      </c>
      <c r="J19" s="40">
        <v>399.30059999999997</v>
      </c>
      <c r="K19" s="40">
        <v>32.158000000000001</v>
      </c>
      <c r="L19" s="40">
        <v>1.8E-7</v>
      </c>
      <c r="M19" s="40">
        <v>386.7783</v>
      </c>
      <c r="N19" s="40">
        <v>197.41720000000001</v>
      </c>
      <c r="O19" s="40">
        <v>571.9076</v>
      </c>
      <c r="P19" s="40">
        <v>235.14045625331337</v>
      </c>
      <c r="Q19" s="40">
        <v>1026.3161</v>
      </c>
      <c r="R19" s="40">
        <v>561.51443447112695</v>
      </c>
      <c r="S19" s="40">
        <v>0</v>
      </c>
      <c r="T19" s="40">
        <v>543.99138991719485</v>
      </c>
      <c r="U19" s="40">
        <v>2.5</v>
      </c>
      <c r="V19" s="40">
        <v>274.23070000000001</v>
      </c>
      <c r="W19" s="76">
        <f t="shared" si="0"/>
        <v>99781.705179781668</v>
      </c>
      <c r="X19" s="36"/>
      <c r="Y19" s="42">
        <v>0</v>
      </c>
      <c r="Z19" s="38"/>
      <c r="AA19" s="43">
        <v>0</v>
      </c>
      <c r="AB19" s="36"/>
      <c r="AC19" s="76">
        <f t="shared" si="3"/>
        <v>99781.705179781668</v>
      </c>
      <c r="AD19" s="29"/>
      <c r="AE19" s="25"/>
      <c r="AF19" s="163"/>
      <c r="AG19" s="2"/>
      <c r="AH19" s="34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89713.373099999997</v>
      </c>
      <c r="C20" s="40">
        <v>13638.359525339993</v>
      </c>
      <c r="D20" s="76">
        <f t="shared" si="1"/>
        <v>103351.73262534</v>
      </c>
      <c r="E20" s="40">
        <v>1.6916</v>
      </c>
      <c r="F20" s="76">
        <f t="shared" si="2"/>
        <v>103353.42422534</v>
      </c>
      <c r="G20" s="40">
        <v>0</v>
      </c>
      <c r="H20" s="40">
        <v>0</v>
      </c>
      <c r="I20" s="40">
        <v>0</v>
      </c>
      <c r="J20" s="40">
        <v>431.8904</v>
      </c>
      <c r="K20" s="40">
        <v>0</v>
      </c>
      <c r="L20" s="40">
        <v>0</v>
      </c>
      <c r="M20" s="40">
        <v>0</v>
      </c>
      <c r="N20" s="40">
        <v>213.95860000000002</v>
      </c>
      <c r="O20" s="40">
        <v>444.24759999999998</v>
      </c>
      <c r="P20" s="40">
        <v>309.8026692028705</v>
      </c>
      <c r="Q20" s="40">
        <v>1008.8317</v>
      </c>
      <c r="R20" s="40">
        <v>553.72067887226706</v>
      </c>
      <c r="S20" s="40">
        <v>0</v>
      </c>
      <c r="T20" s="40">
        <v>716.72049684065121</v>
      </c>
      <c r="U20" s="40">
        <v>2.2000000000000002</v>
      </c>
      <c r="V20" s="40">
        <v>296.61430000000001</v>
      </c>
      <c r="W20" s="76">
        <f t="shared" si="0"/>
        <v>107331.41067025578</v>
      </c>
      <c r="X20" s="36"/>
      <c r="Y20" s="42">
        <v>860.44673999999998</v>
      </c>
      <c r="Z20" s="38"/>
      <c r="AA20" s="43">
        <v>0</v>
      </c>
      <c r="AB20" s="36"/>
      <c r="AC20" s="76">
        <f t="shared" si="3"/>
        <v>108191.85741025578</v>
      </c>
      <c r="AD20" s="29"/>
      <c r="AE20" s="25"/>
      <c r="AF20" s="163"/>
      <c r="AG20" s="2"/>
      <c r="AH20" s="34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156635.41459999999</v>
      </c>
      <c r="C21" s="40">
        <v>51510.167794140027</v>
      </c>
      <c r="D21" s="76">
        <f t="shared" si="1"/>
        <v>208145.58239414002</v>
      </c>
      <c r="E21" s="40">
        <v>5.1416000000000004</v>
      </c>
      <c r="F21" s="76">
        <f t="shared" si="2"/>
        <v>208150.72399414002</v>
      </c>
      <c r="G21" s="40">
        <v>0</v>
      </c>
      <c r="H21" s="40">
        <v>0</v>
      </c>
      <c r="I21" s="40">
        <v>0</v>
      </c>
      <c r="J21" s="40">
        <v>869.80709999999999</v>
      </c>
      <c r="K21" s="40">
        <v>0</v>
      </c>
      <c r="L21" s="40">
        <v>0</v>
      </c>
      <c r="M21" s="40">
        <v>0</v>
      </c>
      <c r="N21" s="40">
        <v>430.90379999999999</v>
      </c>
      <c r="O21" s="40">
        <v>899.85360000000003</v>
      </c>
      <c r="P21" s="40">
        <v>240.46694325141922</v>
      </c>
      <c r="Q21" s="40">
        <v>2017.6635000000001</v>
      </c>
      <c r="R21" s="40">
        <v>328.24431586525253</v>
      </c>
      <c r="S21" s="40">
        <v>0</v>
      </c>
      <c r="T21" s="40">
        <v>556.31408045210935</v>
      </c>
      <c r="U21" s="40">
        <v>2.2000000000000002</v>
      </c>
      <c r="V21" s="40">
        <v>597.36930000000007</v>
      </c>
      <c r="W21" s="76">
        <f t="shared" si="0"/>
        <v>214093.54663370879</v>
      </c>
      <c r="X21" s="36"/>
      <c r="Y21" s="42">
        <v>5270.1791199999998</v>
      </c>
      <c r="Z21" s="38"/>
      <c r="AA21" s="43">
        <v>0</v>
      </c>
      <c r="AB21" s="36"/>
      <c r="AC21" s="76">
        <f t="shared" si="3"/>
        <v>219363.72575370877</v>
      </c>
      <c r="AD21" s="29"/>
      <c r="AE21" s="25"/>
      <c r="AF21" s="163"/>
      <c r="AG21" s="2"/>
      <c r="AH21" s="34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121487.2862</v>
      </c>
      <c r="C22" s="40">
        <v>43394.780307780071</v>
      </c>
      <c r="D22" s="76">
        <f t="shared" si="1"/>
        <v>164882.06650778008</v>
      </c>
      <c r="E22" s="40">
        <v>2.8416999999999999</v>
      </c>
      <c r="F22" s="76">
        <f t="shared" si="2"/>
        <v>164884.90820778007</v>
      </c>
      <c r="G22" s="40">
        <v>0</v>
      </c>
      <c r="H22" s="40">
        <v>0</v>
      </c>
      <c r="I22" s="40">
        <v>0</v>
      </c>
      <c r="J22" s="40">
        <v>689.01580000000001</v>
      </c>
      <c r="K22" s="40">
        <v>51.125999999999998</v>
      </c>
      <c r="L22" s="40">
        <v>0</v>
      </c>
      <c r="M22" s="40">
        <v>614.9156999999999</v>
      </c>
      <c r="N22" s="40">
        <v>341.33320000000003</v>
      </c>
      <c r="O22" s="40">
        <v>638.14700000000005</v>
      </c>
      <c r="P22" s="40">
        <v>311.04137294862204</v>
      </c>
      <c r="Q22" s="40">
        <v>2370.7546000000002</v>
      </c>
      <c r="R22" s="40">
        <v>375.9048600325587</v>
      </c>
      <c r="S22" s="40">
        <v>0</v>
      </c>
      <c r="T22" s="40">
        <v>719.58621198975413</v>
      </c>
      <c r="U22" s="40">
        <v>2.2000000000000002</v>
      </c>
      <c r="V22" s="40">
        <v>473.19600000000003</v>
      </c>
      <c r="W22" s="76">
        <f t="shared" si="0"/>
        <v>171472.12895275099</v>
      </c>
      <c r="X22" s="36"/>
      <c r="Y22" s="42">
        <v>7454.9740199999997</v>
      </c>
      <c r="Z22" s="38"/>
      <c r="AA22" s="43">
        <v>0</v>
      </c>
      <c r="AB22" s="36"/>
      <c r="AC22" s="76">
        <f t="shared" si="3"/>
        <v>178927.10297275099</v>
      </c>
      <c r="AD22" s="29"/>
      <c r="AE22" s="25"/>
      <c r="AF22" s="163"/>
      <c r="AG22" s="2"/>
      <c r="AH22" s="34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67582.540599999993</v>
      </c>
      <c r="C23" s="40">
        <v>19048.617849359965</v>
      </c>
      <c r="D23" s="76">
        <f t="shared" si="1"/>
        <v>86631.158449359966</v>
      </c>
      <c r="E23" s="40">
        <v>1.4499</v>
      </c>
      <c r="F23" s="76">
        <f t="shared" si="2"/>
        <v>86632.608349359973</v>
      </c>
      <c r="G23" s="40">
        <v>0</v>
      </c>
      <c r="H23" s="40">
        <v>0</v>
      </c>
      <c r="I23" s="40">
        <v>0</v>
      </c>
      <c r="J23" s="40">
        <v>362.01779999999997</v>
      </c>
      <c r="K23" s="40">
        <v>22.992799999999999</v>
      </c>
      <c r="L23" s="40">
        <v>0</v>
      </c>
      <c r="M23" s="40">
        <v>276.54480000000001</v>
      </c>
      <c r="N23" s="40">
        <v>179.33960000000002</v>
      </c>
      <c r="O23" s="40">
        <v>684.84640000000002</v>
      </c>
      <c r="P23" s="40">
        <v>276.21082727213883</v>
      </c>
      <c r="Q23" s="40">
        <v>2168.9883</v>
      </c>
      <c r="R23" s="40">
        <v>365.61460276362146</v>
      </c>
      <c r="S23" s="40">
        <v>0</v>
      </c>
      <c r="T23" s="40">
        <v>639.00663566079857</v>
      </c>
      <c r="U23" s="40">
        <v>2.5</v>
      </c>
      <c r="V23" s="40">
        <v>248.6215</v>
      </c>
      <c r="W23" s="76">
        <f t="shared" si="0"/>
        <v>91859.291615056543</v>
      </c>
      <c r="X23" s="36"/>
      <c r="Y23" s="42">
        <v>1883.8913</v>
      </c>
      <c r="Z23" s="38"/>
      <c r="AA23" s="43">
        <v>0</v>
      </c>
      <c r="AB23" s="36"/>
      <c r="AC23" s="76">
        <f t="shared" si="3"/>
        <v>93743.182915056546</v>
      </c>
      <c r="AD23" s="29"/>
      <c r="AE23" s="25"/>
      <c r="AF23" s="163"/>
      <c r="AG23" s="2"/>
      <c r="AH23" s="34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105318.2922</v>
      </c>
      <c r="C24" s="40">
        <v>20626.609860779998</v>
      </c>
      <c r="D24" s="76">
        <f t="shared" si="1"/>
        <v>125944.90206077999</v>
      </c>
      <c r="E24" s="40">
        <v>1.2167000000000001</v>
      </c>
      <c r="F24" s="76">
        <f t="shared" si="2"/>
        <v>125946.11876077999</v>
      </c>
      <c r="G24" s="40">
        <v>0</v>
      </c>
      <c r="H24" s="40">
        <v>0</v>
      </c>
      <c r="I24" s="40">
        <v>0</v>
      </c>
      <c r="J24" s="40">
        <v>526.30359999999996</v>
      </c>
      <c r="K24" s="40">
        <v>0</v>
      </c>
      <c r="L24" s="40">
        <v>0</v>
      </c>
      <c r="M24" s="40">
        <v>0</v>
      </c>
      <c r="N24" s="40">
        <v>260.73329999999999</v>
      </c>
      <c r="O24" s="40">
        <v>544.2373</v>
      </c>
      <c r="P24" s="40">
        <v>256.64930067779773</v>
      </c>
      <c r="Q24" s="40">
        <v>2269.8714</v>
      </c>
      <c r="R24" s="40">
        <v>322.99514418307956</v>
      </c>
      <c r="S24" s="40">
        <v>0</v>
      </c>
      <c r="T24" s="40">
        <v>593.75154761260285</v>
      </c>
      <c r="U24" s="40">
        <v>2.5</v>
      </c>
      <c r="V24" s="40">
        <v>361.45890000000003</v>
      </c>
      <c r="W24" s="76">
        <f t="shared" si="0"/>
        <v>131084.61925325348</v>
      </c>
      <c r="X24" s="36"/>
      <c r="Y24" s="42">
        <v>1560.62608</v>
      </c>
      <c r="Z24" s="38"/>
      <c r="AA24" s="43">
        <v>0</v>
      </c>
      <c r="AB24" s="36"/>
      <c r="AC24" s="76">
        <f t="shared" si="3"/>
        <v>132645.24533325346</v>
      </c>
      <c r="AD24" s="29"/>
      <c r="AE24" s="25"/>
      <c r="AF24" s="163"/>
      <c r="AG24" s="2"/>
      <c r="AH24" s="34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148038.81519999998</v>
      </c>
      <c r="C25" s="40">
        <v>43282.066592820018</v>
      </c>
      <c r="D25" s="76">
        <f t="shared" si="1"/>
        <v>191320.88179282</v>
      </c>
      <c r="E25" s="40">
        <v>3.3167</v>
      </c>
      <c r="F25" s="76">
        <f t="shared" si="2"/>
        <v>191324.19849282</v>
      </c>
      <c r="G25" s="40">
        <v>0</v>
      </c>
      <c r="H25" s="40">
        <v>0</v>
      </c>
      <c r="I25" s="40">
        <v>0</v>
      </c>
      <c r="J25" s="40">
        <v>799.49940000000004</v>
      </c>
      <c r="K25" s="40">
        <v>0</v>
      </c>
      <c r="L25" s="40">
        <v>0</v>
      </c>
      <c r="M25" s="40">
        <v>0</v>
      </c>
      <c r="N25" s="40">
        <v>396.07600000000002</v>
      </c>
      <c r="O25" s="40">
        <v>670.13679999999999</v>
      </c>
      <c r="P25" s="40">
        <v>262.56315140441092</v>
      </c>
      <c r="Q25" s="40">
        <v>2017.6635000000001</v>
      </c>
      <c r="R25" s="40">
        <v>563.62775295721144</v>
      </c>
      <c r="S25" s="40">
        <v>0</v>
      </c>
      <c r="T25" s="40">
        <v>607.43308894562176</v>
      </c>
      <c r="U25" s="40">
        <v>2.5</v>
      </c>
      <c r="V25" s="40">
        <v>549.08690000000001</v>
      </c>
      <c r="W25" s="76">
        <f t="shared" si="0"/>
        <v>197192.78508612726</v>
      </c>
      <c r="X25" s="36"/>
      <c r="Y25" s="42">
        <v>20686.56912</v>
      </c>
      <c r="Z25" s="38"/>
      <c r="AA25" s="43">
        <v>0</v>
      </c>
      <c r="AB25" s="36"/>
      <c r="AC25" s="76">
        <f t="shared" si="3"/>
        <v>217879.35420612726</v>
      </c>
      <c r="AD25" s="29"/>
      <c r="AE25" s="25"/>
      <c r="AF25" s="163"/>
      <c r="AG25" s="2"/>
      <c r="AH25" s="34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140436.5698</v>
      </c>
      <c r="C26" s="40">
        <v>28291.142486309993</v>
      </c>
      <c r="D26" s="76">
        <f t="shared" si="1"/>
        <v>168727.71228630998</v>
      </c>
      <c r="E26" s="40">
        <v>2.5083000000000002</v>
      </c>
      <c r="F26" s="76">
        <f t="shared" si="2"/>
        <v>168730.22058630997</v>
      </c>
      <c r="G26" s="40">
        <v>0</v>
      </c>
      <c r="H26" s="40">
        <v>0</v>
      </c>
      <c r="I26" s="40">
        <v>0</v>
      </c>
      <c r="J26" s="40">
        <v>705.08609999999999</v>
      </c>
      <c r="K26" s="40">
        <v>0</v>
      </c>
      <c r="L26" s="40">
        <v>0</v>
      </c>
      <c r="M26" s="40">
        <v>0</v>
      </c>
      <c r="N26" s="40">
        <v>349.30129999999997</v>
      </c>
      <c r="O26" s="40">
        <v>491.12430000000001</v>
      </c>
      <c r="P26" s="40">
        <v>243.24473486862351</v>
      </c>
      <c r="Q26" s="40">
        <v>1841.1179</v>
      </c>
      <c r="R26" s="40">
        <v>327.17039144707576</v>
      </c>
      <c r="S26" s="40">
        <v>0</v>
      </c>
      <c r="T26" s="40">
        <v>562.74042983969593</v>
      </c>
      <c r="U26" s="40">
        <v>2.2000000000000002</v>
      </c>
      <c r="V26" s="40">
        <v>484.2423</v>
      </c>
      <c r="W26" s="76">
        <f t="shared" si="0"/>
        <v>173736.44804246537</v>
      </c>
      <c r="X26" s="36"/>
      <c r="Y26" s="42">
        <v>1916.65128</v>
      </c>
      <c r="Z26" s="38"/>
      <c r="AA26" s="43">
        <v>0</v>
      </c>
      <c r="AB26" s="36"/>
      <c r="AC26" s="76">
        <f t="shared" si="3"/>
        <v>175653.09932246536</v>
      </c>
      <c r="AD26" s="29"/>
      <c r="AE26" s="25"/>
      <c r="AF26" s="163"/>
      <c r="AG26" s="2"/>
      <c r="AH26" s="3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97583.770099999994</v>
      </c>
      <c r="C27" s="40">
        <v>16343.488687350015</v>
      </c>
      <c r="D27" s="76">
        <f t="shared" si="1"/>
        <v>113927.25878735</v>
      </c>
      <c r="E27" s="40">
        <v>1.5751000000000002</v>
      </c>
      <c r="F27" s="76">
        <f t="shared" si="2"/>
        <v>113928.83388735</v>
      </c>
      <c r="G27" s="40">
        <v>0</v>
      </c>
      <c r="H27" s="40">
        <v>0</v>
      </c>
      <c r="I27" s="40">
        <v>0</v>
      </c>
      <c r="J27" s="40">
        <v>476.0838</v>
      </c>
      <c r="K27" s="40">
        <v>0</v>
      </c>
      <c r="L27" s="40">
        <v>0</v>
      </c>
      <c r="M27" s="40">
        <v>0</v>
      </c>
      <c r="N27" s="40">
        <v>235.84729999999999</v>
      </c>
      <c r="O27" s="40">
        <v>415.91669999999999</v>
      </c>
      <c r="P27" s="40">
        <v>238.28809201049918</v>
      </c>
      <c r="Q27" s="40">
        <v>1841.1179</v>
      </c>
      <c r="R27" s="40">
        <v>371.76447213101289</v>
      </c>
      <c r="S27" s="40">
        <v>0</v>
      </c>
      <c r="T27" s="40">
        <v>551.27336421286441</v>
      </c>
      <c r="U27" s="40">
        <v>2.2000000000000002</v>
      </c>
      <c r="V27" s="40">
        <v>326.95909999999998</v>
      </c>
      <c r="W27" s="76">
        <f t="shared" si="0"/>
        <v>118388.28461570434</v>
      </c>
      <c r="X27" s="36"/>
      <c r="Y27" s="42">
        <v>0</v>
      </c>
      <c r="Z27" s="38"/>
      <c r="AA27" s="43">
        <v>0</v>
      </c>
      <c r="AB27" s="36"/>
      <c r="AC27" s="76">
        <f t="shared" si="3"/>
        <v>118388.28461570434</v>
      </c>
      <c r="AD27" s="29"/>
      <c r="AE27" s="25"/>
      <c r="AF27" s="163"/>
      <c r="AG27" s="2"/>
      <c r="AH27" s="34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70148.197</v>
      </c>
      <c r="C28" s="40">
        <v>8791.669776779996</v>
      </c>
      <c r="D28" s="76">
        <f t="shared" si="1"/>
        <v>78939.866776779993</v>
      </c>
      <c r="E28" s="40">
        <v>0.70829999999999993</v>
      </c>
      <c r="F28" s="76">
        <f t="shared" si="2"/>
        <v>78940.575076779991</v>
      </c>
      <c r="G28" s="40">
        <v>0</v>
      </c>
      <c r="H28" s="40">
        <v>0</v>
      </c>
      <c r="I28" s="40">
        <v>0</v>
      </c>
      <c r="J28" s="40">
        <v>329.87709999999998</v>
      </c>
      <c r="K28" s="40">
        <v>29.8127</v>
      </c>
      <c r="L28" s="40">
        <v>0</v>
      </c>
      <c r="M28" s="40">
        <v>358.57130000000001</v>
      </c>
      <c r="N28" s="40">
        <v>163.42429999999999</v>
      </c>
      <c r="O28" s="40">
        <v>439.59899999999999</v>
      </c>
      <c r="P28" s="40">
        <v>335.28474880779595</v>
      </c>
      <c r="Q28" s="40">
        <v>1614.1308000000001</v>
      </c>
      <c r="R28" s="40">
        <v>684.25328647738706</v>
      </c>
      <c r="S28" s="40">
        <v>0</v>
      </c>
      <c r="T28" s="40">
        <v>775.6726317721949</v>
      </c>
      <c r="U28" s="40">
        <v>3</v>
      </c>
      <c r="V28" s="40">
        <v>226.55789999999999</v>
      </c>
      <c r="W28" s="76">
        <f t="shared" si="0"/>
        <v>83900.75884383735</v>
      </c>
      <c r="X28" s="36"/>
      <c r="Y28" s="42">
        <v>13.502660000000001</v>
      </c>
      <c r="Z28" s="38"/>
      <c r="AA28" s="43">
        <v>0</v>
      </c>
      <c r="AB28" s="36"/>
      <c r="AC28" s="76">
        <f t="shared" si="3"/>
        <v>83914.261503837348</v>
      </c>
      <c r="AD28" s="29"/>
      <c r="AE28" s="25"/>
      <c r="AF28" s="163"/>
      <c r="AG28" s="2"/>
      <c r="AH28" s="34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379534.48110000003</v>
      </c>
      <c r="C29" s="40">
        <v>75180.047961810124</v>
      </c>
      <c r="D29" s="76">
        <f t="shared" si="1"/>
        <v>454714.52906181017</v>
      </c>
      <c r="E29" s="40">
        <v>11.290799999999999</v>
      </c>
      <c r="F29" s="76">
        <f t="shared" si="2"/>
        <v>454725.81986181019</v>
      </c>
      <c r="G29" s="40">
        <v>0</v>
      </c>
      <c r="H29" s="40">
        <v>0</v>
      </c>
      <c r="I29" s="40">
        <v>0</v>
      </c>
      <c r="J29" s="40">
        <v>1900.2613000000001</v>
      </c>
      <c r="K29" s="40">
        <v>409.86559999999997</v>
      </c>
      <c r="L29" s="40">
        <v>7.3E-7</v>
      </c>
      <c r="M29" s="40">
        <v>4929.6373999999996</v>
      </c>
      <c r="N29" s="40">
        <v>939.51109999999994</v>
      </c>
      <c r="O29" s="40">
        <v>1946.5203999999999</v>
      </c>
      <c r="P29" s="40">
        <v>211.25900365667474</v>
      </c>
      <c r="Q29" s="40">
        <v>2899.3429000000001</v>
      </c>
      <c r="R29" s="40">
        <v>265.38698800248909</v>
      </c>
      <c r="S29" s="40">
        <v>0</v>
      </c>
      <c r="T29" s="40">
        <v>488.74226440980135</v>
      </c>
      <c r="U29" s="40">
        <v>0.5</v>
      </c>
      <c r="V29" s="40">
        <v>1305.068</v>
      </c>
      <c r="W29" s="76">
        <f t="shared" si="0"/>
        <v>470021.91481860919</v>
      </c>
      <c r="X29" s="36"/>
      <c r="Y29" s="42">
        <v>4476.2399800000003</v>
      </c>
      <c r="Z29" s="38"/>
      <c r="AA29" s="43">
        <v>0</v>
      </c>
      <c r="AB29" s="36"/>
      <c r="AC29" s="76">
        <f t="shared" si="3"/>
        <v>474498.1547986092</v>
      </c>
      <c r="AD29" s="29"/>
      <c r="AE29" s="25"/>
      <c r="AF29" s="163"/>
      <c r="AG29" s="2"/>
      <c r="AH29" s="34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168914.51980000001</v>
      </c>
      <c r="C30" s="40">
        <v>37308.239693340045</v>
      </c>
      <c r="D30" s="76">
        <f t="shared" si="1"/>
        <v>206222.75949334004</v>
      </c>
      <c r="E30" s="40">
        <v>2.6333000000000002</v>
      </c>
      <c r="F30" s="76">
        <f t="shared" si="2"/>
        <v>206225.39279334003</v>
      </c>
      <c r="G30" s="40">
        <v>0</v>
      </c>
      <c r="H30" s="40">
        <v>0</v>
      </c>
      <c r="I30" s="40">
        <v>0</v>
      </c>
      <c r="J30" s="40">
        <v>861.77190000000007</v>
      </c>
      <c r="K30" s="40">
        <v>0</v>
      </c>
      <c r="L30" s="40">
        <v>0</v>
      </c>
      <c r="M30" s="40">
        <v>0</v>
      </c>
      <c r="N30" s="40">
        <v>426.92500000000001</v>
      </c>
      <c r="O30" s="40">
        <v>877.07299999999998</v>
      </c>
      <c r="P30" s="40">
        <v>281.67501575771189</v>
      </c>
      <c r="Q30" s="40">
        <v>2168.9883</v>
      </c>
      <c r="R30" s="40">
        <v>499.73053168530294</v>
      </c>
      <c r="S30" s="40">
        <v>0</v>
      </c>
      <c r="T30" s="40">
        <v>651.64789493495607</v>
      </c>
      <c r="U30" s="40">
        <v>2.2000000000000002</v>
      </c>
      <c r="V30" s="40">
        <v>591.85329999999999</v>
      </c>
      <c r="W30" s="76">
        <f t="shared" si="0"/>
        <v>212587.25773571798</v>
      </c>
      <c r="X30" s="36"/>
      <c r="Y30" s="42">
        <v>6255.0315999999993</v>
      </c>
      <c r="Z30" s="38"/>
      <c r="AA30" s="43">
        <v>0</v>
      </c>
      <c r="AB30" s="36"/>
      <c r="AC30" s="76">
        <f t="shared" si="3"/>
        <v>218842.28933571797</v>
      </c>
      <c r="AD30" s="29"/>
      <c r="AE30" s="25"/>
      <c r="AF30" s="163"/>
      <c r="AG30" s="2"/>
      <c r="AH30" s="3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190805.15409999999</v>
      </c>
      <c r="C31" s="40">
        <v>46663.478045249991</v>
      </c>
      <c r="D31" s="76">
        <f t="shared" si="1"/>
        <v>237468.63214524998</v>
      </c>
      <c r="E31" s="40">
        <v>4.6500000000000004</v>
      </c>
      <c r="F31" s="76">
        <f t="shared" si="2"/>
        <v>237473.28214524998</v>
      </c>
      <c r="G31" s="40">
        <v>0</v>
      </c>
      <c r="H31" s="40">
        <v>0</v>
      </c>
      <c r="I31" s="40">
        <v>0</v>
      </c>
      <c r="J31" s="40">
        <v>992.34339999999997</v>
      </c>
      <c r="K31" s="40">
        <v>0</v>
      </c>
      <c r="L31" s="40">
        <v>0</v>
      </c>
      <c r="M31" s="40">
        <v>0</v>
      </c>
      <c r="N31" s="40">
        <v>491.60970000000003</v>
      </c>
      <c r="O31" s="40">
        <v>651.90690000000006</v>
      </c>
      <c r="P31" s="40">
        <v>216.95106972764648</v>
      </c>
      <c r="Q31" s="40">
        <v>2118.5467000000003</v>
      </c>
      <c r="R31" s="40">
        <v>467.18640140669322</v>
      </c>
      <c r="S31" s="40">
        <v>0</v>
      </c>
      <c r="T31" s="40">
        <v>501.91071266424359</v>
      </c>
      <c r="U31" s="40">
        <v>2.2000000000000002</v>
      </c>
      <c r="V31" s="40">
        <v>681.52680000000009</v>
      </c>
      <c r="W31" s="76">
        <f t="shared" si="0"/>
        <v>243597.46382904859</v>
      </c>
      <c r="X31" s="36"/>
      <c r="Y31" s="42">
        <v>9976.0117599999994</v>
      </c>
      <c r="Z31" s="38"/>
      <c r="AA31" s="43">
        <v>0</v>
      </c>
      <c r="AB31" s="36"/>
      <c r="AC31" s="76">
        <f t="shared" si="3"/>
        <v>253573.47558904858</v>
      </c>
      <c r="AD31" s="29"/>
      <c r="AE31" s="25"/>
      <c r="AF31" s="163"/>
      <c r="AG31" s="2"/>
      <c r="AH31" s="34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57278.478999999999</v>
      </c>
      <c r="C32" s="40">
        <v>4283.1211730999967</v>
      </c>
      <c r="D32" s="76">
        <f t="shared" si="1"/>
        <v>61561.6001731</v>
      </c>
      <c r="E32" s="40">
        <v>1</v>
      </c>
      <c r="F32" s="76">
        <f t="shared" si="2"/>
        <v>61562.6001731</v>
      </c>
      <c r="G32" s="40">
        <v>0</v>
      </c>
      <c r="H32" s="40">
        <v>0</v>
      </c>
      <c r="I32" s="40">
        <v>0</v>
      </c>
      <c r="J32" s="40">
        <v>257.25479999999999</v>
      </c>
      <c r="K32" s="40">
        <v>2.6444000000000001</v>
      </c>
      <c r="L32" s="40">
        <v>0</v>
      </c>
      <c r="M32" s="40">
        <v>31.806000000000001</v>
      </c>
      <c r="N32" s="40">
        <v>127.4478</v>
      </c>
      <c r="O32" s="40">
        <v>359.04480000000001</v>
      </c>
      <c r="P32" s="40">
        <v>246.56602070760638</v>
      </c>
      <c r="Q32" s="40">
        <v>1336.7021000000002</v>
      </c>
      <c r="R32" s="40">
        <v>261.86848246007668</v>
      </c>
      <c r="S32" s="40">
        <v>0</v>
      </c>
      <c r="T32" s="40">
        <v>570.42413905802675</v>
      </c>
      <c r="U32" s="40">
        <v>3</v>
      </c>
      <c r="V32" s="40">
        <v>176.68299999999999</v>
      </c>
      <c r="W32" s="76">
        <f t="shared" si="0"/>
        <v>64936.041715325715</v>
      </c>
      <c r="X32" s="36"/>
      <c r="Y32" s="42">
        <v>0</v>
      </c>
      <c r="Z32" s="38"/>
      <c r="AA32" s="37">
        <v>0</v>
      </c>
      <c r="AB32" s="36"/>
      <c r="AC32" s="76">
        <f t="shared" si="3"/>
        <v>64936.041715325715</v>
      </c>
      <c r="AD32" s="29"/>
      <c r="AE32" s="25"/>
      <c r="AF32" s="163"/>
      <c r="AG32" s="2"/>
      <c r="AH32" s="34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>SUM(B10:B32)</f>
        <v>3986300.4408999993</v>
      </c>
      <c r="C33" s="79">
        <f>SUM(C10:C32)</f>
        <v>1068638.732724421</v>
      </c>
      <c r="D33" s="79">
        <f>SUM(D10:D32)</f>
        <v>5054939.1736244205</v>
      </c>
      <c r="E33" s="79">
        <f t="shared" ref="E33:W33" si="4">SUM(E10:E32)</f>
        <v>107.0158</v>
      </c>
      <c r="F33" s="79">
        <f>SUM(F10:F32)</f>
        <v>5055046.1894244198</v>
      </c>
      <c r="G33" s="79">
        <f t="shared" si="4"/>
        <v>0</v>
      </c>
      <c r="H33" s="79">
        <f t="shared" si="4"/>
        <v>0</v>
      </c>
      <c r="I33" s="79">
        <f t="shared" si="4"/>
        <v>0</v>
      </c>
      <c r="J33" s="79">
        <f t="shared" si="4"/>
        <v>21123.880000000005</v>
      </c>
      <c r="K33" s="79">
        <f t="shared" si="4"/>
        <v>2466.0434</v>
      </c>
      <c r="L33" s="79">
        <f t="shared" si="4"/>
        <v>9.0999999999999997E-7</v>
      </c>
      <c r="M33" s="79">
        <f t="shared" si="4"/>
        <v>29660.235800000006</v>
      </c>
      <c r="N33" s="79">
        <f t="shared" si="4"/>
        <v>10462.484200000001</v>
      </c>
      <c r="O33" s="79">
        <f t="shared" si="4"/>
        <v>20929.135000000006</v>
      </c>
      <c r="P33" s="79">
        <f t="shared" si="4"/>
        <v>6092.9844589999993</v>
      </c>
      <c r="Q33" s="79">
        <f t="shared" si="4"/>
        <v>49852.724299999994</v>
      </c>
      <c r="R33" s="79">
        <f>SUM(R10:R32)</f>
        <v>9688.5348634799975</v>
      </c>
      <c r="S33" s="79">
        <f t="shared" si="4"/>
        <v>0</v>
      </c>
      <c r="T33" s="79">
        <f t="shared" si="4"/>
        <v>14095.962638929997</v>
      </c>
      <c r="U33" s="79">
        <f t="shared" si="4"/>
        <v>45.800000000000004</v>
      </c>
      <c r="V33" s="79">
        <f t="shared" si="4"/>
        <v>14507.474099999999</v>
      </c>
      <c r="W33" s="79">
        <f t="shared" si="4"/>
        <v>5233971.4481867412</v>
      </c>
      <c r="X33" s="47"/>
      <c r="Y33" s="78">
        <f>SUM(Y10:Y32)</f>
        <v>209988.24901999996</v>
      </c>
      <c r="Z33" s="38"/>
      <c r="AA33" s="110">
        <f>SUM(AA10:AA32)</f>
        <v>0</v>
      </c>
      <c r="AB33" s="46"/>
      <c r="AC33" s="77">
        <f>SUM(AC10:AC32)</f>
        <v>5443959.6972067412</v>
      </c>
      <c r="AD33" s="29"/>
      <c r="AE33" s="25"/>
      <c r="AF33" s="163"/>
      <c r="AG33" s="46"/>
      <c r="AH33" s="34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64928.650900000001</v>
      </c>
      <c r="C34" s="40">
        <v>58196.549376859999</v>
      </c>
      <c r="D34" s="76">
        <f>B34+C34</f>
        <v>123125.20027686001</v>
      </c>
      <c r="E34" s="40">
        <v>0</v>
      </c>
      <c r="F34" s="76">
        <f>D34+E34</f>
        <v>123125.20027686001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655.74059999999997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123780.94087686001</v>
      </c>
      <c r="X34" s="36"/>
      <c r="Y34" s="42"/>
      <c r="Z34" s="38"/>
      <c r="AA34" s="109">
        <v>0</v>
      </c>
      <c r="AB34" s="36"/>
      <c r="AC34" s="76">
        <f>+W34+Y34+AA34</f>
        <v>123780.94087686001</v>
      </c>
      <c r="AD34" s="29"/>
      <c r="AE34" s="25"/>
      <c r="AF34" s="163"/>
      <c r="AG34" s="2"/>
      <c r="AH34" s="34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 t="shared" si="3"/>
        <v>0</v>
      </c>
      <c r="AD35" s="29"/>
      <c r="AF35" s="163"/>
      <c r="AG35" s="2"/>
      <c r="AH35" s="34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3538970.0420999997</v>
      </c>
      <c r="C36" s="40">
        <v>0</v>
      </c>
      <c r="D36" s="76">
        <f>B36+C36</f>
        <v>3538970.0420999997</v>
      </c>
      <c r="E36" s="40">
        <v>0</v>
      </c>
      <c r="F36" s="76">
        <f>D36+E36</f>
        <v>3538970.0420999997</v>
      </c>
      <c r="G36" s="40">
        <v>0</v>
      </c>
      <c r="H36" s="40">
        <v>0</v>
      </c>
      <c r="I36" s="40">
        <v>0</v>
      </c>
      <c r="J36" s="40">
        <v>15302.9845</v>
      </c>
      <c r="K36" s="40">
        <v>0</v>
      </c>
      <c r="L36" s="40">
        <v>0</v>
      </c>
      <c r="M36" s="40">
        <v>0</v>
      </c>
      <c r="N36" s="40">
        <v>0</v>
      </c>
      <c r="O36" s="40">
        <v>34810.385399999999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3589083.4119999995</v>
      </c>
      <c r="X36" s="36"/>
      <c r="Y36" s="42">
        <f>-SUM(Y33)</f>
        <v>-209988.24901999996</v>
      </c>
      <c r="Z36" s="38"/>
      <c r="AA36" s="43">
        <f>-(AA33+AA34)</f>
        <v>0</v>
      </c>
      <c r="AB36" s="36"/>
      <c r="AC36" s="76">
        <f>+W36+Y36+AA36</f>
        <v>3379095.1629799996</v>
      </c>
      <c r="AD36" s="29"/>
      <c r="AE36" s="25"/>
      <c r="AF36" s="163"/>
      <c r="AG36" s="2"/>
      <c r="AH36" s="3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442017.41810000001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33780.756799999996</v>
      </c>
      <c r="W37" s="76">
        <f>SUM(F37:V37)</f>
        <v>475798.17489999998</v>
      </c>
      <c r="X37" s="36"/>
      <c r="Y37" s="42"/>
      <c r="Z37" s="38"/>
      <c r="AA37" s="43"/>
      <c r="AB37" s="36"/>
      <c r="AC37" s="76">
        <f t="shared" si="3"/>
        <v>475798.17489999998</v>
      </c>
      <c r="AD37" s="29"/>
      <c r="AE37" s="25"/>
      <c r="AF37" s="163"/>
      <c r="AG37" s="2"/>
      <c r="AH37" s="34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87946.571599999996</v>
      </c>
      <c r="C38" s="39">
        <v>0</v>
      </c>
      <c r="D38" s="76">
        <f>B38+C38</f>
        <v>87946.571599999996</v>
      </c>
      <c r="E38" s="39">
        <v>0</v>
      </c>
      <c r="F38" s="76">
        <f>D38+E38</f>
        <v>87946.571599999996</v>
      </c>
      <c r="G38" s="39">
        <v>0</v>
      </c>
      <c r="H38" s="39">
        <v>0</v>
      </c>
      <c r="I38" s="39">
        <v>0</v>
      </c>
      <c r="J38" s="39">
        <v>367.5068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88314.078399999999</v>
      </c>
      <c r="X38" s="36"/>
      <c r="Y38" s="35"/>
      <c r="Z38" s="38"/>
      <c r="AA38" s="37"/>
      <c r="AB38" s="36"/>
      <c r="AC38" s="75">
        <f t="shared" si="3"/>
        <v>88314.078399999999</v>
      </c>
      <c r="AD38" s="29"/>
      <c r="AE38" s="25"/>
      <c r="AF38" s="163"/>
      <c r="AG38" s="2"/>
      <c r="AH38" s="3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27" customFormat="1" ht="20.100000000000001" customHeight="1" x14ac:dyDescent="0.2">
      <c r="A39" s="74" t="s">
        <v>15</v>
      </c>
      <c r="B39" s="73">
        <f>+SUM(B33:B38)</f>
        <v>7678191.505499999</v>
      </c>
      <c r="C39" s="73">
        <f>+SUM(C33:C38)</f>
        <v>1126835.282101281</v>
      </c>
      <c r="D39" s="73">
        <f>+SUM(D33:D38)</f>
        <v>8805026.7876012791</v>
      </c>
      <c r="E39" s="73">
        <f t="shared" ref="E39:V39" si="5">+SUM(E33:E38)</f>
        <v>107.0158</v>
      </c>
      <c r="F39" s="73">
        <f>SUM(F33:F38)</f>
        <v>8805133.8034012783</v>
      </c>
      <c r="G39" s="73">
        <f t="shared" si="5"/>
        <v>0</v>
      </c>
      <c r="H39" s="73">
        <f t="shared" si="5"/>
        <v>0</v>
      </c>
      <c r="I39" s="73">
        <f t="shared" si="5"/>
        <v>0</v>
      </c>
      <c r="J39" s="73">
        <f t="shared" si="5"/>
        <v>36794.371300000006</v>
      </c>
      <c r="K39" s="73">
        <f t="shared" si="5"/>
        <v>2466.0434</v>
      </c>
      <c r="L39" s="73">
        <f t="shared" si="5"/>
        <v>9.0999999999999997E-7</v>
      </c>
      <c r="M39" s="73">
        <f t="shared" si="5"/>
        <v>471677.65390000003</v>
      </c>
      <c r="N39" s="73">
        <f t="shared" si="5"/>
        <v>10462.484200000001</v>
      </c>
      <c r="O39" s="73">
        <f t="shared" si="5"/>
        <v>55739.520400000009</v>
      </c>
      <c r="P39" s="73">
        <f t="shared" si="5"/>
        <v>6092.9844589999993</v>
      </c>
      <c r="Q39" s="73">
        <f t="shared" si="5"/>
        <v>50508.464899999992</v>
      </c>
      <c r="R39" s="73">
        <f t="shared" si="5"/>
        <v>9688.5348634799975</v>
      </c>
      <c r="S39" s="73">
        <f t="shared" si="5"/>
        <v>0</v>
      </c>
      <c r="T39" s="73">
        <f t="shared" si="5"/>
        <v>14095.962638929997</v>
      </c>
      <c r="U39" s="73">
        <f t="shared" si="5"/>
        <v>45.800000000000004</v>
      </c>
      <c r="V39" s="73">
        <f t="shared" si="5"/>
        <v>48288.230899999995</v>
      </c>
      <c r="W39" s="73">
        <f>+SUM(W33:W38)</f>
        <v>9510948.0543636009</v>
      </c>
      <c r="X39" s="33"/>
      <c r="Y39" s="32">
        <f>+SUM(Y33:Y38)</f>
        <v>0</v>
      </c>
      <c r="Z39" s="31"/>
      <c r="AA39" s="111"/>
      <c r="AB39" s="30"/>
      <c r="AC39" s="72">
        <f>+SUM(AC33:AC38)</f>
        <v>9510948.0543636009</v>
      </c>
      <c r="AD39" s="29"/>
      <c r="AE39" s="25"/>
      <c r="AF39" s="163"/>
      <c r="AG39" s="28"/>
      <c r="AH39" s="20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1:52" ht="15" customHeight="1" x14ac:dyDescent="0.2">
      <c r="R40" s="29"/>
      <c r="T40" s="29"/>
      <c r="X40" s="26"/>
      <c r="Y40" s="26"/>
      <c r="Z40" s="26"/>
      <c r="AA40" s="26"/>
      <c r="AB40" s="26"/>
      <c r="AC40" s="26"/>
      <c r="AF40" s="164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F41" s="164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64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3"/>
      <c r="Y42" s="163"/>
      <c r="Z42" s="163"/>
      <c r="AA42" s="163"/>
      <c r="AB42" s="163"/>
      <c r="AC42" s="163"/>
      <c r="AD42" s="164"/>
      <c r="AF42" s="164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16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F43" s="164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6" customFormat="1" ht="15" customHeight="1" x14ac:dyDescent="0.2">
      <c r="A44" s="23" t="s">
        <v>14</v>
      </c>
      <c r="B44" s="22"/>
      <c r="C44" s="22"/>
      <c r="D44" s="21"/>
      <c r="E44" s="17">
        <v>4688686.3190000001</v>
      </c>
      <c r="F44" s="170"/>
      <c r="J44" s="4" t="s">
        <v>13</v>
      </c>
      <c r="K44" s="7" t="s">
        <v>12</v>
      </c>
      <c r="W44" s="20"/>
      <c r="AD44" s="7"/>
      <c r="AE44" s="7"/>
      <c r="AF44" s="171"/>
    </row>
    <row r="45" spans="1:52" s="6" customFormat="1" ht="15" customHeight="1" x14ac:dyDescent="0.2">
      <c r="A45" s="178" t="s">
        <v>11</v>
      </c>
      <c r="B45" s="179"/>
      <c r="C45" s="179"/>
      <c r="D45" s="18"/>
      <c r="E45" s="17">
        <v>3815483.8566000001</v>
      </c>
      <c r="F45" s="170"/>
      <c r="K45" s="7" t="s">
        <v>10</v>
      </c>
      <c r="W45" s="4"/>
      <c r="Y45" s="4"/>
      <c r="AA45" s="4"/>
      <c r="AC45" s="4"/>
      <c r="AD45" s="7"/>
      <c r="AE45" s="7"/>
      <c r="AF45" s="171"/>
    </row>
    <row r="46" spans="1:52" s="6" customFormat="1" ht="15" hidden="1" customHeight="1" x14ac:dyDescent="0.2">
      <c r="A46" s="233"/>
      <c r="B46" s="234"/>
      <c r="C46" s="234"/>
      <c r="D46" s="18"/>
      <c r="E46" s="17"/>
      <c r="F46" s="170"/>
      <c r="K46" s="6" t="s">
        <v>9</v>
      </c>
      <c r="AD46" s="7"/>
      <c r="AE46" s="7"/>
      <c r="AF46" s="171"/>
    </row>
    <row r="47" spans="1:52" s="6" customFormat="1" ht="15" customHeight="1" x14ac:dyDescent="0.2">
      <c r="A47" s="19" t="s">
        <v>8</v>
      </c>
      <c r="B47" s="179"/>
      <c r="C47" s="179"/>
      <c r="D47" s="18"/>
      <c r="E47" s="17">
        <v>253569.682</v>
      </c>
      <c r="F47" s="170"/>
      <c r="K47" s="7" t="s">
        <v>7</v>
      </c>
      <c r="AD47" s="7"/>
      <c r="AE47" s="7"/>
      <c r="AF47" s="171"/>
    </row>
    <row r="48" spans="1:52" s="6" customFormat="1" ht="15" customHeight="1" x14ac:dyDescent="0.2">
      <c r="A48" s="19" t="s">
        <v>6</v>
      </c>
      <c r="B48" s="179"/>
      <c r="C48" s="179"/>
      <c r="D48" s="18"/>
      <c r="E48" s="17">
        <v>102.94799999999999</v>
      </c>
      <c r="F48" s="170"/>
      <c r="K48" s="7" t="s">
        <v>119</v>
      </c>
      <c r="AD48" s="7"/>
      <c r="AE48" s="7"/>
      <c r="AF48" s="171"/>
    </row>
    <row r="49" spans="1:52" s="6" customFormat="1" ht="15" customHeight="1" x14ac:dyDescent="0.2">
      <c r="A49" s="178" t="s">
        <v>5</v>
      </c>
      <c r="B49" s="179"/>
      <c r="C49" s="179"/>
      <c r="D49" s="18"/>
      <c r="E49" s="17">
        <v>6438.5375999999997</v>
      </c>
      <c r="F49" s="170"/>
      <c r="AD49" s="7"/>
      <c r="AE49" s="7"/>
      <c r="AF49" s="171"/>
    </row>
    <row r="50" spans="1:52" s="6" customFormat="1" ht="15" customHeight="1" x14ac:dyDescent="0.2">
      <c r="A50" s="178" t="s">
        <v>4</v>
      </c>
      <c r="B50" s="179"/>
      <c r="C50" s="179"/>
      <c r="D50" s="18"/>
      <c r="E50" s="17">
        <v>30421.618999999999</v>
      </c>
      <c r="F50" s="170"/>
      <c r="AF50" s="172"/>
    </row>
    <row r="51" spans="1:52" s="6" customFormat="1" ht="15" customHeight="1" x14ac:dyDescent="0.2">
      <c r="A51" s="19" t="s">
        <v>3</v>
      </c>
      <c r="B51" s="179"/>
      <c r="C51" s="179"/>
      <c r="D51" s="18"/>
      <c r="E51" s="17">
        <v>10430.841201278687</v>
      </c>
      <c r="F51" s="170"/>
      <c r="AF51" s="172"/>
    </row>
    <row r="52" spans="1:52" s="70" customFormat="1" ht="20.100000000000001" customHeight="1" x14ac:dyDescent="0.2">
      <c r="A52" s="237" t="s">
        <v>100</v>
      </c>
      <c r="B52" s="238"/>
      <c r="C52" s="238"/>
      <c r="D52" s="112"/>
      <c r="E52" s="71">
        <f>SUM(E44:E51)</f>
        <v>8805133.8034012802</v>
      </c>
      <c r="F52" s="173"/>
      <c r="AF52" s="174"/>
    </row>
    <row r="53" spans="1:52" s="6" customFormat="1" ht="15" customHeight="1" x14ac:dyDescent="0.2">
      <c r="A53" s="233"/>
      <c r="B53" s="234"/>
      <c r="C53" s="234"/>
      <c r="D53" s="18"/>
      <c r="E53" s="17">
        <v>0</v>
      </c>
      <c r="F53" s="170"/>
      <c r="AF53" s="172"/>
    </row>
    <row r="54" spans="1:52" s="6" customFormat="1" ht="15" customHeight="1" x14ac:dyDescent="0.2">
      <c r="A54" s="233" t="s">
        <v>2</v>
      </c>
      <c r="B54" s="234"/>
      <c r="C54" s="234"/>
      <c r="D54" s="18"/>
      <c r="E54" s="17">
        <v>45.8</v>
      </c>
      <c r="F54" s="170"/>
      <c r="AF54" s="172"/>
    </row>
    <row r="55" spans="1:52" s="6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8805088.0034012794</v>
      </c>
      <c r="F55" s="170"/>
      <c r="AF55" s="172"/>
    </row>
    <row r="56" spans="1:52" x14ac:dyDescent="0.2">
      <c r="A56" s="6"/>
      <c r="B56" s="6"/>
      <c r="C56" s="6"/>
      <c r="D56" s="6"/>
      <c r="E56" s="2"/>
      <c r="F56" s="16"/>
      <c r="G56" s="14"/>
      <c r="H56" s="14"/>
      <c r="I56" s="14"/>
      <c r="J56" s="15"/>
      <c r="K56" s="6"/>
      <c r="L56" s="14"/>
      <c r="M56" s="14"/>
      <c r="N56" s="14"/>
      <c r="O56" s="7"/>
      <c r="P56" s="7"/>
      <c r="Q56" s="7"/>
      <c r="R56" s="7"/>
      <c r="S56" s="7"/>
      <c r="T56" s="7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17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6"/>
      <c r="C57" s="6"/>
      <c r="D57" s="6"/>
      <c r="E57" s="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17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67" t="s">
        <v>109</v>
      </c>
      <c r="B58" s="6"/>
      <c r="C58" s="6"/>
      <c r="D58" s="6"/>
      <c r="E58" s="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17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D59" s="7"/>
      <c r="AE59" s="2"/>
      <c r="AF59" s="17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66" t="s">
        <v>96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V60" s="2"/>
      <c r="W60" s="4"/>
      <c r="X60" s="6"/>
      <c r="Y60" s="5"/>
      <c r="Z60" s="2"/>
      <c r="AA60" s="4"/>
      <c r="AB60" s="2"/>
      <c r="AC60" s="4"/>
      <c r="AD60" s="2"/>
      <c r="AE60" s="2"/>
      <c r="AF60" s="17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17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17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17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17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4"/>
      <c r="X65" s="2"/>
      <c r="Y65" s="2"/>
      <c r="Z65" s="2"/>
      <c r="AA65" s="2"/>
      <c r="AB65" s="2"/>
      <c r="AC65" s="2"/>
      <c r="AD65" s="2"/>
      <c r="AE65" s="2"/>
      <c r="AF65" s="17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176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17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176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176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A52:C52"/>
    <mergeCell ref="A53:C53"/>
    <mergeCell ref="A54:C54"/>
    <mergeCell ref="A55:C55"/>
    <mergeCell ref="G6:I7"/>
    <mergeCell ref="R6:T6"/>
    <mergeCell ref="R7:T7"/>
    <mergeCell ref="P8:P9"/>
    <mergeCell ref="T8:T9"/>
    <mergeCell ref="A46:C46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 W33 F33" formula="1"/>
    <ignoredError sqref="W9:Y9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Z77"/>
  <sheetViews>
    <sheetView showGridLines="0" showZeros="0" topLeftCell="J13" zoomScaleNormal="100" workbookViewId="0">
      <selection activeCell="K49" sqref="K49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16384" width="27.5546875" style="1"/>
  </cols>
  <sheetData>
    <row r="1" spans="1:52" ht="36.75" customHeight="1" x14ac:dyDescent="0.25">
      <c r="A1" s="65"/>
      <c r="B1" s="50"/>
      <c r="C1" s="64"/>
      <c r="D1" s="50"/>
      <c r="E1" s="50"/>
      <c r="F1" s="50"/>
      <c r="G1" s="50"/>
      <c r="H1" s="50"/>
      <c r="I1" s="50"/>
      <c r="J1" s="50"/>
      <c r="K1" s="50"/>
      <c r="M1" s="63"/>
      <c r="O1" s="50"/>
      <c r="P1" s="50"/>
      <c r="Q1" s="50"/>
      <c r="R1" s="50"/>
      <c r="S1" s="50"/>
      <c r="T1" s="50"/>
      <c r="U1" s="50"/>
      <c r="V1" s="50"/>
      <c r="W1" s="62" t="s">
        <v>94</v>
      </c>
      <c r="Y1" s="61"/>
      <c r="AA1" s="61"/>
      <c r="AC1" s="61"/>
    </row>
    <row r="2" spans="1:52" s="57" customFormat="1" ht="18" customHeight="1" x14ac:dyDescent="0.2">
      <c r="A2" s="60"/>
      <c r="B2" s="27"/>
      <c r="C2" s="27"/>
      <c r="D2" s="28"/>
      <c r="E2" s="27"/>
      <c r="F2" s="27"/>
      <c r="G2" s="27"/>
      <c r="H2" s="27"/>
      <c r="I2" s="27"/>
      <c r="J2" s="27"/>
      <c r="K2" s="27"/>
      <c r="M2" s="59"/>
      <c r="N2" s="58"/>
      <c r="O2" s="27"/>
      <c r="P2" s="27"/>
      <c r="Q2" s="27"/>
      <c r="R2" s="27"/>
      <c r="S2" s="27"/>
      <c r="T2" s="27"/>
      <c r="U2" s="27"/>
      <c r="V2" s="27"/>
      <c r="W2" s="5"/>
      <c r="Y2" s="5"/>
      <c r="AA2" s="5"/>
      <c r="AC2" s="5"/>
    </row>
    <row r="3" spans="1:52" ht="21" customHeight="1" x14ac:dyDescent="0.2">
      <c r="A3" s="56"/>
      <c r="B3" s="50"/>
      <c r="C3" s="50"/>
      <c r="D3" s="56"/>
      <c r="E3" s="50"/>
      <c r="F3" s="51"/>
      <c r="G3" s="50"/>
      <c r="H3" s="50"/>
      <c r="I3" s="51"/>
      <c r="J3" s="50"/>
      <c r="K3" s="50"/>
      <c r="M3" s="55"/>
      <c r="N3" s="54"/>
      <c r="O3" s="50"/>
      <c r="P3" s="50"/>
      <c r="Q3" s="50"/>
      <c r="R3" s="50"/>
      <c r="S3" s="50"/>
      <c r="T3" s="50"/>
      <c r="U3" s="50"/>
      <c r="V3" s="50"/>
      <c r="W3" s="5"/>
      <c r="Y3" s="5"/>
      <c r="AA3" s="5"/>
      <c r="AC3" s="5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50"/>
      <c r="B5" s="50"/>
      <c r="C5" s="50"/>
      <c r="D5" s="50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49"/>
      <c r="Y5" s="48"/>
      <c r="AA5" s="48"/>
      <c r="AC5" s="48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84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84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89"/>
      <c r="T8" s="245" t="s">
        <v>62</v>
      </c>
      <c r="U8" s="83" t="s">
        <v>61</v>
      </c>
      <c r="V8" s="84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13"/>
      <c r="AE8" s="13"/>
      <c r="AF8" s="24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84" t="s">
        <v>51</v>
      </c>
      <c r="O9" s="83" t="s">
        <v>50</v>
      </c>
      <c r="P9" s="251"/>
      <c r="Q9" s="83"/>
      <c r="R9" s="83" t="s">
        <v>49</v>
      </c>
      <c r="S9" s="84"/>
      <c r="T9" s="246"/>
      <c r="U9" s="83" t="s">
        <v>48</v>
      </c>
      <c r="V9" s="84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24"/>
      <c r="AE9" s="24"/>
      <c r="AF9" s="24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566084.14890000003</v>
      </c>
      <c r="C10" s="40">
        <v>362760.55308448029</v>
      </c>
      <c r="D10" s="76">
        <f t="shared" ref="D10:D32" si="0">B10+C10</f>
        <v>928844.70198448026</v>
      </c>
      <c r="E10" s="40">
        <v>35.008399999999995</v>
      </c>
      <c r="F10" s="76">
        <f t="shared" ref="F10:F32" si="1">D10+E10</f>
        <v>928879.71038448031</v>
      </c>
      <c r="G10" s="40">
        <v>0</v>
      </c>
      <c r="H10" s="40">
        <v>0</v>
      </c>
      <c r="I10" s="40">
        <v>0</v>
      </c>
      <c r="J10" s="40">
        <v>133544.01449999999</v>
      </c>
      <c r="K10" s="40">
        <v>31792.926800000001</v>
      </c>
      <c r="L10" s="40">
        <v>0</v>
      </c>
      <c r="M10" s="40">
        <v>15214.8074</v>
      </c>
      <c r="N10" s="40">
        <v>2450.7122999999997</v>
      </c>
      <c r="O10" s="40">
        <v>5043.4679000000006</v>
      </c>
      <c r="P10" s="40">
        <v>120.89180451545191</v>
      </c>
      <c r="Q10" s="40">
        <v>7899.1299000000008</v>
      </c>
      <c r="R10" s="40">
        <v>664.54907954777366</v>
      </c>
      <c r="S10" s="40">
        <v>0</v>
      </c>
      <c r="T10" s="40">
        <v>140.11588322263276</v>
      </c>
      <c r="U10" s="40">
        <v>0</v>
      </c>
      <c r="V10" s="40">
        <v>3210.9056</v>
      </c>
      <c r="W10" s="76">
        <f t="shared" ref="W10:W32" si="2">SUM(F10:V10)</f>
        <v>1128961.2315517662</v>
      </c>
      <c r="X10" s="36"/>
      <c r="Y10" s="42">
        <v>113812.22571699999</v>
      </c>
      <c r="Z10" s="38"/>
      <c r="AA10" s="109">
        <v>0</v>
      </c>
      <c r="AB10" s="36"/>
      <c r="AC10" s="76">
        <f t="shared" ref="AC10:AC32" si="3">+W10+Y10+AA10</f>
        <v>1242773.4572687661</v>
      </c>
      <c r="AD10" s="29"/>
      <c r="AE10" s="25"/>
      <c r="AF10" s="163"/>
      <c r="AG10" s="2"/>
      <c r="AH10" s="3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99559.068200000009</v>
      </c>
      <c r="C11" s="40">
        <v>16941.21293407998</v>
      </c>
      <c r="D11" s="76">
        <f t="shared" si="0"/>
        <v>116500.28113408</v>
      </c>
      <c r="E11" s="40">
        <v>1.7832999999999999</v>
      </c>
      <c r="F11" s="76">
        <f t="shared" si="1"/>
        <v>116502.06443407999</v>
      </c>
      <c r="G11" s="40">
        <v>0</v>
      </c>
      <c r="H11" s="40">
        <v>0</v>
      </c>
      <c r="I11" s="40">
        <v>0</v>
      </c>
      <c r="J11" s="40">
        <v>16749.748599999999</v>
      </c>
      <c r="K11" s="40">
        <v>0</v>
      </c>
      <c r="L11" s="40">
        <v>0</v>
      </c>
      <c r="M11" s="40">
        <v>0</v>
      </c>
      <c r="N11" s="40">
        <v>307.38509999999997</v>
      </c>
      <c r="O11" s="40">
        <v>528.95259999999996</v>
      </c>
      <c r="P11" s="40">
        <v>182.20153098019918</v>
      </c>
      <c r="Q11" s="40">
        <v>1144.0119</v>
      </c>
      <c r="R11" s="40">
        <v>872.43180812137825</v>
      </c>
      <c r="S11" s="40">
        <v>0</v>
      </c>
      <c r="T11" s="40">
        <v>211.17501338783191</v>
      </c>
      <c r="U11" s="40">
        <v>2.2000000000000002</v>
      </c>
      <c r="V11" s="40">
        <v>402.73379999999997</v>
      </c>
      <c r="W11" s="76">
        <f t="shared" si="2"/>
        <v>136902.90478656944</v>
      </c>
      <c r="X11" s="36"/>
      <c r="Y11" s="42">
        <v>381.983315</v>
      </c>
      <c r="Z11" s="38"/>
      <c r="AA11" s="43">
        <v>0</v>
      </c>
      <c r="AB11" s="36"/>
      <c r="AC11" s="76">
        <f t="shared" si="3"/>
        <v>137284.88810156944</v>
      </c>
      <c r="AD11" s="29"/>
      <c r="AE11" s="25"/>
      <c r="AF11" s="163"/>
      <c r="AG11" s="2"/>
      <c r="AH11" s="34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297641.25669999997</v>
      </c>
      <c r="C12" s="40">
        <v>77929.579496639941</v>
      </c>
      <c r="D12" s="76">
        <f t="shared" si="0"/>
        <v>375570.83619663992</v>
      </c>
      <c r="E12" s="40">
        <v>10.441700000000001</v>
      </c>
      <c r="F12" s="76">
        <f t="shared" si="1"/>
        <v>375581.27789663995</v>
      </c>
      <c r="G12" s="40">
        <v>0</v>
      </c>
      <c r="H12" s="40">
        <v>0</v>
      </c>
      <c r="I12" s="40">
        <v>0</v>
      </c>
      <c r="J12" s="40">
        <v>53997.441200000001</v>
      </c>
      <c r="K12" s="40">
        <v>10857.420900000001</v>
      </c>
      <c r="L12" s="40">
        <v>0</v>
      </c>
      <c r="M12" s="40">
        <v>5195.9219999999996</v>
      </c>
      <c r="N12" s="40">
        <v>990.93190000000004</v>
      </c>
      <c r="O12" s="40">
        <v>2765.7906000000003</v>
      </c>
      <c r="P12" s="40">
        <v>120.89180451545191</v>
      </c>
      <c r="Q12" s="40">
        <v>3077.9367999999999</v>
      </c>
      <c r="R12" s="40">
        <v>526.34425895092568</v>
      </c>
      <c r="S12" s="40">
        <v>0</v>
      </c>
      <c r="T12" s="40">
        <v>140.11588322263276</v>
      </c>
      <c r="U12" s="40">
        <v>0.5</v>
      </c>
      <c r="V12" s="40">
        <v>1298.3117999999999</v>
      </c>
      <c r="W12" s="76">
        <f t="shared" si="2"/>
        <v>454552.88504332904</v>
      </c>
      <c r="X12" s="36"/>
      <c r="Y12" s="42">
        <v>3547.442994</v>
      </c>
      <c r="Z12" s="38"/>
      <c r="AA12" s="43">
        <v>0</v>
      </c>
      <c r="AB12" s="36"/>
      <c r="AC12" s="76">
        <f t="shared" si="3"/>
        <v>458100.32803732902</v>
      </c>
      <c r="AD12" s="29"/>
      <c r="AE12" s="25"/>
      <c r="AF12" s="163"/>
      <c r="AG12" s="2"/>
      <c r="AH12" s="34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121712.747</v>
      </c>
      <c r="C13" s="40">
        <v>35521.898087360023</v>
      </c>
      <c r="D13" s="76">
        <f t="shared" si="0"/>
        <v>157234.64508736003</v>
      </c>
      <c r="E13" s="40">
        <v>3.2166999999999999</v>
      </c>
      <c r="F13" s="76">
        <f t="shared" si="1"/>
        <v>157237.86178736002</v>
      </c>
      <c r="G13" s="40">
        <v>0</v>
      </c>
      <c r="H13" s="40">
        <v>0</v>
      </c>
      <c r="I13" s="40">
        <v>0</v>
      </c>
      <c r="J13" s="40">
        <v>22606.304</v>
      </c>
      <c r="K13" s="40">
        <v>3471.7001</v>
      </c>
      <c r="L13" s="40">
        <v>0</v>
      </c>
      <c r="M13" s="40">
        <v>1661.4151000000002</v>
      </c>
      <c r="N13" s="40">
        <v>414.85829999999999</v>
      </c>
      <c r="O13" s="40">
        <v>674.23450000000003</v>
      </c>
      <c r="P13" s="40">
        <v>153.04837949564549</v>
      </c>
      <c r="Q13" s="40">
        <v>2696.5994999999998</v>
      </c>
      <c r="R13" s="40">
        <v>737.44991145593895</v>
      </c>
      <c r="S13" s="40">
        <v>0</v>
      </c>
      <c r="T13" s="40">
        <v>177.38596054641201</v>
      </c>
      <c r="U13" s="40">
        <v>1.5</v>
      </c>
      <c r="V13" s="40">
        <v>543.54430000000002</v>
      </c>
      <c r="W13" s="76">
        <f t="shared" si="2"/>
        <v>190375.90183885803</v>
      </c>
      <c r="X13" s="36"/>
      <c r="Y13" s="42">
        <v>6119.7990530000006</v>
      </c>
      <c r="Z13" s="38"/>
      <c r="AA13" s="43">
        <v>0</v>
      </c>
      <c r="AB13" s="36"/>
      <c r="AC13" s="76">
        <f t="shared" si="3"/>
        <v>196495.70089185802</v>
      </c>
      <c r="AD13" s="29"/>
      <c r="AE13" s="25"/>
      <c r="AF13" s="163"/>
      <c r="AG13" s="2"/>
      <c r="AH13" s="3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171328.77790000002</v>
      </c>
      <c r="C14" s="40">
        <v>39675.227710080049</v>
      </c>
      <c r="D14" s="76">
        <f t="shared" si="0"/>
        <v>211004.00561008006</v>
      </c>
      <c r="E14" s="40">
        <v>2.8</v>
      </c>
      <c r="F14" s="76">
        <f t="shared" si="1"/>
        <v>211006.80561008005</v>
      </c>
      <c r="G14" s="40">
        <v>0</v>
      </c>
      <c r="H14" s="40">
        <v>0</v>
      </c>
      <c r="I14" s="40">
        <v>0</v>
      </c>
      <c r="J14" s="40">
        <v>30336.957200000001</v>
      </c>
      <c r="K14" s="40">
        <v>2729.3458999999998</v>
      </c>
      <c r="L14" s="40">
        <v>0</v>
      </c>
      <c r="M14" s="40">
        <v>1306.1543999999999</v>
      </c>
      <c r="N14" s="40">
        <v>556.73090000000002</v>
      </c>
      <c r="O14" s="40">
        <v>698.6979</v>
      </c>
      <c r="P14" s="40">
        <v>162.55062002015288</v>
      </c>
      <c r="Q14" s="40">
        <v>2505.9308999999998</v>
      </c>
      <c r="R14" s="40">
        <v>769.18765585558754</v>
      </c>
      <c r="S14" s="40">
        <v>0</v>
      </c>
      <c r="T14" s="40">
        <v>188.39923668256381</v>
      </c>
      <c r="U14" s="40">
        <v>0.5</v>
      </c>
      <c r="V14" s="40">
        <v>729.4248</v>
      </c>
      <c r="W14" s="76">
        <f t="shared" si="2"/>
        <v>250990.68512263836</v>
      </c>
      <c r="X14" s="36"/>
      <c r="Y14" s="42">
        <v>7369.4987259999998</v>
      </c>
      <c r="Z14" s="38"/>
      <c r="AA14" s="43">
        <v>0</v>
      </c>
      <c r="AB14" s="36"/>
      <c r="AC14" s="76">
        <f t="shared" si="3"/>
        <v>258360.18384863835</v>
      </c>
      <c r="AD14" s="29"/>
      <c r="AE14" s="25"/>
      <c r="AF14" s="163"/>
      <c r="AG14" s="2"/>
      <c r="AH14" s="3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50607.168399999995</v>
      </c>
      <c r="C15" s="40">
        <v>16285.424046400012</v>
      </c>
      <c r="D15" s="76">
        <f t="shared" si="0"/>
        <v>66892.592446400013</v>
      </c>
      <c r="E15" s="40">
        <v>2.0167000000000002</v>
      </c>
      <c r="F15" s="76">
        <f t="shared" si="1"/>
        <v>66894.609146400006</v>
      </c>
      <c r="G15" s="40">
        <v>0</v>
      </c>
      <c r="H15" s="40">
        <v>0</v>
      </c>
      <c r="I15" s="40">
        <v>0</v>
      </c>
      <c r="J15" s="40">
        <v>9617.4369000000006</v>
      </c>
      <c r="K15" s="40">
        <v>1067.6688999999999</v>
      </c>
      <c r="L15" s="40">
        <v>0</v>
      </c>
      <c r="M15" s="40">
        <v>510.94309999999996</v>
      </c>
      <c r="N15" s="40">
        <v>176.49779999999998</v>
      </c>
      <c r="O15" s="40">
        <v>594.0462</v>
      </c>
      <c r="P15" s="40">
        <v>170.43155579767159</v>
      </c>
      <c r="Q15" s="40">
        <v>1743.2563</v>
      </c>
      <c r="R15" s="40">
        <v>1019.9939141891654</v>
      </c>
      <c r="S15" s="40">
        <v>0</v>
      </c>
      <c r="T15" s="40">
        <v>197.53339000494708</v>
      </c>
      <c r="U15" s="40">
        <v>3</v>
      </c>
      <c r="V15" s="40">
        <v>231.24610000000001</v>
      </c>
      <c r="W15" s="76">
        <f t="shared" si="2"/>
        <v>82226.663306391783</v>
      </c>
      <c r="X15" s="36"/>
      <c r="Y15" s="42">
        <v>1268.4131150000001</v>
      </c>
      <c r="Z15" s="38"/>
      <c r="AA15" s="43">
        <v>0</v>
      </c>
      <c r="AB15" s="36"/>
      <c r="AC15" s="76">
        <f t="shared" si="3"/>
        <v>83495.076421391786</v>
      </c>
      <c r="AD15" s="29"/>
      <c r="AE15" s="25"/>
      <c r="AF15" s="163"/>
      <c r="AG15" s="2"/>
      <c r="AH15" s="34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172312.90519999998</v>
      </c>
      <c r="C16" s="40">
        <v>34210.320311999996</v>
      </c>
      <c r="D16" s="76">
        <f t="shared" si="0"/>
        <v>206523.22551199998</v>
      </c>
      <c r="E16" s="40">
        <v>5.6249000000000002</v>
      </c>
      <c r="F16" s="76">
        <f t="shared" si="1"/>
        <v>206528.85041199997</v>
      </c>
      <c r="G16" s="40">
        <v>0</v>
      </c>
      <c r="H16" s="40">
        <v>0</v>
      </c>
      <c r="I16" s="40">
        <v>0</v>
      </c>
      <c r="J16" s="40">
        <v>29692.736100000002</v>
      </c>
      <c r="K16" s="40">
        <v>4711.8816999999999</v>
      </c>
      <c r="L16" s="40">
        <v>0</v>
      </c>
      <c r="M16" s="40">
        <v>2254.9156999999996</v>
      </c>
      <c r="N16" s="40">
        <v>544.89969999999994</v>
      </c>
      <c r="O16" s="40">
        <v>922.14819999999997</v>
      </c>
      <c r="P16" s="40">
        <v>139.89070689913351</v>
      </c>
      <c r="Q16" s="40">
        <v>2124.5936000000002</v>
      </c>
      <c r="R16" s="40">
        <v>734.98712344443345</v>
      </c>
      <c r="S16" s="40">
        <v>0</v>
      </c>
      <c r="T16" s="40">
        <v>162.13596967480387</v>
      </c>
      <c r="U16" s="40">
        <v>1.8</v>
      </c>
      <c r="V16" s="40">
        <v>713.92369999999994</v>
      </c>
      <c r="W16" s="76">
        <f t="shared" si="2"/>
        <v>248532.76291201837</v>
      </c>
      <c r="X16" s="36"/>
      <c r="Y16" s="42">
        <v>2854.2221039999999</v>
      </c>
      <c r="Z16" s="38"/>
      <c r="AA16" s="43">
        <v>0</v>
      </c>
      <c r="AB16" s="36"/>
      <c r="AC16" s="76">
        <f t="shared" si="3"/>
        <v>251386.98501601836</v>
      </c>
      <c r="AD16" s="29"/>
      <c r="AE16" s="25"/>
      <c r="AF16" s="163"/>
      <c r="AG16" s="2"/>
      <c r="AH16" s="34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130804.68859999999</v>
      </c>
      <c r="C17" s="40">
        <v>23171.207367999999</v>
      </c>
      <c r="D17" s="76">
        <f t="shared" si="0"/>
        <v>153975.895968</v>
      </c>
      <c r="E17" s="40">
        <v>1.7251000000000001</v>
      </c>
      <c r="F17" s="76">
        <f t="shared" si="1"/>
        <v>153977.62106800001</v>
      </c>
      <c r="G17" s="40">
        <v>0</v>
      </c>
      <c r="H17" s="40">
        <v>0</v>
      </c>
      <c r="I17" s="40">
        <v>0</v>
      </c>
      <c r="J17" s="40">
        <v>22137.779600000002</v>
      </c>
      <c r="K17" s="40">
        <v>1271.3826000000001</v>
      </c>
      <c r="L17" s="40">
        <v>0</v>
      </c>
      <c r="M17" s="40">
        <v>608.43219999999997</v>
      </c>
      <c r="N17" s="40">
        <v>406.26400000000001</v>
      </c>
      <c r="O17" s="40">
        <v>479.78990000000005</v>
      </c>
      <c r="P17" s="40">
        <v>187.83565217142842</v>
      </c>
      <c r="Q17" s="40">
        <v>2179.0702999999999</v>
      </c>
      <c r="R17" s="40">
        <v>802.28334147934584</v>
      </c>
      <c r="S17" s="40">
        <v>0</v>
      </c>
      <c r="T17" s="40">
        <v>217.70506618864161</v>
      </c>
      <c r="U17" s="40">
        <v>2.2000000000000002</v>
      </c>
      <c r="V17" s="40">
        <v>532.28419999999994</v>
      </c>
      <c r="W17" s="76">
        <f t="shared" si="2"/>
        <v>182802.64792783945</v>
      </c>
      <c r="X17" s="36"/>
      <c r="Y17" s="42">
        <v>3382.3452110000003</v>
      </c>
      <c r="Z17" s="38"/>
      <c r="AA17" s="43">
        <v>0</v>
      </c>
      <c r="AB17" s="36"/>
      <c r="AC17" s="76">
        <f t="shared" si="3"/>
        <v>186184.99313883946</v>
      </c>
      <c r="AD17" s="29"/>
      <c r="AE17" s="25"/>
      <c r="AF17" s="163"/>
      <c r="AG17" s="2"/>
      <c r="AH17" s="34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97978.849799999996</v>
      </c>
      <c r="C18" s="40">
        <v>22187.524036159957</v>
      </c>
      <c r="D18" s="76">
        <f t="shared" si="0"/>
        <v>120166.37383615995</v>
      </c>
      <c r="E18" s="40">
        <v>2.7749999999999999</v>
      </c>
      <c r="F18" s="76">
        <f t="shared" si="1"/>
        <v>120169.14883615995</v>
      </c>
      <c r="G18" s="40">
        <v>0</v>
      </c>
      <c r="H18" s="40">
        <v>0</v>
      </c>
      <c r="I18" s="40">
        <v>0</v>
      </c>
      <c r="J18" s="40">
        <v>17276.838600000003</v>
      </c>
      <c r="K18" s="40">
        <v>0</v>
      </c>
      <c r="L18" s="40">
        <v>0</v>
      </c>
      <c r="M18" s="40">
        <v>0</v>
      </c>
      <c r="N18" s="40">
        <v>317.05079999999998</v>
      </c>
      <c r="O18" s="40">
        <v>490.97709999999995</v>
      </c>
      <c r="P18" s="40">
        <v>151.57665317160857</v>
      </c>
      <c r="Q18" s="40">
        <v>1634.3027</v>
      </c>
      <c r="R18" s="40">
        <v>787.02305014724732</v>
      </c>
      <c r="S18" s="40">
        <v>0</v>
      </c>
      <c r="T18" s="40">
        <v>175.68020196773554</v>
      </c>
      <c r="U18" s="40">
        <v>2.2000000000000002</v>
      </c>
      <c r="V18" s="40">
        <v>415.39769999999999</v>
      </c>
      <c r="W18" s="76">
        <f t="shared" si="2"/>
        <v>141420.19564144657</v>
      </c>
      <c r="X18" s="36"/>
      <c r="Y18" s="42">
        <v>3416.4888569999998</v>
      </c>
      <c r="Z18" s="38"/>
      <c r="AA18" s="43">
        <v>0</v>
      </c>
      <c r="AB18" s="36"/>
      <c r="AC18" s="76">
        <f t="shared" si="3"/>
        <v>144836.68449844656</v>
      </c>
      <c r="AD18" s="29"/>
      <c r="AE18" s="25"/>
      <c r="AF18" s="163"/>
      <c r="AG18" s="2"/>
      <c r="AH18" s="3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69388.741900000008</v>
      </c>
      <c r="C19" s="40">
        <v>11585.603683839981</v>
      </c>
      <c r="D19" s="76">
        <f t="shared" si="0"/>
        <v>80974.345583839982</v>
      </c>
      <c r="E19" s="40">
        <v>1.6</v>
      </c>
      <c r="F19" s="76">
        <f t="shared" si="1"/>
        <v>80975.945583839988</v>
      </c>
      <c r="G19" s="40">
        <v>0</v>
      </c>
      <c r="H19" s="40">
        <v>0</v>
      </c>
      <c r="I19" s="40">
        <v>0</v>
      </c>
      <c r="J19" s="40">
        <v>11641.469499999999</v>
      </c>
      <c r="K19" s="40">
        <v>937.55449999999996</v>
      </c>
      <c r="L19" s="40">
        <v>1.8E-7</v>
      </c>
      <c r="M19" s="40">
        <v>448.6979</v>
      </c>
      <c r="N19" s="40">
        <v>214.0076</v>
      </c>
      <c r="O19" s="40">
        <v>619.96930000000009</v>
      </c>
      <c r="P19" s="40">
        <v>134.55783459667342</v>
      </c>
      <c r="Q19" s="40">
        <v>1112.5651</v>
      </c>
      <c r="R19" s="40">
        <v>1013.247687729208</v>
      </c>
      <c r="S19" s="40">
        <v>0</v>
      </c>
      <c r="T19" s="40">
        <v>155.95507001250508</v>
      </c>
      <c r="U19" s="40">
        <v>2.5</v>
      </c>
      <c r="V19" s="40">
        <v>279.90540000000004</v>
      </c>
      <c r="W19" s="76">
        <f t="shared" si="2"/>
        <v>97536.3754763584</v>
      </c>
      <c r="X19" s="36"/>
      <c r="Y19" s="42">
        <v>0</v>
      </c>
      <c r="Z19" s="38"/>
      <c r="AA19" s="43">
        <v>0</v>
      </c>
      <c r="AB19" s="36"/>
      <c r="AC19" s="76">
        <f t="shared" si="3"/>
        <v>97536.3754763584</v>
      </c>
      <c r="AD19" s="29"/>
      <c r="AE19" s="25"/>
      <c r="AF19" s="163"/>
      <c r="AG19" s="2"/>
      <c r="AH19" s="34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74353.806700000001</v>
      </c>
      <c r="C20" s="40">
        <v>13225.07590335999</v>
      </c>
      <c r="D20" s="76">
        <f t="shared" si="0"/>
        <v>87578.882603359991</v>
      </c>
      <c r="E20" s="40">
        <v>1.6916</v>
      </c>
      <c r="F20" s="76">
        <f t="shared" si="1"/>
        <v>87580.574203359996</v>
      </c>
      <c r="G20" s="40">
        <v>0</v>
      </c>
      <c r="H20" s="40">
        <v>0</v>
      </c>
      <c r="I20" s="40">
        <v>0</v>
      </c>
      <c r="J20" s="40">
        <v>12591.5942</v>
      </c>
      <c r="K20" s="40">
        <v>0</v>
      </c>
      <c r="L20" s="40">
        <v>0</v>
      </c>
      <c r="M20" s="40">
        <v>0</v>
      </c>
      <c r="N20" s="40">
        <v>231.0746</v>
      </c>
      <c r="O20" s="40">
        <v>479.78609999999998</v>
      </c>
      <c r="P20" s="40">
        <v>177.28287588961965</v>
      </c>
      <c r="Q20" s="40">
        <v>1089.5352</v>
      </c>
      <c r="R20" s="40">
        <v>945.16865554908213</v>
      </c>
      <c r="S20" s="40">
        <v>0</v>
      </c>
      <c r="T20" s="40">
        <v>205.47419929963419</v>
      </c>
      <c r="U20" s="40">
        <v>2.2000000000000002</v>
      </c>
      <c r="V20" s="40">
        <v>302.75220000000002</v>
      </c>
      <c r="W20" s="76">
        <f t="shared" si="2"/>
        <v>103605.44223409834</v>
      </c>
      <c r="X20" s="36"/>
      <c r="Y20" s="42">
        <v>817.4244030000001</v>
      </c>
      <c r="Z20" s="38"/>
      <c r="AA20" s="43">
        <v>0</v>
      </c>
      <c r="AB20" s="36"/>
      <c r="AC20" s="76">
        <f t="shared" si="3"/>
        <v>104422.86663709834</v>
      </c>
      <c r="AD20" s="29"/>
      <c r="AE20" s="25"/>
      <c r="AF20" s="163"/>
      <c r="AG20" s="2"/>
      <c r="AH20" s="34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126430.5426</v>
      </c>
      <c r="C21" s="40">
        <v>49949.25361856004</v>
      </c>
      <c r="D21" s="76">
        <f t="shared" si="0"/>
        <v>176379.79621856005</v>
      </c>
      <c r="E21" s="40">
        <v>5.1416000000000004</v>
      </c>
      <c r="F21" s="76">
        <f t="shared" si="1"/>
        <v>176384.93781856005</v>
      </c>
      <c r="G21" s="40">
        <v>0</v>
      </c>
      <c r="H21" s="40">
        <v>0</v>
      </c>
      <c r="I21" s="40">
        <v>0</v>
      </c>
      <c r="J21" s="40">
        <v>25358.885100000003</v>
      </c>
      <c r="K21" s="40">
        <v>0</v>
      </c>
      <c r="L21" s="40">
        <v>0</v>
      </c>
      <c r="M21" s="40">
        <v>0</v>
      </c>
      <c r="N21" s="40">
        <v>465.37479999999999</v>
      </c>
      <c r="O21" s="40">
        <v>971.83910000000003</v>
      </c>
      <c r="P21" s="40">
        <v>137.6058875348989</v>
      </c>
      <c r="Q21" s="40">
        <v>2179.0702999999999</v>
      </c>
      <c r="R21" s="40">
        <v>592.84701472266738</v>
      </c>
      <c r="S21" s="40">
        <v>0</v>
      </c>
      <c r="T21" s="40">
        <v>159.48782090754665</v>
      </c>
      <c r="U21" s="40">
        <v>2.2000000000000002</v>
      </c>
      <c r="V21" s="40">
        <v>609.73069999999996</v>
      </c>
      <c r="W21" s="76">
        <f t="shared" si="2"/>
        <v>206861.9785417252</v>
      </c>
      <c r="X21" s="36"/>
      <c r="Y21" s="42">
        <v>5006.6701640000001</v>
      </c>
      <c r="Z21" s="38"/>
      <c r="AA21" s="43">
        <v>0</v>
      </c>
      <c r="AB21" s="36"/>
      <c r="AC21" s="76">
        <f t="shared" si="3"/>
        <v>211868.64870572521</v>
      </c>
      <c r="AD21" s="29"/>
      <c r="AE21" s="25"/>
      <c r="AF21" s="163"/>
      <c r="AG21" s="2"/>
      <c r="AH21" s="34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97639.08159999999</v>
      </c>
      <c r="C22" s="40">
        <v>42079.78696512006</v>
      </c>
      <c r="D22" s="76">
        <f t="shared" si="0"/>
        <v>139718.86856512004</v>
      </c>
      <c r="E22" s="40">
        <v>2.8416999999999999</v>
      </c>
      <c r="F22" s="76">
        <f t="shared" si="1"/>
        <v>139721.71026512003</v>
      </c>
      <c r="G22" s="40">
        <v>0</v>
      </c>
      <c r="H22" s="40">
        <v>0</v>
      </c>
      <c r="I22" s="40">
        <v>0</v>
      </c>
      <c r="J22" s="40">
        <v>20087.985199999999</v>
      </c>
      <c r="K22" s="40">
        <v>1490.5578</v>
      </c>
      <c r="L22" s="40">
        <v>0</v>
      </c>
      <c r="M22" s="40">
        <v>713.32060000000001</v>
      </c>
      <c r="N22" s="40">
        <v>368.6388</v>
      </c>
      <c r="O22" s="40">
        <v>689.19680000000005</v>
      </c>
      <c r="P22" s="40">
        <v>0</v>
      </c>
      <c r="Q22" s="40">
        <v>2560.4076</v>
      </c>
      <c r="R22" s="40">
        <v>661.28178678238032</v>
      </c>
      <c r="S22" s="40">
        <v>0</v>
      </c>
      <c r="T22" s="40">
        <v>206.29575987524743</v>
      </c>
      <c r="U22" s="40">
        <v>2.2000000000000002</v>
      </c>
      <c r="V22" s="40">
        <v>482.98790000000002</v>
      </c>
      <c r="W22" s="76">
        <f t="shared" si="2"/>
        <v>166984.58251177767</v>
      </c>
      <c r="X22" s="36"/>
      <c r="Y22" s="42">
        <v>7082.2253190000001</v>
      </c>
      <c r="Z22" s="38"/>
      <c r="AA22" s="43">
        <v>0</v>
      </c>
      <c r="AB22" s="36"/>
      <c r="AC22" s="76">
        <f t="shared" si="3"/>
        <v>174066.80783077766</v>
      </c>
      <c r="AD22" s="29"/>
      <c r="AE22" s="25"/>
      <c r="AF22" s="163"/>
      <c r="AG22" s="2"/>
      <c r="AH22" s="34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54938.703700000005</v>
      </c>
      <c r="C23" s="40">
        <v>18471.387005439963</v>
      </c>
      <c r="D23" s="76">
        <f t="shared" si="0"/>
        <v>73410.090705439972</v>
      </c>
      <c r="E23" s="40">
        <v>1.4499</v>
      </c>
      <c r="F23" s="76">
        <f t="shared" si="1"/>
        <v>73411.540605439979</v>
      </c>
      <c r="G23" s="40">
        <v>0</v>
      </c>
      <c r="H23" s="40">
        <v>0</v>
      </c>
      <c r="I23" s="40">
        <v>0</v>
      </c>
      <c r="J23" s="40">
        <v>10554.4858</v>
      </c>
      <c r="K23" s="40">
        <v>670.34559999999999</v>
      </c>
      <c r="L23" s="40">
        <v>0</v>
      </c>
      <c r="M23" s="40">
        <v>320.80020000000002</v>
      </c>
      <c r="N23" s="40">
        <v>193.68620000000001</v>
      </c>
      <c r="O23" s="40">
        <v>739.63199999999995</v>
      </c>
      <c r="P23" s="40">
        <v>158.06012884832973</v>
      </c>
      <c r="Q23" s="40">
        <v>2342.5006000000003</v>
      </c>
      <c r="R23" s="40">
        <v>706.23408991380757</v>
      </c>
      <c r="S23" s="40">
        <v>0</v>
      </c>
      <c r="T23" s="40">
        <v>183.19467266190671</v>
      </c>
      <c r="U23" s="40">
        <v>2.5</v>
      </c>
      <c r="V23" s="40">
        <v>253.7663</v>
      </c>
      <c r="W23" s="76">
        <f t="shared" si="2"/>
        <v>89536.746196864013</v>
      </c>
      <c r="X23" s="36"/>
      <c r="Y23" s="42">
        <v>1789.696735</v>
      </c>
      <c r="Z23" s="38"/>
      <c r="AA23" s="43">
        <v>0</v>
      </c>
      <c r="AB23" s="36"/>
      <c r="AC23" s="76">
        <f t="shared" si="3"/>
        <v>91326.442931864018</v>
      </c>
      <c r="AD23" s="29"/>
      <c r="AE23" s="25"/>
      <c r="AF23" s="163"/>
      <c r="AG23" s="2"/>
      <c r="AH23" s="34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86722.472599999994</v>
      </c>
      <c r="C24" s="40">
        <v>20001.561077120041</v>
      </c>
      <c r="D24" s="76">
        <f t="shared" si="0"/>
        <v>106724.03367712004</v>
      </c>
      <c r="E24" s="40">
        <v>1.2167000000000001</v>
      </c>
      <c r="F24" s="76">
        <f t="shared" si="1"/>
        <v>106725.25037712004</v>
      </c>
      <c r="G24" s="40">
        <v>0</v>
      </c>
      <c r="H24" s="40">
        <v>0</v>
      </c>
      <c r="I24" s="40">
        <v>0</v>
      </c>
      <c r="J24" s="40">
        <v>15344.175300000001</v>
      </c>
      <c r="K24" s="40">
        <v>0</v>
      </c>
      <c r="L24" s="40">
        <v>0</v>
      </c>
      <c r="M24" s="40">
        <v>0</v>
      </c>
      <c r="N24" s="40">
        <v>281.59109999999998</v>
      </c>
      <c r="O24" s="40">
        <v>587.77459999999996</v>
      </c>
      <c r="P24" s="40">
        <v>146.86615268769353</v>
      </c>
      <c r="Q24" s="40">
        <v>2451.4540999999999</v>
      </c>
      <c r="R24" s="40">
        <v>669.07772237653137</v>
      </c>
      <c r="S24" s="40">
        <v>0</v>
      </c>
      <c r="T24" s="40">
        <v>170.22064301075173</v>
      </c>
      <c r="U24" s="40">
        <v>2.5</v>
      </c>
      <c r="V24" s="40">
        <v>368.93859999999995</v>
      </c>
      <c r="W24" s="76">
        <f t="shared" si="2"/>
        <v>126747.84859519503</v>
      </c>
      <c r="X24" s="36"/>
      <c r="Y24" s="42">
        <v>1482.5947760000001</v>
      </c>
      <c r="Z24" s="38"/>
      <c r="AA24" s="43">
        <v>0</v>
      </c>
      <c r="AB24" s="36"/>
      <c r="AC24" s="76">
        <f t="shared" si="3"/>
        <v>128230.44337119503</v>
      </c>
      <c r="AD24" s="29"/>
      <c r="AE24" s="25"/>
      <c r="AF24" s="163"/>
      <c r="AG24" s="2"/>
      <c r="AH24" s="34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120152.28</v>
      </c>
      <c r="C25" s="40">
        <v>41970.488817279911</v>
      </c>
      <c r="D25" s="76">
        <f t="shared" si="0"/>
        <v>162122.7688172799</v>
      </c>
      <c r="E25" s="40">
        <v>3.3167</v>
      </c>
      <c r="F25" s="76">
        <f t="shared" si="1"/>
        <v>162126.08551727989</v>
      </c>
      <c r="G25" s="40">
        <v>0</v>
      </c>
      <c r="H25" s="40">
        <v>0</v>
      </c>
      <c r="I25" s="40">
        <v>0</v>
      </c>
      <c r="J25" s="40">
        <v>23309.090700000001</v>
      </c>
      <c r="K25" s="40">
        <v>0</v>
      </c>
      <c r="L25" s="40">
        <v>0</v>
      </c>
      <c r="M25" s="40">
        <v>0</v>
      </c>
      <c r="N25" s="40">
        <v>427.76090000000005</v>
      </c>
      <c r="O25" s="40">
        <v>723.74569999999994</v>
      </c>
      <c r="P25" s="40">
        <v>150.25032128329491</v>
      </c>
      <c r="Q25" s="40">
        <v>2179.0702999999999</v>
      </c>
      <c r="R25" s="40">
        <v>940.72409656458979</v>
      </c>
      <c r="S25" s="40">
        <v>0</v>
      </c>
      <c r="T25" s="40">
        <v>174.14295828020036</v>
      </c>
      <c r="U25" s="40">
        <v>2.5</v>
      </c>
      <c r="V25" s="40">
        <v>560.44919999999991</v>
      </c>
      <c r="W25" s="76">
        <f t="shared" si="2"/>
        <v>190593.81969340795</v>
      </c>
      <c r="X25" s="36"/>
      <c r="Y25" s="42">
        <v>10152.240664000001</v>
      </c>
      <c r="Z25" s="38"/>
      <c r="AA25" s="43">
        <v>0</v>
      </c>
      <c r="AB25" s="36"/>
      <c r="AC25" s="76">
        <f t="shared" si="3"/>
        <v>200746.06035740796</v>
      </c>
      <c r="AD25" s="29"/>
      <c r="AE25" s="25"/>
      <c r="AF25" s="163"/>
      <c r="AG25" s="2"/>
      <c r="AH25" s="34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115543.78259999999</v>
      </c>
      <c r="C26" s="40">
        <v>27433.835138239992</v>
      </c>
      <c r="D26" s="76">
        <f t="shared" si="0"/>
        <v>142977.61773823999</v>
      </c>
      <c r="E26" s="40">
        <v>2.5083000000000002</v>
      </c>
      <c r="F26" s="76">
        <f t="shared" si="1"/>
        <v>142980.12603823998</v>
      </c>
      <c r="G26" s="40">
        <v>0</v>
      </c>
      <c r="H26" s="40">
        <v>0</v>
      </c>
      <c r="I26" s="40">
        <v>0</v>
      </c>
      <c r="J26" s="40">
        <v>20556.509600000001</v>
      </c>
      <c r="K26" s="40">
        <v>0</v>
      </c>
      <c r="L26" s="40">
        <v>0</v>
      </c>
      <c r="M26" s="40">
        <v>0</v>
      </c>
      <c r="N26" s="40">
        <v>377.24440000000004</v>
      </c>
      <c r="O26" s="40">
        <v>530.41269999999997</v>
      </c>
      <c r="P26" s="40">
        <v>139.1954635254537</v>
      </c>
      <c r="Q26" s="40">
        <v>1988.4016999999999</v>
      </c>
      <c r="R26" s="40">
        <v>589.4813839730275</v>
      </c>
      <c r="S26" s="40">
        <v>0</v>
      </c>
      <c r="T26" s="40">
        <v>161.33016949520629</v>
      </c>
      <c r="U26" s="40">
        <v>2.2000000000000002</v>
      </c>
      <c r="V26" s="40">
        <v>494.26279999999997</v>
      </c>
      <c r="W26" s="76">
        <f t="shared" si="2"/>
        <v>167819.16425523363</v>
      </c>
      <c r="X26" s="36"/>
      <c r="Y26" s="42">
        <v>1820.818716</v>
      </c>
      <c r="Z26" s="38"/>
      <c r="AA26" s="43">
        <v>0</v>
      </c>
      <c r="AB26" s="36"/>
      <c r="AC26" s="76">
        <f t="shared" si="3"/>
        <v>169639.98297123364</v>
      </c>
      <c r="AD26" s="29"/>
      <c r="AE26" s="25"/>
      <c r="AF26" s="163"/>
      <c r="AG26" s="2"/>
      <c r="AH26" s="3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80692.211299999995</v>
      </c>
      <c r="C27" s="40">
        <v>15848.231454400013</v>
      </c>
      <c r="D27" s="76">
        <f t="shared" si="0"/>
        <v>96540.442754400006</v>
      </c>
      <c r="E27" s="40">
        <v>1.5751000000000002</v>
      </c>
      <c r="F27" s="76">
        <f t="shared" si="1"/>
        <v>96542.017854400008</v>
      </c>
      <c r="G27" s="40">
        <v>0</v>
      </c>
      <c r="H27" s="40">
        <v>0</v>
      </c>
      <c r="I27" s="40">
        <v>0</v>
      </c>
      <c r="J27" s="40">
        <v>13880.036400000001</v>
      </c>
      <c r="K27" s="40">
        <v>0</v>
      </c>
      <c r="L27" s="40">
        <v>0</v>
      </c>
      <c r="M27" s="40">
        <v>0</v>
      </c>
      <c r="N27" s="40">
        <v>254.71439999999998</v>
      </c>
      <c r="O27" s="40">
        <v>449.18880000000001</v>
      </c>
      <c r="P27" s="40">
        <v>136.3590518791946</v>
      </c>
      <c r="Q27" s="40">
        <v>1988.4016999999999</v>
      </c>
      <c r="R27" s="40">
        <v>677.06251542860457</v>
      </c>
      <c r="S27" s="40">
        <v>0</v>
      </c>
      <c r="T27" s="40">
        <v>158.04271484858998</v>
      </c>
      <c r="U27" s="40">
        <v>2.2000000000000002</v>
      </c>
      <c r="V27" s="40">
        <v>333.72490000000005</v>
      </c>
      <c r="W27" s="76">
        <f t="shared" si="2"/>
        <v>114421.7483365564</v>
      </c>
      <c r="X27" s="36"/>
      <c r="Y27" s="42">
        <v>0</v>
      </c>
      <c r="Z27" s="38"/>
      <c r="AA27" s="43">
        <v>0</v>
      </c>
      <c r="AB27" s="36"/>
      <c r="AC27" s="76">
        <f t="shared" si="3"/>
        <v>114421.7483365564</v>
      </c>
      <c r="AD27" s="29"/>
      <c r="AE27" s="25"/>
      <c r="AF27" s="163"/>
      <c r="AG27" s="2"/>
      <c r="AH27" s="34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58367.336900000002</v>
      </c>
      <c r="C28" s="40">
        <v>8525.2555411199992</v>
      </c>
      <c r="D28" s="76">
        <f t="shared" si="0"/>
        <v>66892.592441119996</v>
      </c>
      <c r="E28" s="40">
        <v>0.70829999999999993</v>
      </c>
      <c r="F28" s="76">
        <f t="shared" si="1"/>
        <v>66893.300741119994</v>
      </c>
      <c r="G28" s="40">
        <v>0</v>
      </c>
      <c r="H28" s="40">
        <v>0</v>
      </c>
      <c r="I28" s="40">
        <v>0</v>
      </c>
      <c r="J28" s="40">
        <v>9617.4369000000006</v>
      </c>
      <c r="K28" s="40">
        <v>869.17819999999995</v>
      </c>
      <c r="L28" s="40">
        <v>0</v>
      </c>
      <c r="M28" s="40">
        <v>415.95350000000002</v>
      </c>
      <c r="N28" s="40">
        <v>176.49779999999998</v>
      </c>
      <c r="O28" s="40">
        <v>474.76549999999997</v>
      </c>
      <c r="P28" s="40">
        <v>191.86485598995662</v>
      </c>
      <c r="Q28" s="40">
        <v>1743.2563</v>
      </c>
      <c r="R28" s="40">
        <v>1268.6249184726009</v>
      </c>
      <c r="S28" s="40">
        <v>0</v>
      </c>
      <c r="T28" s="40">
        <v>222.37498945946746</v>
      </c>
      <c r="U28" s="40">
        <v>3</v>
      </c>
      <c r="V28" s="40">
        <v>231.24610000000001</v>
      </c>
      <c r="W28" s="76">
        <f t="shared" si="2"/>
        <v>82107.499805042011</v>
      </c>
      <c r="X28" s="36"/>
      <c r="Y28" s="42">
        <v>12.827527</v>
      </c>
      <c r="Z28" s="38"/>
      <c r="AA28" s="43">
        <v>0</v>
      </c>
      <c r="AB28" s="36"/>
      <c r="AC28" s="76">
        <f t="shared" si="3"/>
        <v>82120.327332042012</v>
      </c>
      <c r="AD28" s="29"/>
      <c r="AE28" s="25"/>
      <c r="AF28" s="163"/>
      <c r="AG28" s="2"/>
      <c r="AH28" s="34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312452.96970000002</v>
      </c>
      <c r="C29" s="40">
        <v>72901.864690240123</v>
      </c>
      <c r="D29" s="76">
        <f t="shared" si="0"/>
        <v>385354.83439024014</v>
      </c>
      <c r="E29" s="40">
        <v>11.290799999999999</v>
      </c>
      <c r="F29" s="76">
        <f t="shared" si="1"/>
        <v>385366.12519024016</v>
      </c>
      <c r="G29" s="40">
        <v>0</v>
      </c>
      <c r="H29" s="40">
        <v>0</v>
      </c>
      <c r="I29" s="40">
        <v>0</v>
      </c>
      <c r="J29" s="40">
        <v>55401.454700000002</v>
      </c>
      <c r="K29" s="40">
        <v>11949.4895</v>
      </c>
      <c r="L29" s="40">
        <v>7.3E-7</v>
      </c>
      <c r="M29" s="40">
        <v>5718.8262000000004</v>
      </c>
      <c r="N29" s="40">
        <v>1018.4653000000001</v>
      </c>
      <c r="O29" s="40">
        <v>2110.1010000000001</v>
      </c>
      <c r="P29" s="40">
        <v>120.89180451545191</v>
      </c>
      <c r="Q29" s="40">
        <v>3142.9962999999998</v>
      </c>
      <c r="R29" s="40">
        <v>485.35411606479897</v>
      </c>
      <c r="S29" s="40">
        <v>0</v>
      </c>
      <c r="T29" s="40">
        <v>140.11588322263276</v>
      </c>
      <c r="U29" s="40">
        <v>0.5</v>
      </c>
      <c r="V29" s="40">
        <v>1332.0736000000002</v>
      </c>
      <c r="W29" s="76">
        <f t="shared" si="2"/>
        <v>466786.39359477302</v>
      </c>
      <c r="X29" s="36"/>
      <c r="Y29" s="42">
        <v>4252.4279809999998</v>
      </c>
      <c r="Z29" s="38"/>
      <c r="AA29" s="43">
        <v>0</v>
      </c>
      <c r="AB29" s="36"/>
      <c r="AC29" s="76">
        <f t="shared" si="3"/>
        <v>471038.82157577301</v>
      </c>
      <c r="AD29" s="29"/>
      <c r="AE29" s="25"/>
      <c r="AF29" s="163"/>
      <c r="AG29" s="2"/>
      <c r="AH29" s="34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138572.7347</v>
      </c>
      <c r="C30" s="40">
        <v>36177.686975360019</v>
      </c>
      <c r="D30" s="76">
        <f t="shared" si="0"/>
        <v>174750.42167536</v>
      </c>
      <c r="E30" s="40">
        <v>2.6333000000000002</v>
      </c>
      <c r="F30" s="76">
        <f t="shared" si="1"/>
        <v>174753.05497535999</v>
      </c>
      <c r="G30" s="40">
        <v>0</v>
      </c>
      <c r="H30" s="40">
        <v>0</v>
      </c>
      <c r="I30" s="40">
        <v>0</v>
      </c>
      <c r="J30" s="40">
        <v>25124.622899999998</v>
      </c>
      <c r="K30" s="40">
        <v>0</v>
      </c>
      <c r="L30" s="40">
        <v>0</v>
      </c>
      <c r="M30" s="40">
        <v>0</v>
      </c>
      <c r="N30" s="40">
        <v>461.07769999999999</v>
      </c>
      <c r="O30" s="40">
        <v>947.23609999999996</v>
      </c>
      <c r="P30" s="40">
        <v>161.18698068723785</v>
      </c>
      <c r="Q30" s="40">
        <v>2342.5006000000003</v>
      </c>
      <c r="R30" s="40">
        <v>832.14365181124015</v>
      </c>
      <c r="S30" s="40">
        <v>0</v>
      </c>
      <c r="T30" s="40">
        <v>186.81875295878729</v>
      </c>
      <c r="U30" s="40">
        <v>2.2000000000000002</v>
      </c>
      <c r="V30" s="40">
        <v>604.10069999999996</v>
      </c>
      <c r="W30" s="76">
        <f t="shared" si="2"/>
        <v>205414.94236081725</v>
      </c>
      <c r="X30" s="36"/>
      <c r="Y30" s="42">
        <v>5942.2800199999992</v>
      </c>
      <c r="Z30" s="38"/>
      <c r="AA30" s="43">
        <v>0</v>
      </c>
      <c r="AB30" s="36"/>
      <c r="AC30" s="76">
        <f t="shared" si="3"/>
        <v>211357.22238081726</v>
      </c>
      <c r="AD30" s="29"/>
      <c r="AE30" s="25"/>
      <c r="AF30" s="163"/>
      <c r="AG30" s="2"/>
      <c r="AH30" s="3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155978.32500000001</v>
      </c>
      <c r="C31" s="40">
        <v>45249.433255999997</v>
      </c>
      <c r="D31" s="76">
        <f t="shared" si="0"/>
        <v>201227.758256</v>
      </c>
      <c r="E31" s="40">
        <v>4.6500000000000004</v>
      </c>
      <c r="F31" s="76">
        <f t="shared" si="1"/>
        <v>201232.408256</v>
      </c>
      <c r="G31" s="40">
        <v>0</v>
      </c>
      <c r="H31" s="40">
        <v>0</v>
      </c>
      <c r="I31" s="40">
        <v>0</v>
      </c>
      <c r="J31" s="40">
        <v>28931.383899999997</v>
      </c>
      <c r="K31" s="40">
        <v>0</v>
      </c>
      <c r="L31" s="40">
        <v>0</v>
      </c>
      <c r="M31" s="40">
        <v>0</v>
      </c>
      <c r="N31" s="40">
        <v>530.93690000000004</v>
      </c>
      <c r="O31" s="40">
        <v>704.05740000000003</v>
      </c>
      <c r="P31" s="40">
        <v>124.14905812106613</v>
      </c>
      <c r="Q31" s="40">
        <v>2288.0237999999999</v>
      </c>
      <c r="R31" s="40">
        <v>743.1660767843357</v>
      </c>
      <c r="S31" s="40">
        <v>0</v>
      </c>
      <c r="T31" s="40">
        <v>143.89110157845721</v>
      </c>
      <c r="U31" s="40">
        <v>2.2000000000000002</v>
      </c>
      <c r="V31" s="40">
        <v>695.62969999999996</v>
      </c>
      <c r="W31" s="76">
        <f t="shared" si="2"/>
        <v>235395.84619248382</v>
      </c>
      <c r="X31" s="36"/>
      <c r="Y31" s="42">
        <v>9592.2111719999994</v>
      </c>
      <c r="Z31" s="38"/>
      <c r="AA31" s="43">
        <v>0</v>
      </c>
      <c r="AB31" s="36"/>
      <c r="AC31" s="76">
        <f t="shared" si="3"/>
        <v>244988.05736448383</v>
      </c>
      <c r="AD31" s="29"/>
      <c r="AE31" s="25"/>
      <c r="AF31" s="163"/>
      <c r="AG31" s="2"/>
      <c r="AH31" s="34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48013.198200000006</v>
      </c>
      <c r="C32" s="40">
        <v>4153.3296223999969</v>
      </c>
      <c r="D32" s="76">
        <f t="shared" si="0"/>
        <v>52166.527822400007</v>
      </c>
      <c r="E32" s="40">
        <v>1</v>
      </c>
      <c r="F32" s="76">
        <f t="shared" si="1"/>
        <v>52167.527822400007</v>
      </c>
      <c r="G32" s="40">
        <v>0</v>
      </c>
      <c r="H32" s="40">
        <v>0</v>
      </c>
      <c r="I32" s="40">
        <v>0</v>
      </c>
      <c r="J32" s="40">
        <v>7500.1625000000004</v>
      </c>
      <c r="K32" s="40">
        <v>77.097800000000007</v>
      </c>
      <c r="L32" s="40">
        <v>0</v>
      </c>
      <c r="M32" s="40">
        <v>36.895900000000005</v>
      </c>
      <c r="N32" s="40">
        <v>137.64320000000001</v>
      </c>
      <c r="O32" s="40">
        <v>387.7672</v>
      </c>
      <c r="P32" s="40">
        <v>141.09605111159075</v>
      </c>
      <c r="Q32" s="40">
        <v>1443.6341</v>
      </c>
      <c r="R32" s="40">
        <v>472.77449340532945</v>
      </c>
      <c r="S32" s="40">
        <v>0</v>
      </c>
      <c r="T32" s="40">
        <v>163.53298636086566</v>
      </c>
      <c r="U32" s="40">
        <v>3</v>
      </c>
      <c r="V32" s="40">
        <v>180.3391</v>
      </c>
      <c r="W32" s="76">
        <f t="shared" si="2"/>
        <v>62711.471153277795</v>
      </c>
      <c r="X32" s="36"/>
      <c r="Y32" s="42">
        <v>0</v>
      </c>
      <c r="Z32" s="38"/>
      <c r="AA32" s="37">
        <v>0</v>
      </c>
      <c r="AB32" s="36"/>
      <c r="AC32" s="76">
        <f t="shared" si="3"/>
        <v>62711.471153277795</v>
      </c>
      <c r="AD32" s="29"/>
      <c r="AE32" s="25"/>
      <c r="AF32" s="163"/>
      <c r="AG32" s="2"/>
      <c r="AH32" s="34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 t="shared" ref="B33:W33" si="4">SUM(B10:B32)</f>
        <v>3247275.7982000005</v>
      </c>
      <c r="C33" s="79">
        <f t="shared" si="4"/>
        <v>1036255.7408236805</v>
      </c>
      <c r="D33" s="79">
        <f t="shared" si="4"/>
        <v>4283531.5390236806</v>
      </c>
      <c r="E33" s="79">
        <f t="shared" si="4"/>
        <v>107.0158</v>
      </c>
      <c r="F33" s="79">
        <f t="shared" si="4"/>
        <v>4283638.5548236808</v>
      </c>
      <c r="G33" s="79">
        <f t="shared" si="4"/>
        <v>0</v>
      </c>
      <c r="H33" s="79">
        <f t="shared" si="4"/>
        <v>0</v>
      </c>
      <c r="I33" s="79">
        <f t="shared" si="4"/>
        <v>0</v>
      </c>
      <c r="J33" s="79">
        <f t="shared" si="4"/>
        <v>615858.54940000002</v>
      </c>
      <c r="K33" s="79">
        <f t="shared" si="4"/>
        <v>71896.550300000003</v>
      </c>
      <c r="L33" s="79">
        <f t="shared" si="4"/>
        <v>9.0999999999999997E-7</v>
      </c>
      <c r="M33" s="79">
        <f t="shared" si="4"/>
        <v>34407.084200000005</v>
      </c>
      <c r="N33" s="79">
        <f t="shared" si="4"/>
        <v>11304.0445</v>
      </c>
      <c r="O33" s="79">
        <f t="shared" si="4"/>
        <v>22613.5772</v>
      </c>
      <c r="P33" s="79">
        <f t="shared" si="4"/>
        <v>3308.685174237205</v>
      </c>
      <c r="Q33" s="79">
        <f t="shared" si="4"/>
        <v>53856.649600000012</v>
      </c>
      <c r="R33" s="79">
        <f t="shared" si="4"/>
        <v>17511.438352769997</v>
      </c>
      <c r="S33" s="79">
        <f t="shared" si="4"/>
        <v>0</v>
      </c>
      <c r="T33" s="79">
        <f t="shared" si="4"/>
        <v>4041.12432687</v>
      </c>
      <c r="U33" s="79">
        <f t="shared" si="4"/>
        <v>45.800000000000004</v>
      </c>
      <c r="V33" s="79">
        <f t="shared" si="4"/>
        <v>14807.679199999995</v>
      </c>
      <c r="W33" s="79">
        <f t="shared" si="4"/>
        <v>5133289.7370784674</v>
      </c>
      <c r="X33" s="47"/>
      <c r="Y33" s="78">
        <f>SUM(Y10:Y32)</f>
        <v>190103.83656900001</v>
      </c>
      <c r="Z33" s="38"/>
      <c r="AA33" s="110">
        <f>SUM(AA10:AA32)</f>
        <v>0</v>
      </c>
      <c r="AB33" s="46"/>
      <c r="AC33" s="77">
        <f>SUM(AC10:AC32)</f>
        <v>5323393.5736474674</v>
      </c>
      <c r="AD33" s="29"/>
      <c r="AE33" s="25"/>
      <c r="AF33" s="163"/>
      <c r="AG33" s="46"/>
      <c r="AH33" s="34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47307.448200000006</v>
      </c>
      <c r="C34" s="40">
        <v>57027.607544389983</v>
      </c>
      <c r="D34" s="76">
        <f>B34+C34</f>
        <v>104335.05574438999</v>
      </c>
      <c r="E34" s="40">
        <v>0</v>
      </c>
      <c r="F34" s="76">
        <f>D34+E34</f>
        <v>104335.05574438999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708.1979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105043.25364438999</v>
      </c>
      <c r="X34" s="36"/>
      <c r="Y34" s="42"/>
      <c r="Z34" s="38"/>
      <c r="AA34" s="109">
        <v>0</v>
      </c>
      <c r="AB34" s="36"/>
      <c r="AC34" s="76">
        <f>+W34+Y34+AA34</f>
        <v>105043.25364438999</v>
      </c>
      <c r="AD34" s="29"/>
      <c r="AE34" s="25"/>
      <c r="AF34" s="163"/>
      <c r="AG34" s="2"/>
      <c r="AH34" s="34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>+W35+Y35+AA35</f>
        <v>0</v>
      </c>
      <c r="AD35" s="29"/>
      <c r="AF35" s="163"/>
      <c r="AG35" s="2"/>
      <c r="AH35" s="34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2998887.6013000002</v>
      </c>
      <c r="C36" s="40">
        <v>0</v>
      </c>
      <c r="D36" s="76">
        <f>B36+C36</f>
        <v>2998887.6013000002</v>
      </c>
      <c r="E36" s="40">
        <v>0</v>
      </c>
      <c r="F36" s="76">
        <f>D36+E36</f>
        <v>2998887.6013000002</v>
      </c>
      <c r="G36" s="40">
        <v>0</v>
      </c>
      <c r="H36" s="40">
        <v>0</v>
      </c>
      <c r="I36" s="40">
        <v>0</v>
      </c>
      <c r="J36" s="40">
        <v>446152.52239999996</v>
      </c>
      <c r="K36" s="40">
        <v>0</v>
      </c>
      <c r="L36" s="40">
        <v>0</v>
      </c>
      <c r="M36" s="40">
        <v>0</v>
      </c>
      <c r="N36" s="40">
        <v>0</v>
      </c>
      <c r="O36" s="40">
        <v>37595.108500000002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3482635.2322000004</v>
      </c>
      <c r="X36" s="36"/>
      <c r="Y36" s="42">
        <f>-SUM(Y33)</f>
        <v>-190103.83656900001</v>
      </c>
      <c r="Z36" s="38"/>
      <c r="AA36" s="43">
        <f>-(AA33+AA34)</f>
        <v>0</v>
      </c>
      <c r="AB36" s="36"/>
      <c r="AC36" s="76">
        <f>+W36+Y36+AA36</f>
        <v>3292531.3956310004</v>
      </c>
      <c r="AD36" s="29"/>
      <c r="AE36" s="25"/>
      <c r="AF36" s="163"/>
      <c r="AG36" s="2"/>
      <c r="AH36" s="3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512753.43849999999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34479.787299999996</v>
      </c>
      <c r="W37" s="76">
        <f>SUM(F37:V37)</f>
        <v>547233.22580000001</v>
      </c>
      <c r="X37" s="36"/>
      <c r="Y37" s="42"/>
      <c r="Z37" s="38"/>
      <c r="AA37" s="43"/>
      <c r="AB37" s="36"/>
      <c r="AC37" s="76">
        <f>+W37+Y37+AA37</f>
        <v>547233.22580000001</v>
      </c>
      <c r="AD37" s="29"/>
      <c r="AE37" s="25"/>
      <c r="AF37" s="163"/>
      <c r="AG37" s="2"/>
      <c r="AH37" s="34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74525.039799999999</v>
      </c>
      <c r="C38" s="39">
        <v>0</v>
      </c>
      <c r="D38" s="76">
        <f>B38+C38</f>
        <v>74525.039799999999</v>
      </c>
      <c r="E38" s="39">
        <v>0</v>
      </c>
      <c r="F38" s="76">
        <f>D38+E38</f>
        <v>74525.039799999999</v>
      </c>
      <c r="G38" s="39">
        <v>0</v>
      </c>
      <c r="H38" s="39">
        <v>0</v>
      </c>
      <c r="I38" s="39">
        <v>0</v>
      </c>
      <c r="J38" s="39">
        <v>10714.517800000001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85239.5576</v>
      </c>
      <c r="X38" s="36"/>
      <c r="Y38" s="35"/>
      <c r="Z38" s="38"/>
      <c r="AA38" s="37"/>
      <c r="AB38" s="36"/>
      <c r="AC38" s="75">
        <f>+W38+Y38+AA38</f>
        <v>85239.5576</v>
      </c>
      <c r="AD38" s="29"/>
      <c r="AE38" s="25"/>
      <c r="AF38" s="163"/>
      <c r="AG38" s="2"/>
      <c r="AH38" s="3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27" customFormat="1" ht="20.100000000000001" customHeight="1" x14ac:dyDescent="0.2">
      <c r="A39" s="74" t="s">
        <v>15</v>
      </c>
      <c r="B39" s="73">
        <f>+SUM(B33:B38)</f>
        <v>6368041.6875000009</v>
      </c>
      <c r="C39" s="73">
        <f>+SUM(C33:C38)</f>
        <v>1093283.3483680706</v>
      </c>
      <c r="D39" s="73">
        <f>+SUM(D33:D38)</f>
        <v>7461325.035868071</v>
      </c>
      <c r="E39" s="73">
        <f>+SUM(E33:E38)</f>
        <v>107.0158</v>
      </c>
      <c r="F39" s="73">
        <f>SUM(F33:F38)</f>
        <v>7461432.0516680712</v>
      </c>
      <c r="G39" s="73">
        <f t="shared" ref="G39:W39" si="5">+SUM(G33:G38)</f>
        <v>0</v>
      </c>
      <c r="H39" s="73">
        <f t="shared" si="5"/>
        <v>0</v>
      </c>
      <c r="I39" s="73">
        <f t="shared" si="5"/>
        <v>0</v>
      </c>
      <c r="J39" s="73">
        <f t="shared" si="5"/>
        <v>1072725.5896000001</v>
      </c>
      <c r="K39" s="73">
        <f t="shared" si="5"/>
        <v>71896.550300000003</v>
      </c>
      <c r="L39" s="73">
        <f t="shared" si="5"/>
        <v>9.0999999999999997E-7</v>
      </c>
      <c r="M39" s="73">
        <f t="shared" si="5"/>
        <v>547160.52269999997</v>
      </c>
      <c r="N39" s="73">
        <f t="shared" si="5"/>
        <v>11304.0445</v>
      </c>
      <c r="O39" s="73">
        <f t="shared" si="5"/>
        <v>60208.685700000002</v>
      </c>
      <c r="P39" s="73">
        <f t="shared" si="5"/>
        <v>3308.685174237205</v>
      </c>
      <c r="Q39" s="73">
        <f t="shared" si="5"/>
        <v>54564.847500000011</v>
      </c>
      <c r="R39" s="73">
        <f t="shared" si="5"/>
        <v>17511.438352769997</v>
      </c>
      <c r="S39" s="73">
        <f t="shared" si="5"/>
        <v>0</v>
      </c>
      <c r="T39" s="73">
        <f t="shared" si="5"/>
        <v>4041.12432687</v>
      </c>
      <c r="U39" s="73">
        <f t="shared" si="5"/>
        <v>45.800000000000004</v>
      </c>
      <c r="V39" s="73">
        <f t="shared" si="5"/>
        <v>49287.466499999995</v>
      </c>
      <c r="W39" s="73">
        <f t="shared" si="5"/>
        <v>9353441.0063228589</v>
      </c>
      <c r="X39" s="33"/>
      <c r="Y39" s="32">
        <f>+SUM(Y33:Y38)</f>
        <v>0</v>
      </c>
      <c r="Z39" s="31"/>
      <c r="AA39" s="111"/>
      <c r="AB39" s="30"/>
      <c r="AC39" s="72">
        <f>+SUM(AC33:AC38)</f>
        <v>9353441.0063228589</v>
      </c>
      <c r="AD39" s="29"/>
      <c r="AE39" s="25"/>
      <c r="AF39" s="163"/>
      <c r="AG39" s="28"/>
      <c r="AH39" s="20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1:52" ht="15" customHeight="1" x14ac:dyDescent="0.2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5"/>
      <c r="S40" s="164"/>
      <c r="T40" s="165"/>
      <c r="U40" s="164"/>
      <c r="V40" s="164"/>
      <c r="W40" s="164"/>
      <c r="X40" s="166"/>
      <c r="Y40" s="166"/>
      <c r="Z40" s="166"/>
      <c r="AA40" s="166"/>
      <c r="AB40" s="166"/>
      <c r="AC40" s="166"/>
      <c r="AD40" s="164"/>
      <c r="AF40" s="164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A41" s="164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4"/>
      <c r="AF41" s="164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64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3"/>
      <c r="Y42" s="163"/>
      <c r="Z42" s="163"/>
      <c r="AA42" s="163"/>
      <c r="AB42" s="163"/>
      <c r="AC42" s="163"/>
      <c r="AD42" s="164"/>
      <c r="AF42" s="164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16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F43" s="164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6" customFormat="1" ht="15" customHeight="1" x14ac:dyDescent="0.2">
      <c r="A44" s="23" t="s">
        <v>14</v>
      </c>
      <c r="B44" s="22"/>
      <c r="C44" s="22"/>
      <c r="D44" s="21"/>
      <c r="E44" s="17">
        <v>2752504.432</v>
      </c>
      <c r="F44" s="170"/>
      <c r="J44" s="4" t="s">
        <v>13</v>
      </c>
      <c r="K44" s="7" t="s">
        <v>12</v>
      </c>
      <c r="W44" s="20"/>
      <c r="AD44" s="7"/>
      <c r="AE44" s="7"/>
      <c r="AF44" s="171"/>
    </row>
    <row r="45" spans="1:52" s="6" customFormat="1" ht="15" customHeight="1" x14ac:dyDescent="0.2">
      <c r="A45" s="181" t="s">
        <v>11</v>
      </c>
      <c r="B45" s="182"/>
      <c r="C45" s="182"/>
      <c r="D45" s="18"/>
      <c r="E45" s="17">
        <v>4426075.5041999994</v>
      </c>
      <c r="F45" s="170"/>
      <c r="K45" s="7" t="s">
        <v>10</v>
      </c>
      <c r="W45" s="4"/>
      <c r="Y45" s="4"/>
      <c r="AA45" s="4"/>
      <c r="AC45" s="4"/>
      <c r="AD45" s="7"/>
      <c r="AE45" s="7"/>
      <c r="AF45" s="171"/>
    </row>
    <row r="46" spans="1:52" s="6" customFormat="1" ht="15" hidden="1" customHeight="1" x14ac:dyDescent="0.2">
      <c r="A46" s="233"/>
      <c r="B46" s="234"/>
      <c r="C46" s="234"/>
      <c r="D46" s="18"/>
      <c r="E46" s="17"/>
      <c r="F46" s="170"/>
      <c r="K46" s="6" t="s">
        <v>9</v>
      </c>
      <c r="AD46" s="7"/>
      <c r="AE46" s="7"/>
      <c r="AF46" s="171"/>
    </row>
    <row r="47" spans="1:52" s="6" customFormat="1" ht="15" customHeight="1" x14ac:dyDescent="0.2">
      <c r="A47" s="19" t="s">
        <v>8</v>
      </c>
      <c r="B47" s="182"/>
      <c r="C47" s="182"/>
      <c r="D47" s="18"/>
      <c r="E47" s="17">
        <v>252528.25599999999</v>
      </c>
      <c r="F47" s="170"/>
      <c r="K47" s="7" t="s">
        <v>7</v>
      </c>
      <c r="AD47" s="7"/>
      <c r="AE47" s="7"/>
      <c r="AF47" s="171"/>
    </row>
    <row r="48" spans="1:52" s="6" customFormat="1" ht="15" customHeight="1" x14ac:dyDescent="0.2">
      <c r="A48" s="19" t="s">
        <v>6</v>
      </c>
      <c r="B48" s="182"/>
      <c r="C48" s="182"/>
      <c r="D48" s="18"/>
      <c r="E48" s="17">
        <v>611.01300000000003</v>
      </c>
      <c r="F48" s="170"/>
      <c r="K48" s="7" t="s">
        <v>119</v>
      </c>
      <c r="AD48" s="7"/>
      <c r="AE48" s="7"/>
      <c r="AF48" s="7"/>
    </row>
    <row r="49" spans="1:52" s="6" customFormat="1" ht="15" customHeight="1" x14ac:dyDescent="0.2">
      <c r="A49" s="181" t="s">
        <v>5</v>
      </c>
      <c r="B49" s="182"/>
      <c r="C49" s="182"/>
      <c r="D49" s="18"/>
      <c r="E49" s="17">
        <v>7035.1699000000008</v>
      </c>
      <c r="F49" s="170"/>
      <c r="AD49" s="7"/>
      <c r="AE49" s="7"/>
      <c r="AF49" s="7"/>
    </row>
    <row r="50" spans="1:52" s="6" customFormat="1" ht="15" customHeight="1" x14ac:dyDescent="0.2">
      <c r="A50" s="181" t="s">
        <v>4</v>
      </c>
      <c r="B50" s="182"/>
      <c r="C50" s="182"/>
      <c r="D50" s="18"/>
      <c r="E50" s="17">
        <v>13795.404400000001</v>
      </c>
      <c r="F50" s="170"/>
    </row>
    <row r="51" spans="1:52" s="6" customFormat="1" ht="15" customHeight="1" x14ac:dyDescent="0.2">
      <c r="A51" s="19" t="s">
        <v>3</v>
      </c>
      <c r="B51" s="182"/>
      <c r="C51" s="182"/>
      <c r="D51" s="18"/>
      <c r="E51" s="17">
        <v>8882.2721680717477</v>
      </c>
      <c r="F51" s="170"/>
    </row>
    <row r="52" spans="1:52" s="70" customFormat="1" ht="20.100000000000001" customHeight="1" x14ac:dyDescent="0.2">
      <c r="A52" s="237" t="s">
        <v>100</v>
      </c>
      <c r="B52" s="238"/>
      <c r="C52" s="238"/>
      <c r="D52" s="112"/>
      <c r="E52" s="71">
        <f>SUM(E44:E51)</f>
        <v>7461432.0516680721</v>
      </c>
      <c r="F52" s="173"/>
    </row>
    <row r="53" spans="1:52" s="6" customFormat="1" ht="15" customHeight="1" x14ac:dyDescent="0.2">
      <c r="A53" s="233"/>
      <c r="B53" s="234"/>
      <c r="C53" s="234"/>
      <c r="D53" s="18"/>
      <c r="E53" s="17">
        <v>0</v>
      </c>
      <c r="F53" s="170"/>
    </row>
    <row r="54" spans="1:52" s="6" customFormat="1" ht="15" customHeight="1" x14ac:dyDescent="0.2">
      <c r="A54" s="233" t="s">
        <v>2</v>
      </c>
      <c r="B54" s="234"/>
      <c r="C54" s="234"/>
      <c r="D54" s="18"/>
      <c r="E54" s="17">
        <v>45.8</v>
      </c>
      <c r="F54" s="170"/>
    </row>
    <row r="55" spans="1:52" s="6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7461386.2516680723</v>
      </c>
      <c r="F55" s="170"/>
    </row>
    <row r="56" spans="1:52" x14ac:dyDescent="0.2">
      <c r="A56" s="6"/>
      <c r="B56" s="6"/>
      <c r="C56" s="6"/>
      <c r="D56" s="6"/>
      <c r="E56" s="2"/>
      <c r="F56" s="16"/>
      <c r="G56" s="14"/>
      <c r="H56" s="14"/>
      <c r="I56" s="14"/>
      <c r="J56" s="15"/>
      <c r="K56" s="6"/>
      <c r="L56" s="14"/>
      <c r="M56" s="14"/>
      <c r="N56" s="14"/>
      <c r="O56" s="7"/>
      <c r="P56" s="7"/>
      <c r="Q56" s="7"/>
      <c r="R56" s="7"/>
      <c r="S56" s="7"/>
      <c r="T56" s="7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6"/>
      <c r="C57" s="6"/>
      <c r="D57" s="6"/>
      <c r="E57" s="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67" t="s">
        <v>110</v>
      </c>
      <c r="B58" s="6"/>
      <c r="C58" s="6"/>
      <c r="D58" s="6"/>
      <c r="E58" s="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D59" s="7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66" t="s">
        <v>96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V60" s="2"/>
      <c r="W60" s="4"/>
      <c r="X60" s="6"/>
      <c r="Y60" s="5"/>
      <c r="Z60" s="2"/>
      <c r="AA60" s="4"/>
      <c r="AB60" s="2"/>
      <c r="AC60" s="4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4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A53:C53"/>
    <mergeCell ref="A54:C54"/>
    <mergeCell ref="A55:C55"/>
    <mergeCell ref="A52:C52"/>
    <mergeCell ref="R6:T6"/>
    <mergeCell ref="R7:T7"/>
    <mergeCell ref="T8:T9"/>
    <mergeCell ref="A46:C46"/>
    <mergeCell ref="G6:I7"/>
    <mergeCell ref="P8:P9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F33:F39 D33 W33 AC33" formula="1"/>
    <ignoredError sqref="W9:Y9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Z77"/>
  <sheetViews>
    <sheetView showGridLines="0" showZeros="0" topLeftCell="J22" zoomScaleNormal="100" workbookViewId="0">
      <selection activeCell="K49" sqref="K49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256" width="27.5546875" style="1"/>
    <col min="257" max="257" width="19.44140625" style="1" customWidth="1"/>
    <col min="258" max="259" width="12.77734375" style="1" customWidth="1"/>
    <col min="260" max="260" width="13" style="1" customWidth="1"/>
    <col min="261" max="262" width="12.77734375" style="1" customWidth="1"/>
    <col min="263" max="265" width="0" style="1" hidden="1" customWidth="1"/>
    <col min="266" max="274" width="12.77734375" style="1" customWidth="1"/>
    <col min="275" max="275" width="0" style="1" hidden="1" customWidth="1"/>
    <col min="276" max="279" width="12.77734375" style="1" customWidth="1"/>
    <col min="280" max="280" width="1.77734375" style="1" customWidth="1"/>
    <col min="281" max="281" width="12.77734375" style="1" customWidth="1"/>
    <col min="282" max="282" width="1.77734375" style="1" customWidth="1"/>
    <col min="283" max="284" width="0" style="1" hidden="1" customWidth="1"/>
    <col min="285" max="285" width="12.77734375" style="1" customWidth="1"/>
    <col min="286" max="286" width="17.88671875" style="1" customWidth="1"/>
    <col min="287" max="287" width="11.77734375" style="1" customWidth="1"/>
    <col min="288" max="288" width="12" style="1" customWidth="1"/>
    <col min="289" max="512" width="27.5546875" style="1"/>
    <col min="513" max="513" width="19.44140625" style="1" customWidth="1"/>
    <col min="514" max="515" width="12.77734375" style="1" customWidth="1"/>
    <col min="516" max="516" width="13" style="1" customWidth="1"/>
    <col min="517" max="518" width="12.77734375" style="1" customWidth="1"/>
    <col min="519" max="521" width="0" style="1" hidden="1" customWidth="1"/>
    <col min="522" max="530" width="12.77734375" style="1" customWidth="1"/>
    <col min="531" max="531" width="0" style="1" hidden="1" customWidth="1"/>
    <col min="532" max="535" width="12.77734375" style="1" customWidth="1"/>
    <col min="536" max="536" width="1.77734375" style="1" customWidth="1"/>
    <col min="537" max="537" width="12.77734375" style="1" customWidth="1"/>
    <col min="538" max="538" width="1.77734375" style="1" customWidth="1"/>
    <col min="539" max="540" width="0" style="1" hidden="1" customWidth="1"/>
    <col min="541" max="541" width="12.77734375" style="1" customWidth="1"/>
    <col min="542" max="542" width="17.88671875" style="1" customWidth="1"/>
    <col min="543" max="543" width="11.77734375" style="1" customWidth="1"/>
    <col min="544" max="544" width="12" style="1" customWidth="1"/>
    <col min="545" max="768" width="27.5546875" style="1"/>
    <col min="769" max="769" width="19.44140625" style="1" customWidth="1"/>
    <col min="770" max="771" width="12.77734375" style="1" customWidth="1"/>
    <col min="772" max="772" width="13" style="1" customWidth="1"/>
    <col min="773" max="774" width="12.77734375" style="1" customWidth="1"/>
    <col min="775" max="777" width="0" style="1" hidden="1" customWidth="1"/>
    <col min="778" max="786" width="12.77734375" style="1" customWidth="1"/>
    <col min="787" max="787" width="0" style="1" hidden="1" customWidth="1"/>
    <col min="788" max="791" width="12.77734375" style="1" customWidth="1"/>
    <col min="792" max="792" width="1.77734375" style="1" customWidth="1"/>
    <col min="793" max="793" width="12.77734375" style="1" customWidth="1"/>
    <col min="794" max="794" width="1.77734375" style="1" customWidth="1"/>
    <col min="795" max="796" width="0" style="1" hidden="1" customWidth="1"/>
    <col min="797" max="797" width="12.77734375" style="1" customWidth="1"/>
    <col min="798" max="798" width="17.88671875" style="1" customWidth="1"/>
    <col min="799" max="799" width="11.77734375" style="1" customWidth="1"/>
    <col min="800" max="800" width="12" style="1" customWidth="1"/>
    <col min="801" max="1024" width="27.5546875" style="1"/>
    <col min="1025" max="1025" width="19.44140625" style="1" customWidth="1"/>
    <col min="1026" max="1027" width="12.77734375" style="1" customWidth="1"/>
    <col min="1028" max="1028" width="13" style="1" customWidth="1"/>
    <col min="1029" max="1030" width="12.77734375" style="1" customWidth="1"/>
    <col min="1031" max="1033" width="0" style="1" hidden="1" customWidth="1"/>
    <col min="1034" max="1042" width="12.77734375" style="1" customWidth="1"/>
    <col min="1043" max="1043" width="0" style="1" hidden="1" customWidth="1"/>
    <col min="1044" max="1047" width="12.77734375" style="1" customWidth="1"/>
    <col min="1048" max="1048" width="1.77734375" style="1" customWidth="1"/>
    <col min="1049" max="1049" width="12.77734375" style="1" customWidth="1"/>
    <col min="1050" max="1050" width="1.77734375" style="1" customWidth="1"/>
    <col min="1051" max="1052" width="0" style="1" hidden="1" customWidth="1"/>
    <col min="1053" max="1053" width="12.77734375" style="1" customWidth="1"/>
    <col min="1054" max="1054" width="17.88671875" style="1" customWidth="1"/>
    <col min="1055" max="1055" width="11.77734375" style="1" customWidth="1"/>
    <col min="1056" max="1056" width="12" style="1" customWidth="1"/>
    <col min="1057" max="1280" width="27.5546875" style="1"/>
    <col min="1281" max="1281" width="19.44140625" style="1" customWidth="1"/>
    <col min="1282" max="1283" width="12.77734375" style="1" customWidth="1"/>
    <col min="1284" max="1284" width="13" style="1" customWidth="1"/>
    <col min="1285" max="1286" width="12.77734375" style="1" customWidth="1"/>
    <col min="1287" max="1289" width="0" style="1" hidden="1" customWidth="1"/>
    <col min="1290" max="1298" width="12.77734375" style="1" customWidth="1"/>
    <col min="1299" max="1299" width="0" style="1" hidden="1" customWidth="1"/>
    <col min="1300" max="1303" width="12.77734375" style="1" customWidth="1"/>
    <col min="1304" max="1304" width="1.77734375" style="1" customWidth="1"/>
    <col min="1305" max="1305" width="12.77734375" style="1" customWidth="1"/>
    <col min="1306" max="1306" width="1.77734375" style="1" customWidth="1"/>
    <col min="1307" max="1308" width="0" style="1" hidden="1" customWidth="1"/>
    <col min="1309" max="1309" width="12.77734375" style="1" customWidth="1"/>
    <col min="1310" max="1310" width="17.88671875" style="1" customWidth="1"/>
    <col min="1311" max="1311" width="11.77734375" style="1" customWidth="1"/>
    <col min="1312" max="1312" width="12" style="1" customWidth="1"/>
    <col min="1313" max="1536" width="27.5546875" style="1"/>
    <col min="1537" max="1537" width="19.44140625" style="1" customWidth="1"/>
    <col min="1538" max="1539" width="12.77734375" style="1" customWidth="1"/>
    <col min="1540" max="1540" width="13" style="1" customWidth="1"/>
    <col min="1541" max="1542" width="12.77734375" style="1" customWidth="1"/>
    <col min="1543" max="1545" width="0" style="1" hidden="1" customWidth="1"/>
    <col min="1546" max="1554" width="12.77734375" style="1" customWidth="1"/>
    <col min="1555" max="1555" width="0" style="1" hidden="1" customWidth="1"/>
    <col min="1556" max="1559" width="12.77734375" style="1" customWidth="1"/>
    <col min="1560" max="1560" width="1.77734375" style="1" customWidth="1"/>
    <col min="1561" max="1561" width="12.77734375" style="1" customWidth="1"/>
    <col min="1562" max="1562" width="1.77734375" style="1" customWidth="1"/>
    <col min="1563" max="1564" width="0" style="1" hidden="1" customWidth="1"/>
    <col min="1565" max="1565" width="12.77734375" style="1" customWidth="1"/>
    <col min="1566" max="1566" width="17.88671875" style="1" customWidth="1"/>
    <col min="1567" max="1567" width="11.77734375" style="1" customWidth="1"/>
    <col min="1568" max="1568" width="12" style="1" customWidth="1"/>
    <col min="1569" max="1792" width="27.5546875" style="1"/>
    <col min="1793" max="1793" width="19.44140625" style="1" customWidth="1"/>
    <col min="1794" max="1795" width="12.77734375" style="1" customWidth="1"/>
    <col min="1796" max="1796" width="13" style="1" customWidth="1"/>
    <col min="1797" max="1798" width="12.77734375" style="1" customWidth="1"/>
    <col min="1799" max="1801" width="0" style="1" hidden="1" customWidth="1"/>
    <col min="1802" max="1810" width="12.77734375" style="1" customWidth="1"/>
    <col min="1811" max="1811" width="0" style="1" hidden="1" customWidth="1"/>
    <col min="1812" max="1815" width="12.77734375" style="1" customWidth="1"/>
    <col min="1816" max="1816" width="1.77734375" style="1" customWidth="1"/>
    <col min="1817" max="1817" width="12.77734375" style="1" customWidth="1"/>
    <col min="1818" max="1818" width="1.77734375" style="1" customWidth="1"/>
    <col min="1819" max="1820" width="0" style="1" hidden="1" customWidth="1"/>
    <col min="1821" max="1821" width="12.77734375" style="1" customWidth="1"/>
    <col min="1822" max="1822" width="17.88671875" style="1" customWidth="1"/>
    <col min="1823" max="1823" width="11.77734375" style="1" customWidth="1"/>
    <col min="1824" max="1824" width="12" style="1" customWidth="1"/>
    <col min="1825" max="2048" width="27.5546875" style="1"/>
    <col min="2049" max="2049" width="19.44140625" style="1" customWidth="1"/>
    <col min="2050" max="2051" width="12.77734375" style="1" customWidth="1"/>
    <col min="2052" max="2052" width="13" style="1" customWidth="1"/>
    <col min="2053" max="2054" width="12.77734375" style="1" customWidth="1"/>
    <col min="2055" max="2057" width="0" style="1" hidden="1" customWidth="1"/>
    <col min="2058" max="2066" width="12.77734375" style="1" customWidth="1"/>
    <col min="2067" max="2067" width="0" style="1" hidden="1" customWidth="1"/>
    <col min="2068" max="2071" width="12.77734375" style="1" customWidth="1"/>
    <col min="2072" max="2072" width="1.77734375" style="1" customWidth="1"/>
    <col min="2073" max="2073" width="12.77734375" style="1" customWidth="1"/>
    <col min="2074" max="2074" width="1.77734375" style="1" customWidth="1"/>
    <col min="2075" max="2076" width="0" style="1" hidden="1" customWidth="1"/>
    <col min="2077" max="2077" width="12.77734375" style="1" customWidth="1"/>
    <col min="2078" max="2078" width="17.88671875" style="1" customWidth="1"/>
    <col min="2079" max="2079" width="11.77734375" style="1" customWidth="1"/>
    <col min="2080" max="2080" width="12" style="1" customWidth="1"/>
    <col min="2081" max="2304" width="27.5546875" style="1"/>
    <col min="2305" max="2305" width="19.44140625" style="1" customWidth="1"/>
    <col min="2306" max="2307" width="12.77734375" style="1" customWidth="1"/>
    <col min="2308" max="2308" width="13" style="1" customWidth="1"/>
    <col min="2309" max="2310" width="12.77734375" style="1" customWidth="1"/>
    <col min="2311" max="2313" width="0" style="1" hidden="1" customWidth="1"/>
    <col min="2314" max="2322" width="12.77734375" style="1" customWidth="1"/>
    <col min="2323" max="2323" width="0" style="1" hidden="1" customWidth="1"/>
    <col min="2324" max="2327" width="12.77734375" style="1" customWidth="1"/>
    <col min="2328" max="2328" width="1.77734375" style="1" customWidth="1"/>
    <col min="2329" max="2329" width="12.77734375" style="1" customWidth="1"/>
    <col min="2330" max="2330" width="1.77734375" style="1" customWidth="1"/>
    <col min="2331" max="2332" width="0" style="1" hidden="1" customWidth="1"/>
    <col min="2333" max="2333" width="12.77734375" style="1" customWidth="1"/>
    <col min="2334" max="2334" width="17.88671875" style="1" customWidth="1"/>
    <col min="2335" max="2335" width="11.77734375" style="1" customWidth="1"/>
    <col min="2336" max="2336" width="12" style="1" customWidth="1"/>
    <col min="2337" max="2560" width="27.5546875" style="1"/>
    <col min="2561" max="2561" width="19.44140625" style="1" customWidth="1"/>
    <col min="2562" max="2563" width="12.77734375" style="1" customWidth="1"/>
    <col min="2564" max="2564" width="13" style="1" customWidth="1"/>
    <col min="2565" max="2566" width="12.77734375" style="1" customWidth="1"/>
    <col min="2567" max="2569" width="0" style="1" hidden="1" customWidth="1"/>
    <col min="2570" max="2578" width="12.77734375" style="1" customWidth="1"/>
    <col min="2579" max="2579" width="0" style="1" hidden="1" customWidth="1"/>
    <col min="2580" max="2583" width="12.77734375" style="1" customWidth="1"/>
    <col min="2584" max="2584" width="1.77734375" style="1" customWidth="1"/>
    <col min="2585" max="2585" width="12.77734375" style="1" customWidth="1"/>
    <col min="2586" max="2586" width="1.77734375" style="1" customWidth="1"/>
    <col min="2587" max="2588" width="0" style="1" hidden="1" customWidth="1"/>
    <col min="2589" max="2589" width="12.77734375" style="1" customWidth="1"/>
    <col min="2590" max="2590" width="17.88671875" style="1" customWidth="1"/>
    <col min="2591" max="2591" width="11.77734375" style="1" customWidth="1"/>
    <col min="2592" max="2592" width="12" style="1" customWidth="1"/>
    <col min="2593" max="2816" width="27.5546875" style="1"/>
    <col min="2817" max="2817" width="19.44140625" style="1" customWidth="1"/>
    <col min="2818" max="2819" width="12.77734375" style="1" customWidth="1"/>
    <col min="2820" max="2820" width="13" style="1" customWidth="1"/>
    <col min="2821" max="2822" width="12.77734375" style="1" customWidth="1"/>
    <col min="2823" max="2825" width="0" style="1" hidden="1" customWidth="1"/>
    <col min="2826" max="2834" width="12.77734375" style="1" customWidth="1"/>
    <col min="2835" max="2835" width="0" style="1" hidden="1" customWidth="1"/>
    <col min="2836" max="2839" width="12.77734375" style="1" customWidth="1"/>
    <col min="2840" max="2840" width="1.77734375" style="1" customWidth="1"/>
    <col min="2841" max="2841" width="12.77734375" style="1" customWidth="1"/>
    <col min="2842" max="2842" width="1.77734375" style="1" customWidth="1"/>
    <col min="2843" max="2844" width="0" style="1" hidden="1" customWidth="1"/>
    <col min="2845" max="2845" width="12.77734375" style="1" customWidth="1"/>
    <col min="2846" max="2846" width="17.88671875" style="1" customWidth="1"/>
    <col min="2847" max="2847" width="11.77734375" style="1" customWidth="1"/>
    <col min="2848" max="2848" width="12" style="1" customWidth="1"/>
    <col min="2849" max="3072" width="27.5546875" style="1"/>
    <col min="3073" max="3073" width="19.44140625" style="1" customWidth="1"/>
    <col min="3074" max="3075" width="12.77734375" style="1" customWidth="1"/>
    <col min="3076" max="3076" width="13" style="1" customWidth="1"/>
    <col min="3077" max="3078" width="12.77734375" style="1" customWidth="1"/>
    <col min="3079" max="3081" width="0" style="1" hidden="1" customWidth="1"/>
    <col min="3082" max="3090" width="12.77734375" style="1" customWidth="1"/>
    <col min="3091" max="3091" width="0" style="1" hidden="1" customWidth="1"/>
    <col min="3092" max="3095" width="12.77734375" style="1" customWidth="1"/>
    <col min="3096" max="3096" width="1.77734375" style="1" customWidth="1"/>
    <col min="3097" max="3097" width="12.77734375" style="1" customWidth="1"/>
    <col min="3098" max="3098" width="1.77734375" style="1" customWidth="1"/>
    <col min="3099" max="3100" width="0" style="1" hidden="1" customWidth="1"/>
    <col min="3101" max="3101" width="12.77734375" style="1" customWidth="1"/>
    <col min="3102" max="3102" width="17.88671875" style="1" customWidth="1"/>
    <col min="3103" max="3103" width="11.77734375" style="1" customWidth="1"/>
    <col min="3104" max="3104" width="12" style="1" customWidth="1"/>
    <col min="3105" max="3328" width="27.5546875" style="1"/>
    <col min="3329" max="3329" width="19.44140625" style="1" customWidth="1"/>
    <col min="3330" max="3331" width="12.77734375" style="1" customWidth="1"/>
    <col min="3332" max="3332" width="13" style="1" customWidth="1"/>
    <col min="3333" max="3334" width="12.77734375" style="1" customWidth="1"/>
    <col min="3335" max="3337" width="0" style="1" hidden="1" customWidth="1"/>
    <col min="3338" max="3346" width="12.77734375" style="1" customWidth="1"/>
    <col min="3347" max="3347" width="0" style="1" hidden="1" customWidth="1"/>
    <col min="3348" max="3351" width="12.77734375" style="1" customWidth="1"/>
    <col min="3352" max="3352" width="1.77734375" style="1" customWidth="1"/>
    <col min="3353" max="3353" width="12.77734375" style="1" customWidth="1"/>
    <col min="3354" max="3354" width="1.77734375" style="1" customWidth="1"/>
    <col min="3355" max="3356" width="0" style="1" hidden="1" customWidth="1"/>
    <col min="3357" max="3357" width="12.77734375" style="1" customWidth="1"/>
    <col min="3358" max="3358" width="17.88671875" style="1" customWidth="1"/>
    <col min="3359" max="3359" width="11.77734375" style="1" customWidth="1"/>
    <col min="3360" max="3360" width="12" style="1" customWidth="1"/>
    <col min="3361" max="3584" width="27.5546875" style="1"/>
    <col min="3585" max="3585" width="19.44140625" style="1" customWidth="1"/>
    <col min="3586" max="3587" width="12.77734375" style="1" customWidth="1"/>
    <col min="3588" max="3588" width="13" style="1" customWidth="1"/>
    <col min="3589" max="3590" width="12.77734375" style="1" customWidth="1"/>
    <col min="3591" max="3593" width="0" style="1" hidden="1" customWidth="1"/>
    <col min="3594" max="3602" width="12.77734375" style="1" customWidth="1"/>
    <col min="3603" max="3603" width="0" style="1" hidden="1" customWidth="1"/>
    <col min="3604" max="3607" width="12.77734375" style="1" customWidth="1"/>
    <col min="3608" max="3608" width="1.77734375" style="1" customWidth="1"/>
    <col min="3609" max="3609" width="12.77734375" style="1" customWidth="1"/>
    <col min="3610" max="3610" width="1.77734375" style="1" customWidth="1"/>
    <col min="3611" max="3612" width="0" style="1" hidden="1" customWidth="1"/>
    <col min="3613" max="3613" width="12.77734375" style="1" customWidth="1"/>
    <col min="3614" max="3614" width="17.88671875" style="1" customWidth="1"/>
    <col min="3615" max="3615" width="11.77734375" style="1" customWidth="1"/>
    <col min="3616" max="3616" width="12" style="1" customWidth="1"/>
    <col min="3617" max="3840" width="27.5546875" style="1"/>
    <col min="3841" max="3841" width="19.44140625" style="1" customWidth="1"/>
    <col min="3842" max="3843" width="12.77734375" style="1" customWidth="1"/>
    <col min="3844" max="3844" width="13" style="1" customWidth="1"/>
    <col min="3845" max="3846" width="12.77734375" style="1" customWidth="1"/>
    <col min="3847" max="3849" width="0" style="1" hidden="1" customWidth="1"/>
    <col min="3850" max="3858" width="12.77734375" style="1" customWidth="1"/>
    <col min="3859" max="3859" width="0" style="1" hidden="1" customWidth="1"/>
    <col min="3860" max="3863" width="12.77734375" style="1" customWidth="1"/>
    <col min="3864" max="3864" width="1.77734375" style="1" customWidth="1"/>
    <col min="3865" max="3865" width="12.77734375" style="1" customWidth="1"/>
    <col min="3866" max="3866" width="1.77734375" style="1" customWidth="1"/>
    <col min="3867" max="3868" width="0" style="1" hidden="1" customWidth="1"/>
    <col min="3869" max="3869" width="12.77734375" style="1" customWidth="1"/>
    <col min="3870" max="3870" width="17.88671875" style="1" customWidth="1"/>
    <col min="3871" max="3871" width="11.77734375" style="1" customWidth="1"/>
    <col min="3872" max="3872" width="12" style="1" customWidth="1"/>
    <col min="3873" max="4096" width="27.5546875" style="1"/>
    <col min="4097" max="4097" width="19.44140625" style="1" customWidth="1"/>
    <col min="4098" max="4099" width="12.77734375" style="1" customWidth="1"/>
    <col min="4100" max="4100" width="13" style="1" customWidth="1"/>
    <col min="4101" max="4102" width="12.77734375" style="1" customWidth="1"/>
    <col min="4103" max="4105" width="0" style="1" hidden="1" customWidth="1"/>
    <col min="4106" max="4114" width="12.77734375" style="1" customWidth="1"/>
    <col min="4115" max="4115" width="0" style="1" hidden="1" customWidth="1"/>
    <col min="4116" max="4119" width="12.77734375" style="1" customWidth="1"/>
    <col min="4120" max="4120" width="1.77734375" style="1" customWidth="1"/>
    <col min="4121" max="4121" width="12.77734375" style="1" customWidth="1"/>
    <col min="4122" max="4122" width="1.77734375" style="1" customWidth="1"/>
    <col min="4123" max="4124" width="0" style="1" hidden="1" customWidth="1"/>
    <col min="4125" max="4125" width="12.77734375" style="1" customWidth="1"/>
    <col min="4126" max="4126" width="17.88671875" style="1" customWidth="1"/>
    <col min="4127" max="4127" width="11.77734375" style="1" customWidth="1"/>
    <col min="4128" max="4128" width="12" style="1" customWidth="1"/>
    <col min="4129" max="4352" width="27.5546875" style="1"/>
    <col min="4353" max="4353" width="19.44140625" style="1" customWidth="1"/>
    <col min="4354" max="4355" width="12.77734375" style="1" customWidth="1"/>
    <col min="4356" max="4356" width="13" style="1" customWidth="1"/>
    <col min="4357" max="4358" width="12.77734375" style="1" customWidth="1"/>
    <col min="4359" max="4361" width="0" style="1" hidden="1" customWidth="1"/>
    <col min="4362" max="4370" width="12.77734375" style="1" customWidth="1"/>
    <col min="4371" max="4371" width="0" style="1" hidden="1" customWidth="1"/>
    <col min="4372" max="4375" width="12.77734375" style="1" customWidth="1"/>
    <col min="4376" max="4376" width="1.77734375" style="1" customWidth="1"/>
    <col min="4377" max="4377" width="12.77734375" style="1" customWidth="1"/>
    <col min="4378" max="4378" width="1.77734375" style="1" customWidth="1"/>
    <col min="4379" max="4380" width="0" style="1" hidden="1" customWidth="1"/>
    <col min="4381" max="4381" width="12.77734375" style="1" customWidth="1"/>
    <col min="4382" max="4382" width="17.88671875" style="1" customWidth="1"/>
    <col min="4383" max="4383" width="11.77734375" style="1" customWidth="1"/>
    <col min="4384" max="4384" width="12" style="1" customWidth="1"/>
    <col min="4385" max="4608" width="27.5546875" style="1"/>
    <col min="4609" max="4609" width="19.44140625" style="1" customWidth="1"/>
    <col min="4610" max="4611" width="12.77734375" style="1" customWidth="1"/>
    <col min="4612" max="4612" width="13" style="1" customWidth="1"/>
    <col min="4613" max="4614" width="12.77734375" style="1" customWidth="1"/>
    <col min="4615" max="4617" width="0" style="1" hidden="1" customWidth="1"/>
    <col min="4618" max="4626" width="12.77734375" style="1" customWidth="1"/>
    <col min="4627" max="4627" width="0" style="1" hidden="1" customWidth="1"/>
    <col min="4628" max="4631" width="12.77734375" style="1" customWidth="1"/>
    <col min="4632" max="4632" width="1.77734375" style="1" customWidth="1"/>
    <col min="4633" max="4633" width="12.77734375" style="1" customWidth="1"/>
    <col min="4634" max="4634" width="1.77734375" style="1" customWidth="1"/>
    <col min="4635" max="4636" width="0" style="1" hidden="1" customWidth="1"/>
    <col min="4637" max="4637" width="12.77734375" style="1" customWidth="1"/>
    <col min="4638" max="4638" width="17.88671875" style="1" customWidth="1"/>
    <col min="4639" max="4639" width="11.77734375" style="1" customWidth="1"/>
    <col min="4640" max="4640" width="12" style="1" customWidth="1"/>
    <col min="4641" max="4864" width="27.5546875" style="1"/>
    <col min="4865" max="4865" width="19.44140625" style="1" customWidth="1"/>
    <col min="4866" max="4867" width="12.77734375" style="1" customWidth="1"/>
    <col min="4868" max="4868" width="13" style="1" customWidth="1"/>
    <col min="4869" max="4870" width="12.77734375" style="1" customWidth="1"/>
    <col min="4871" max="4873" width="0" style="1" hidden="1" customWidth="1"/>
    <col min="4874" max="4882" width="12.77734375" style="1" customWidth="1"/>
    <col min="4883" max="4883" width="0" style="1" hidden="1" customWidth="1"/>
    <col min="4884" max="4887" width="12.77734375" style="1" customWidth="1"/>
    <col min="4888" max="4888" width="1.77734375" style="1" customWidth="1"/>
    <col min="4889" max="4889" width="12.77734375" style="1" customWidth="1"/>
    <col min="4890" max="4890" width="1.77734375" style="1" customWidth="1"/>
    <col min="4891" max="4892" width="0" style="1" hidden="1" customWidth="1"/>
    <col min="4893" max="4893" width="12.77734375" style="1" customWidth="1"/>
    <col min="4894" max="4894" width="17.88671875" style="1" customWidth="1"/>
    <col min="4895" max="4895" width="11.77734375" style="1" customWidth="1"/>
    <col min="4896" max="4896" width="12" style="1" customWidth="1"/>
    <col min="4897" max="5120" width="27.5546875" style="1"/>
    <col min="5121" max="5121" width="19.44140625" style="1" customWidth="1"/>
    <col min="5122" max="5123" width="12.77734375" style="1" customWidth="1"/>
    <col min="5124" max="5124" width="13" style="1" customWidth="1"/>
    <col min="5125" max="5126" width="12.77734375" style="1" customWidth="1"/>
    <col min="5127" max="5129" width="0" style="1" hidden="1" customWidth="1"/>
    <col min="5130" max="5138" width="12.77734375" style="1" customWidth="1"/>
    <col min="5139" max="5139" width="0" style="1" hidden="1" customWidth="1"/>
    <col min="5140" max="5143" width="12.77734375" style="1" customWidth="1"/>
    <col min="5144" max="5144" width="1.77734375" style="1" customWidth="1"/>
    <col min="5145" max="5145" width="12.77734375" style="1" customWidth="1"/>
    <col min="5146" max="5146" width="1.77734375" style="1" customWidth="1"/>
    <col min="5147" max="5148" width="0" style="1" hidden="1" customWidth="1"/>
    <col min="5149" max="5149" width="12.77734375" style="1" customWidth="1"/>
    <col min="5150" max="5150" width="17.88671875" style="1" customWidth="1"/>
    <col min="5151" max="5151" width="11.77734375" style="1" customWidth="1"/>
    <col min="5152" max="5152" width="12" style="1" customWidth="1"/>
    <col min="5153" max="5376" width="27.5546875" style="1"/>
    <col min="5377" max="5377" width="19.44140625" style="1" customWidth="1"/>
    <col min="5378" max="5379" width="12.77734375" style="1" customWidth="1"/>
    <col min="5380" max="5380" width="13" style="1" customWidth="1"/>
    <col min="5381" max="5382" width="12.77734375" style="1" customWidth="1"/>
    <col min="5383" max="5385" width="0" style="1" hidden="1" customWidth="1"/>
    <col min="5386" max="5394" width="12.77734375" style="1" customWidth="1"/>
    <col min="5395" max="5395" width="0" style="1" hidden="1" customWidth="1"/>
    <col min="5396" max="5399" width="12.77734375" style="1" customWidth="1"/>
    <col min="5400" max="5400" width="1.77734375" style="1" customWidth="1"/>
    <col min="5401" max="5401" width="12.77734375" style="1" customWidth="1"/>
    <col min="5402" max="5402" width="1.77734375" style="1" customWidth="1"/>
    <col min="5403" max="5404" width="0" style="1" hidden="1" customWidth="1"/>
    <col min="5405" max="5405" width="12.77734375" style="1" customWidth="1"/>
    <col min="5406" max="5406" width="17.88671875" style="1" customWidth="1"/>
    <col min="5407" max="5407" width="11.77734375" style="1" customWidth="1"/>
    <col min="5408" max="5408" width="12" style="1" customWidth="1"/>
    <col min="5409" max="5632" width="27.5546875" style="1"/>
    <col min="5633" max="5633" width="19.44140625" style="1" customWidth="1"/>
    <col min="5634" max="5635" width="12.77734375" style="1" customWidth="1"/>
    <col min="5636" max="5636" width="13" style="1" customWidth="1"/>
    <col min="5637" max="5638" width="12.77734375" style="1" customWidth="1"/>
    <col min="5639" max="5641" width="0" style="1" hidden="1" customWidth="1"/>
    <col min="5642" max="5650" width="12.77734375" style="1" customWidth="1"/>
    <col min="5651" max="5651" width="0" style="1" hidden="1" customWidth="1"/>
    <col min="5652" max="5655" width="12.77734375" style="1" customWidth="1"/>
    <col min="5656" max="5656" width="1.77734375" style="1" customWidth="1"/>
    <col min="5657" max="5657" width="12.77734375" style="1" customWidth="1"/>
    <col min="5658" max="5658" width="1.77734375" style="1" customWidth="1"/>
    <col min="5659" max="5660" width="0" style="1" hidden="1" customWidth="1"/>
    <col min="5661" max="5661" width="12.77734375" style="1" customWidth="1"/>
    <col min="5662" max="5662" width="17.88671875" style="1" customWidth="1"/>
    <col min="5663" max="5663" width="11.77734375" style="1" customWidth="1"/>
    <col min="5664" max="5664" width="12" style="1" customWidth="1"/>
    <col min="5665" max="5888" width="27.5546875" style="1"/>
    <col min="5889" max="5889" width="19.44140625" style="1" customWidth="1"/>
    <col min="5890" max="5891" width="12.77734375" style="1" customWidth="1"/>
    <col min="5892" max="5892" width="13" style="1" customWidth="1"/>
    <col min="5893" max="5894" width="12.77734375" style="1" customWidth="1"/>
    <col min="5895" max="5897" width="0" style="1" hidden="1" customWidth="1"/>
    <col min="5898" max="5906" width="12.77734375" style="1" customWidth="1"/>
    <col min="5907" max="5907" width="0" style="1" hidden="1" customWidth="1"/>
    <col min="5908" max="5911" width="12.77734375" style="1" customWidth="1"/>
    <col min="5912" max="5912" width="1.77734375" style="1" customWidth="1"/>
    <col min="5913" max="5913" width="12.77734375" style="1" customWidth="1"/>
    <col min="5914" max="5914" width="1.77734375" style="1" customWidth="1"/>
    <col min="5915" max="5916" width="0" style="1" hidden="1" customWidth="1"/>
    <col min="5917" max="5917" width="12.77734375" style="1" customWidth="1"/>
    <col min="5918" max="5918" width="17.88671875" style="1" customWidth="1"/>
    <col min="5919" max="5919" width="11.77734375" style="1" customWidth="1"/>
    <col min="5920" max="5920" width="12" style="1" customWidth="1"/>
    <col min="5921" max="6144" width="27.5546875" style="1"/>
    <col min="6145" max="6145" width="19.44140625" style="1" customWidth="1"/>
    <col min="6146" max="6147" width="12.77734375" style="1" customWidth="1"/>
    <col min="6148" max="6148" width="13" style="1" customWidth="1"/>
    <col min="6149" max="6150" width="12.77734375" style="1" customWidth="1"/>
    <col min="6151" max="6153" width="0" style="1" hidden="1" customWidth="1"/>
    <col min="6154" max="6162" width="12.77734375" style="1" customWidth="1"/>
    <col min="6163" max="6163" width="0" style="1" hidden="1" customWidth="1"/>
    <col min="6164" max="6167" width="12.77734375" style="1" customWidth="1"/>
    <col min="6168" max="6168" width="1.77734375" style="1" customWidth="1"/>
    <col min="6169" max="6169" width="12.77734375" style="1" customWidth="1"/>
    <col min="6170" max="6170" width="1.77734375" style="1" customWidth="1"/>
    <col min="6171" max="6172" width="0" style="1" hidden="1" customWidth="1"/>
    <col min="6173" max="6173" width="12.77734375" style="1" customWidth="1"/>
    <col min="6174" max="6174" width="17.88671875" style="1" customWidth="1"/>
    <col min="6175" max="6175" width="11.77734375" style="1" customWidth="1"/>
    <col min="6176" max="6176" width="12" style="1" customWidth="1"/>
    <col min="6177" max="6400" width="27.5546875" style="1"/>
    <col min="6401" max="6401" width="19.44140625" style="1" customWidth="1"/>
    <col min="6402" max="6403" width="12.77734375" style="1" customWidth="1"/>
    <col min="6404" max="6404" width="13" style="1" customWidth="1"/>
    <col min="6405" max="6406" width="12.77734375" style="1" customWidth="1"/>
    <col min="6407" max="6409" width="0" style="1" hidden="1" customWidth="1"/>
    <col min="6410" max="6418" width="12.77734375" style="1" customWidth="1"/>
    <col min="6419" max="6419" width="0" style="1" hidden="1" customWidth="1"/>
    <col min="6420" max="6423" width="12.77734375" style="1" customWidth="1"/>
    <col min="6424" max="6424" width="1.77734375" style="1" customWidth="1"/>
    <col min="6425" max="6425" width="12.77734375" style="1" customWidth="1"/>
    <col min="6426" max="6426" width="1.77734375" style="1" customWidth="1"/>
    <col min="6427" max="6428" width="0" style="1" hidden="1" customWidth="1"/>
    <col min="6429" max="6429" width="12.77734375" style="1" customWidth="1"/>
    <col min="6430" max="6430" width="17.88671875" style="1" customWidth="1"/>
    <col min="6431" max="6431" width="11.77734375" style="1" customWidth="1"/>
    <col min="6432" max="6432" width="12" style="1" customWidth="1"/>
    <col min="6433" max="6656" width="27.5546875" style="1"/>
    <col min="6657" max="6657" width="19.44140625" style="1" customWidth="1"/>
    <col min="6658" max="6659" width="12.77734375" style="1" customWidth="1"/>
    <col min="6660" max="6660" width="13" style="1" customWidth="1"/>
    <col min="6661" max="6662" width="12.77734375" style="1" customWidth="1"/>
    <col min="6663" max="6665" width="0" style="1" hidden="1" customWidth="1"/>
    <col min="6666" max="6674" width="12.77734375" style="1" customWidth="1"/>
    <col min="6675" max="6675" width="0" style="1" hidden="1" customWidth="1"/>
    <col min="6676" max="6679" width="12.77734375" style="1" customWidth="1"/>
    <col min="6680" max="6680" width="1.77734375" style="1" customWidth="1"/>
    <col min="6681" max="6681" width="12.77734375" style="1" customWidth="1"/>
    <col min="6682" max="6682" width="1.77734375" style="1" customWidth="1"/>
    <col min="6683" max="6684" width="0" style="1" hidden="1" customWidth="1"/>
    <col min="6685" max="6685" width="12.77734375" style="1" customWidth="1"/>
    <col min="6686" max="6686" width="17.88671875" style="1" customWidth="1"/>
    <col min="6687" max="6687" width="11.77734375" style="1" customWidth="1"/>
    <col min="6688" max="6688" width="12" style="1" customWidth="1"/>
    <col min="6689" max="6912" width="27.5546875" style="1"/>
    <col min="6913" max="6913" width="19.44140625" style="1" customWidth="1"/>
    <col min="6914" max="6915" width="12.77734375" style="1" customWidth="1"/>
    <col min="6916" max="6916" width="13" style="1" customWidth="1"/>
    <col min="6917" max="6918" width="12.77734375" style="1" customWidth="1"/>
    <col min="6919" max="6921" width="0" style="1" hidden="1" customWidth="1"/>
    <col min="6922" max="6930" width="12.77734375" style="1" customWidth="1"/>
    <col min="6931" max="6931" width="0" style="1" hidden="1" customWidth="1"/>
    <col min="6932" max="6935" width="12.77734375" style="1" customWidth="1"/>
    <col min="6936" max="6936" width="1.77734375" style="1" customWidth="1"/>
    <col min="6937" max="6937" width="12.77734375" style="1" customWidth="1"/>
    <col min="6938" max="6938" width="1.77734375" style="1" customWidth="1"/>
    <col min="6939" max="6940" width="0" style="1" hidden="1" customWidth="1"/>
    <col min="6941" max="6941" width="12.77734375" style="1" customWidth="1"/>
    <col min="6942" max="6942" width="17.88671875" style="1" customWidth="1"/>
    <col min="6943" max="6943" width="11.77734375" style="1" customWidth="1"/>
    <col min="6944" max="6944" width="12" style="1" customWidth="1"/>
    <col min="6945" max="7168" width="27.5546875" style="1"/>
    <col min="7169" max="7169" width="19.44140625" style="1" customWidth="1"/>
    <col min="7170" max="7171" width="12.77734375" style="1" customWidth="1"/>
    <col min="7172" max="7172" width="13" style="1" customWidth="1"/>
    <col min="7173" max="7174" width="12.77734375" style="1" customWidth="1"/>
    <col min="7175" max="7177" width="0" style="1" hidden="1" customWidth="1"/>
    <col min="7178" max="7186" width="12.77734375" style="1" customWidth="1"/>
    <col min="7187" max="7187" width="0" style="1" hidden="1" customWidth="1"/>
    <col min="7188" max="7191" width="12.77734375" style="1" customWidth="1"/>
    <col min="7192" max="7192" width="1.77734375" style="1" customWidth="1"/>
    <col min="7193" max="7193" width="12.77734375" style="1" customWidth="1"/>
    <col min="7194" max="7194" width="1.77734375" style="1" customWidth="1"/>
    <col min="7195" max="7196" width="0" style="1" hidden="1" customWidth="1"/>
    <col min="7197" max="7197" width="12.77734375" style="1" customWidth="1"/>
    <col min="7198" max="7198" width="17.88671875" style="1" customWidth="1"/>
    <col min="7199" max="7199" width="11.77734375" style="1" customWidth="1"/>
    <col min="7200" max="7200" width="12" style="1" customWidth="1"/>
    <col min="7201" max="7424" width="27.5546875" style="1"/>
    <col min="7425" max="7425" width="19.44140625" style="1" customWidth="1"/>
    <col min="7426" max="7427" width="12.77734375" style="1" customWidth="1"/>
    <col min="7428" max="7428" width="13" style="1" customWidth="1"/>
    <col min="7429" max="7430" width="12.77734375" style="1" customWidth="1"/>
    <col min="7431" max="7433" width="0" style="1" hidden="1" customWidth="1"/>
    <col min="7434" max="7442" width="12.77734375" style="1" customWidth="1"/>
    <col min="7443" max="7443" width="0" style="1" hidden="1" customWidth="1"/>
    <col min="7444" max="7447" width="12.77734375" style="1" customWidth="1"/>
    <col min="7448" max="7448" width="1.77734375" style="1" customWidth="1"/>
    <col min="7449" max="7449" width="12.77734375" style="1" customWidth="1"/>
    <col min="7450" max="7450" width="1.77734375" style="1" customWidth="1"/>
    <col min="7451" max="7452" width="0" style="1" hidden="1" customWidth="1"/>
    <col min="7453" max="7453" width="12.77734375" style="1" customWidth="1"/>
    <col min="7454" max="7454" width="17.88671875" style="1" customWidth="1"/>
    <col min="7455" max="7455" width="11.77734375" style="1" customWidth="1"/>
    <col min="7456" max="7456" width="12" style="1" customWidth="1"/>
    <col min="7457" max="7680" width="27.5546875" style="1"/>
    <col min="7681" max="7681" width="19.44140625" style="1" customWidth="1"/>
    <col min="7682" max="7683" width="12.77734375" style="1" customWidth="1"/>
    <col min="7684" max="7684" width="13" style="1" customWidth="1"/>
    <col min="7685" max="7686" width="12.77734375" style="1" customWidth="1"/>
    <col min="7687" max="7689" width="0" style="1" hidden="1" customWidth="1"/>
    <col min="7690" max="7698" width="12.77734375" style="1" customWidth="1"/>
    <col min="7699" max="7699" width="0" style="1" hidden="1" customWidth="1"/>
    <col min="7700" max="7703" width="12.77734375" style="1" customWidth="1"/>
    <col min="7704" max="7704" width="1.77734375" style="1" customWidth="1"/>
    <col min="7705" max="7705" width="12.77734375" style="1" customWidth="1"/>
    <col min="7706" max="7706" width="1.77734375" style="1" customWidth="1"/>
    <col min="7707" max="7708" width="0" style="1" hidden="1" customWidth="1"/>
    <col min="7709" max="7709" width="12.77734375" style="1" customWidth="1"/>
    <col min="7710" max="7710" width="17.88671875" style="1" customWidth="1"/>
    <col min="7711" max="7711" width="11.77734375" style="1" customWidth="1"/>
    <col min="7712" max="7712" width="12" style="1" customWidth="1"/>
    <col min="7713" max="7936" width="27.5546875" style="1"/>
    <col min="7937" max="7937" width="19.44140625" style="1" customWidth="1"/>
    <col min="7938" max="7939" width="12.77734375" style="1" customWidth="1"/>
    <col min="7940" max="7940" width="13" style="1" customWidth="1"/>
    <col min="7941" max="7942" width="12.77734375" style="1" customWidth="1"/>
    <col min="7943" max="7945" width="0" style="1" hidden="1" customWidth="1"/>
    <col min="7946" max="7954" width="12.77734375" style="1" customWidth="1"/>
    <col min="7955" max="7955" width="0" style="1" hidden="1" customWidth="1"/>
    <col min="7956" max="7959" width="12.77734375" style="1" customWidth="1"/>
    <col min="7960" max="7960" width="1.77734375" style="1" customWidth="1"/>
    <col min="7961" max="7961" width="12.77734375" style="1" customWidth="1"/>
    <col min="7962" max="7962" width="1.77734375" style="1" customWidth="1"/>
    <col min="7963" max="7964" width="0" style="1" hidden="1" customWidth="1"/>
    <col min="7965" max="7965" width="12.77734375" style="1" customWidth="1"/>
    <col min="7966" max="7966" width="17.88671875" style="1" customWidth="1"/>
    <col min="7967" max="7967" width="11.77734375" style="1" customWidth="1"/>
    <col min="7968" max="7968" width="12" style="1" customWidth="1"/>
    <col min="7969" max="8192" width="27.5546875" style="1"/>
    <col min="8193" max="8193" width="19.44140625" style="1" customWidth="1"/>
    <col min="8194" max="8195" width="12.77734375" style="1" customWidth="1"/>
    <col min="8196" max="8196" width="13" style="1" customWidth="1"/>
    <col min="8197" max="8198" width="12.77734375" style="1" customWidth="1"/>
    <col min="8199" max="8201" width="0" style="1" hidden="1" customWidth="1"/>
    <col min="8202" max="8210" width="12.77734375" style="1" customWidth="1"/>
    <col min="8211" max="8211" width="0" style="1" hidden="1" customWidth="1"/>
    <col min="8212" max="8215" width="12.77734375" style="1" customWidth="1"/>
    <col min="8216" max="8216" width="1.77734375" style="1" customWidth="1"/>
    <col min="8217" max="8217" width="12.77734375" style="1" customWidth="1"/>
    <col min="8218" max="8218" width="1.77734375" style="1" customWidth="1"/>
    <col min="8219" max="8220" width="0" style="1" hidden="1" customWidth="1"/>
    <col min="8221" max="8221" width="12.77734375" style="1" customWidth="1"/>
    <col min="8222" max="8222" width="17.88671875" style="1" customWidth="1"/>
    <col min="8223" max="8223" width="11.77734375" style="1" customWidth="1"/>
    <col min="8224" max="8224" width="12" style="1" customWidth="1"/>
    <col min="8225" max="8448" width="27.5546875" style="1"/>
    <col min="8449" max="8449" width="19.44140625" style="1" customWidth="1"/>
    <col min="8450" max="8451" width="12.77734375" style="1" customWidth="1"/>
    <col min="8452" max="8452" width="13" style="1" customWidth="1"/>
    <col min="8453" max="8454" width="12.77734375" style="1" customWidth="1"/>
    <col min="8455" max="8457" width="0" style="1" hidden="1" customWidth="1"/>
    <col min="8458" max="8466" width="12.77734375" style="1" customWidth="1"/>
    <col min="8467" max="8467" width="0" style="1" hidden="1" customWidth="1"/>
    <col min="8468" max="8471" width="12.77734375" style="1" customWidth="1"/>
    <col min="8472" max="8472" width="1.77734375" style="1" customWidth="1"/>
    <col min="8473" max="8473" width="12.77734375" style="1" customWidth="1"/>
    <col min="8474" max="8474" width="1.77734375" style="1" customWidth="1"/>
    <col min="8475" max="8476" width="0" style="1" hidden="1" customWidth="1"/>
    <col min="8477" max="8477" width="12.77734375" style="1" customWidth="1"/>
    <col min="8478" max="8478" width="17.88671875" style="1" customWidth="1"/>
    <col min="8479" max="8479" width="11.77734375" style="1" customWidth="1"/>
    <col min="8480" max="8480" width="12" style="1" customWidth="1"/>
    <col min="8481" max="8704" width="27.5546875" style="1"/>
    <col min="8705" max="8705" width="19.44140625" style="1" customWidth="1"/>
    <col min="8706" max="8707" width="12.77734375" style="1" customWidth="1"/>
    <col min="8708" max="8708" width="13" style="1" customWidth="1"/>
    <col min="8709" max="8710" width="12.77734375" style="1" customWidth="1"/>
    <col min="8711" max="8713" width="0" style="1" hidden="1" customWidth="1"/>
    <col min="8714" max="8722" width="12.77734375" style="1" customWidth="1"/>
    <col min="8723" max="8723" width="0" style="1" hidden="1" customWidth="1"/>
    <col min="8724" max="8727" width="12.77734375" style="1" customWidth="1"/>
    <col min="8728" max="8728" width="1.77734375" style="1" customWidth="1"/>
    <col min="8729" max="8729" width="12.77734375" style="1" customWidth="1"/>
    <col min="8730" max="8730" width="1.77734375" style="1" customWidth="1"/>
    <col min="8731" max="8732" width="0" style="1" hidden="1" customWidth="1"/>
    <col min="8733" max="8733" width="12.77734375" style="1" customWidth="1"/>
    <col min="8734" max="8734" width="17.88671875" style="1" customWidth="1"/>
    <col min="8735" max="8735" width="11.77734375" style="1" customWidth="1"/>
    <col min="8736" max="8736" width="12" style="1" customWidth="1"/>
    <col min="8737" max="8960" width="27.5546875" style="1"/>
    <col min="8961" max="8961" width="19.44140625" style="1" customWidth="1"/>
    <col min="8962" max="8963" width="12.77734375" style="1" customWidth="1"/>
    <col min="8964" max="8964" width="13" style="1" customWidth="1"/>
    <col min="8965" max="8966" width="12.77734375" style="1" customWidth="1"/>
    <col min="8967" max="8969" width="0" style="1" hidden="1" customWidth="1"/>
    <col min="8970" max="8978" width="12.77734375" style="1" customWidth="1"/>
    <col min="8979" max="8979" width="0" style="1" hidden="1" customWidth="1"/>
    <col min="8980" max="8983" width="12.77734375" style="1" customWidth="1"/>
    <col min="8984" max="8984" width="1.77734375" style="1" customWidth="1"/>
    <col min="8985" max="8985" width="12.77734375" style="1" customWidth="1"/>
    <col min="8986" max="8986" width="1.77734375" style="1" customWidth="1"/>
    <col min="8987" max="8988" width="0" style="1" hidden="1" customWidth="1"/>
    <col min="8989" max="8989" width="12.77734375" style="1" customWidth="1"/>
    <col min="8990" max="8990" width="17.88671875" style="1" customWidth="1"/>
    <col min="8991" max="8991" width="11.77734375" style="1" customWidth="1"/>
    <col min="8992" max="8992" width="12" style="1" customWidth="1"/>
    <col min="8993" max="9216" width="27.5546875" style="1"/>
    <col min="9217" max="9217" width="19.44140625" style="1" customWidth="1"/>
    <col min="9218" max="9219" width="12.77734375" style="1" customWidth="1"/>
    <col min="9220" max="9220" width="13" style="1" customWidth="1"/>
    <col min="9221" max="9222" width="12.77734375" style="1" customWidth="1"/>
    <col min="9223" max="9225" width="0" style="1" hidden="1" customWidth="1"/>
    <col min="9226" max="9234" width="12.77734375" style="1" customWidth="1"/>
    <col min="9235" max="9235" width="0" style="1" hidden="1" customWidth="1"/>
    <col min="9236" max="9239" width="12.77734375" style="1" customWidth="1"/>
    <col min="9240" max="9240" width="1.77734375" style="1" customWidth="1"/>
    <col min="9241" max="9241" width="12.77734375" style="1" customWidth="1"/>
    <col min="9242" max="9242" width="1.77734375" style="1" customWidth="1"/>
    <col min="9243" max="9244" width="0" style="1" hidden="1" customWidth="1"/>
    <col min="9245" max="9245" width="12.77734375" style="1" customWidth="1"/>
    <col min="9246" max="9246" width="17.88671875" style="1" customWidth="1"/>
    <col min="9247" max="9247" width="11.77734375" style="1" customWidth="1"/>
    <col min="9248" max="9248" width="12" style="1" customWidth="1"/>
    <col min="9249" max="9472" width="27.5546875" style="1"/>
    <col min="9473" max="9473" width="19.44140625" style="1" customWidth="1"/>
    <col min="9474" max="9475" width="12.77734375" style="1" customWidth="1"/>
    <col min="9476" max="9476" width="13" style="1" customWidth="1"/>
    <col min="9477" max="9478" width="12.77734375" style="1" customWidth="1"/>
    <col min="9479" max="9481" width="0" style="1" hidden="1" customWidth="1"/>
    <col min="9482" max="9490" width="12.77734375" style="1" customWidth="1"/>
    <col min="9491" max="9491" width="0" style="1" hidden="1" customWidth="1"/>
    <col min="9492" max="9495" width="12.77734375" style="1" customWidth="1"/>
    <col min="9496" max="9496" width="1.77734375" style="1" customWidth="1"/>
    <col min="9497" max="9497" width="12.77734375" style="1" customWidth="1"/>
    <col min="9498" max="9498" width="1.77734375" style="1" customWidth="1"/>
    <col min="9499" max="9500" width="0" style="1" hidden="1" customWidth="1"/>
    <col min="9501" max="9501" width="12.77734375" style="1" customWidth="1"/>
    <col min="9502" max="9502" width="17.88671875" style="1" customWidth="1"/>
    <col min="9503" max="9503" width="11.77734375" style="1" customWidth="1"/>
    <col min="9504" max="9504" width="12" style="1" customWidth="1"/>
    <col min="9505" max="9728" width="27.5546875" style="1"/>
    <col min="9729" max="9729" width="19.44140625" style="1" customWidth="1"/>
    <col min="9730" max="9731" width="12.77734375" style="1" customWidth="1"/>
    <col min="9732" max="9732" width="13" style="1" customWidth="1"/>
    <col min="9733" max="9734" width="12.77734375" style="1" customWidth="1"/>
    <col min="9735" max="9737" width="0" style="1" hidden="1" customWidth="1"/>
    <col min="9738" max="9746" width="12.77734375" style="1" customWidth="1"/>
    <col min="9747" max="9747" width="0" style="1" hidden="1" customWidth="1"/>
    <col min="9748" max="9751" width="12.77734375" style="1" customWidth="1"/>
    <col min="9752" max="9752" width="1.77734375" style="1" customWidth="1"/>
    <col min="9753" max="9753" width="12.77734375" style="1" customWidth="1"/>
    <col min="9754" max="9754" width="1.77734375" style="1" customWidth="1"/>
    <col min="9755" max="9756" width="0" style="1" hidden="1" customWidth="1"/>
    <col min="9757" max="9757" width="12.77734375" style="1" customWidth="1"/>
    <col min="9758" max="9758" width="17.88671875" style="1" customWidth="1"/>
    <col min="9759" max="9759" width="11.77734375" style="1" customWidth="1"/>
    <col min="9760" max="9760" width="12" style="1" customWidth="1"/>
    <col min="9761" max="9984" width="27.5546875" style="1"/>
    <col min="9985" max="9985" width="19.44140625" style="1" customWidth="1"/>
    <col min="9986" max="9987" width="12.77734375" style="1" customWidth="1"/>
    <col min="9988" max="9988" width="13" style="1" customWidth="1"/>
    <col min="9989" max="9990" width="12.77734375" style="1" customWidth="1"/>
    <col min="9991" max="9993" width="0" style="1" hidden="1" customWidth="1"/>
    <col min="9994" max="10002" width="12.77734375" style="1" customWidth="1"/>
    <col min="10003" max="10003" width="0" style="1" hidden="1" customWidth="1"/>
    <col min="10004" max="10007" width="12.77734375" style="1" customWidth="1"/>
    <col min="10008" max="10008" width="1.77734375" style="1" customWidth="1"/>
    <col min="10009" max="10009" width="12.77734375" style="1" customWidth="1"/>
    <col min="10010" max="10010" width="1.77734375" style="1" customWidth="1"/>
    <col min="10011" max="10012" width="0" style="1" hidden="1" customWidth="1"/>
    <col min="10013" max="10013" width="12.77734375" style="1" customWidth="1"/>
    <col min="10014" max="10014" width="17.88671875" style="1" customWidth="1"/>
    <col min="10015" max="10015" width="11.77734375" style="1" customWidth="1"/>
    <col min="10016" max="10016" width="12" style="1" customWidth="1"/>
    <col min="10017" max="10240" width="27.5546875" style="1"/>
    <col min="10241" max="10241" width="19.44140625" style="1" customWidth="1"/>
    <col min="10242" max="10243" width="12.77734375" style="1" customWidth="1"/>
    <col min="10244" max="10244" width="13" style="1" customWidth="1"/>
    <col min="10245" max="10246" width="12.77734375" style="1" customWidth="1"/>
    <col min="10247" max="10249" width="0" style="1" hidden="1" customWidth="1"/>
    <col min="10250" max="10258" width="12.77734375" style="1" customWidth="1"/>
    <col min="10259" max="10259" width="0" style="1" hidden="1" customWidth="1"/>
    <col min="10260" max="10263" width="12.77734375" style="1" customWidth="1"/>
    <col min="10264" max="10264" width="1.77734375" style="1" customWidth="1"/>
    <col min="10265" max="10265" width="12.77734375" style="1" customWidth="1"/>
    <col min="10266" max="10266" width="1.77734375" style="1" customWidth="1"/>
    <col min="10267" max="10268" width="0" style="1" hidden="1" customWidth="1"/>
    <col min="10269" max="10269" width="12.77734375" style="1" customWidth="1"/>
    <col min="10270" max="10270" width="17.88671875" style="1" customWidth="1"/>
    <col min="10271" max="10271" width="11.77734375" style="1" customWidth="1"/>
    <col min="10272" max="10272" width="12" style="1" customWidth="1"/>
    <col min="10273" max="10496" width="27.5546875" style="1"/>
    <col min="10497" max="10497" width="19.44140625" style="1" customWidth="1"/>
    <col min="10498" max="10499" width="12.77734375" style="1" customWidth="1"/>
    <col min="10500" max="10500" width="13" style="1" customWidth="1"/>
    <col min="10501" max="10502" width="12.77734375" style="1" customWidth="1"/>
    <col min="10503" max="10505" width="0" style="1" hidden="1" customWidth="1"/>
    <col min="10506" max="10514" width="12.77734375" style="1" customWidth="1"/>
    <col min="10515" max="10515" width="0" style="1" hidden="1" customWidth="1"/>
    <col min="10516" max="10519" width="12.77734375" style="1" customWidth="1"/>
    <col min="10520" max="10520" width="1.77734375" style="1" customWidth="1"/>
    <col min="10521" max="10521" width="12.77734375" style="1" customWidth="1"/>
    <col min="10522" max="10522" width="1.77734375" style="1" customWidth="1"/>
    <col min="10523" max="10524" width="0" style="1" hidden="1" customWidth="1"/>
    <col min="10525" max="10525" width="12.77734375" style="1" customWidth="1"/>
    <col min="10526" max="10526" width="17.88671875" style="1" customWidth="1"/>
    <col min="10527" max="10527" width="11.77734375" style="1" customWidth="1"/>
    <col min="10528" max="10528" width="12" style="1" customWidth="1"/>
    <col min="10529" max="10752" width="27.5546875" style="1"/>
    <col min="10753" max="10753" width="19.44140625" style="1" customWidth="1"/>
    <col min="10754" max="10755" width="12.77734375" style="1" customWidth="1"/>
    <col min="10756" max="10756" width="13" style="1" customWidth="1"/>
    <col min="10757" max="10758" width="12.77734375" style="1" customWidth="1"/>
    <col min="10759" max="10761" width="0" style="1" hidden="1" customWidth="1"/>
    <col min="10762" max="10770" width="12.77734375" style="1" customWidth="1"/>
    <col min="10771" max="10771" width="0" style="1" hidden="1" customWidth="1"/>
    <col min="10772" max="10775" width="12.77734375" style="1" customWidth="1"/>
    <col min="10776" max="10776" width="1.77734375" style="1" customWidth="1"/>
    <col min="10777" max="10777" width="12.77734375" style="1" customWidth="1"/>
    <col min="10778" max="10778" width="1.77734375" style="1" customWidth="1"/>
    <col min="10779" max="10780" width="0" style="1" hidden="1" customWidth="1"/>
    <col min="10781" max="10781" width="12.77734375" style="1" customWidth="1"/>
    <col min="10782" max="10782" width="17.88671875" style="1" customWidth="1"/>
    <col min="10783" max="10783" width="11.77734375" style="1" customWidth="1"/>
    <col min="10784" max="10784" width="12" style="1" customWidth="1"/>
    <col min="10785" max="11008" width="27.5546875" style="1"/>
    <col min="11009" max="11009" width="19.44140625" style="1" customWidth="1"/>
    <col min="11010" max="11011" width="12.77734375" style="1" customWidth="1"/>
    <col min="11012" max="11012" width="13" style="1" customWidth="1"/>
    <col min="11013" max="11014" width="12.77734375" style="1" customWidth="1"/>
    <col min="11015" max="11017" width="0" style="1" hidden="1" customWidth="1"/>
    <col min="11018" max="11026" width="12.77734375" style="1" customWidth="1"/>
    <col min="11027" max="11027" width="0" style="1" hidden="1" customWidth="1"/>
    <col min="11028" max="11031" width="12.77734375" style="1" customWidth="1"/>
    <col min="11032" max="11032" width="1.77734375" style="1" customWidth="1"/>
    <col min="11033" max="11033" width="12.77734375" style="1" customWidth="1"/>
    <col min="11034" max="11034" width="1.77734375" style="1" customWidth="1"/>
    <col min="11035" max="11036" width="0" style="1" hidden="1" customWidth="1"/>
    <col min="11037" max="11037" width="12.77734375" style="1" customWidth="1"/>
    <col min="11038" max="11038" width="17.88671875" style="1" customWidth="1"/>
    <col min="11039" max="11039" width="11.77734375" style="1" customWidth="1"/>
    <col min="11040" max="11040" width="12" style="1" customWidth="1"/>
    <col min="11041" max="11264" width="27.5546875" style="1"/>
    <col min="11265" max="11265" width="19.44140625" style="1" customWidth="1"/>
    <col min="11266" max="11267" width="12.77734375" style="1" customWidth="1"/>
    <col min="11268" max="11268" width="13" style="1" customWidth="1"/>
    <col min="11269" max="11270" width="12.77734375" style="1" customWidth="1"/>
    <col min="11271" max="11273" width="0" style="1" hidden="1" customWidth="1"/>
    <col min="11274" max="11282" width="12.77734375" style="1" customWidth="1"/>
    <col min="11283" max="11283" width="0" style="1" hidden="1" customWidth="1"/>
    <col min="11284" max="11287" width="12.77734375" style="1" customWidth="1"/>
    <col min="11288" max="11288" width="1.77734375" style="1" customWidth="1"/>
    <col min="11289" max="11289" width="12.77734375" style="1" customWidth="1"/>
    <col min="11290" max="11290" width="1.77734375" style="1" customWidth="1"/>
    <col min="11291" max="11292" width="0" style="1" hidden="1" customWidth="1"/>
    <col min="11293" max="11293" width="12.77734375" style="1" customWidth="1"/>
    <col min="11294" max="11294" width="17.88671875" style="1" customWidth="1"/>
    <col min="11295" max="11295" width="11.77734375" style="1" customWidth="1"/>
    <col min="11296" max="11296" width="12" style="1" customWidth="1"/>
    <col min="11297" max="11520" width="27.5546875" style="1"/>
    <col min="11521" max="11521" width="19.44140625" style="1" customWidth="1"/>
    <col min="11522" max="11523" width="12.77734375" style="1" customWidth="1"/>
    <col min="11524" max="11524" width="13" style="1" customWidth="1"/>
    <col min="11525" max="11526" width="12.77734375" style="1" customWidth="1"/>
    <col min="11527" max="11529" width="0" style="1" hidden="1" customWidth="1"/>
    <col min="11530" max="11538" width="12.77734375" style="1" customWidth="1"/>
    <col min="11539" max="11539" width="0" style="1" hidden="1" customWidth="1"/>
    <col min="11540" max="11543" width="12.77734375" style="1" customWidth="1"/>
    <col min="11544" max="11544" width="1.77734375" style="1" customWidth="1"/>
    <col min="11545" max="11545" width="12.77734375" style="1" customWidth="1"/>
    <col min="11546" max="11546" width="1.77734375" style="1" customWidth="1"/>
    <col min="11547" max="11548" width="0" style="1" hidden="1" customWidth="1"/>
    <col min="11549" max="11549" width="12.77734375" style="1" customWidth="1"/>
    <col min="11550" max="11550" width="17.88671875" style="1" customWidth="1"/>
    <col min="11551" max="11551" width="11.77734375" style="1" customWidth="1"/>
    <col min="11552" max="11552" width="12" style="1" customWidth="1"/>
    <col min="11553" max="11776" width="27.5546875" style="1"/>
    <col min="11777" max="11777" width="19.44140625" style="1" customWidth="1"/>
    <col min="11778" max="11779" width="12.77734375" style="1" customWidth="1"/>
    <col min="11780" max="11780" width="13" style="1" customWidth="1"/>
    <col min="11781" max="11782" width="12.77734375" style="1" customWidth="1"/>
    <col min="11783" max="11785" width="0" style="1" hidden="1" customWidth="1"/>
    <col min="11786" max="11794" width="12.77734375" style="1" customWidth="1"/>
    <col min="11795" max="11795" width="0" style="1" hidden="1" customWidth="1"/>
    <col min="11796" max="11799" width="12.77734375" style="1" customWidth="1"/>
    <col min="11800" max="11800" width="1.77734375" style="1" customWidth="1"/>
    <col min="11801" max="11801" width="12.77734375" style="1" customWidth="1"/>
    <col min="11802" max="11802" width="1.77734375" style="1" customWidth="1"/>
    <col min="11803" max="11804" width="0" style="1" hidden="1" customWidth="1"/>
    <col min="11805" max="11805" width="12.77734375" style="1" customWidth="1"/>
    <col min="11806" max="11806" width="17.88671875" style="1" customWidth="1"/>
    <col min="11807" max="11807" width="11.77734375" style="1" customWidth="1"/>
    <col min="11808" max="11808" width="12" style="1" customWidth="1"/>
    <col min="11809" max="12032" width="27.5546875" style="1"/>
    <col min="12033" max="12033" width="19.44140625" style="1" customWidth="1"/>
    <col min="12034" max="12035" width="12.77734375" style="1" customWidth="1"/>
    <col min="12036" max="12036" width="13" style="1" customWidth="1"/>
    <col min="12037" max="12038" width="12.77734375" style="1" customWidth="1"/>
    <col min="12039" max="12041" width="0" style="1" hidden="1" customWidth="1"/>
    <col min="12042" max="12050" width="12.77734375" style="1" customWidth="1"/>
    <col min="12051" max="12051" width="0" style="1" hidden="1" customWidth="1"/>
    <col min="12052" max="12055" width="12.77734375" style="1" customWidth="1"/>
    <col min="12056" max="12056" width="1.77734375" style="1" customWidth="1"/>
    <col min="12057" max="12057" width="12.77734375" style="1" customWidth="1"/>
    <col min="12058" max="12058" width="1.77734375" style="1" customWidth="1"/>
    <col min="12059" max="12060" width="0" style="1" hidden="1" customWidth="1"/>
    <col min="12061" max="12061" width="12.77734375" style="1" customWidth="1"/>
    <col min="12062" max="12062" width="17.88671875" style="1" customWidth="1"/>
    <col min="12063" max="12063" width="11.77734375" style="1" customWidth="1"/>
    <col min="12064" max="12064" width="12" style="1" customWidth="1"/>
    <col min="12065" max="12288" width="27.5546875" style="1"/>
    <col min="12289" max="12289" width="19.44140625" style="1" customWidth="1"/>
    <col min="12290" max="12291" width="12.77734375" style="1" customWidth="1"/>
    <col min="12292" max="12292" width="13" style="1" customWidth="1"/>
    <col min="12293" max="12294" width="12.77734375" style="1" customWidth="1"/>
    <col min="12295" max="12297" width="0" style="1" hidden="1" customWidth="1"/>
    <col min="12298" max="12306" width="12.77734375" style="1" customWidth="1"/>
    <col min="12307" max="12307" width="0" style="1" hidden="1" customWidth="1"/>
    <col min="12308" max="12311" width="12.77734375" style="1" customWidth="1"/>
    <col min="12312" max="12312" width="1.77734375" style="1" customWidth="1"/>
    <col min="12313" max="12313" width="12.77734375" style="1" customWidth="1"/>
    <col min="12314" max="12314" width="1.77734375" style="1" customWidth="1"/>
    <col min="12315" max="12316" width="0" style="1" hidden="1" customWidth="1"/>
    <col min="12317" max="12317" width="12.77734375" style="1" customWidth="1"/>
    <col min="12318" max="12318" width="17.88671875" style="1" customWidth="1"/>
    <col min="12319" max="12319" width="11.77734375" style="1" customWidth="1"/>
    <col min="12320" max="12320" width="12" style="1" customWidth="1"/>
    <col min="12321" max="12544" width="27.5546875" style="1"/>
    <col min="12545" max="12545" width="19.44140625" style="1" customWidth="1"/>
    <col min="12546" max="12547" width="12.77734375" style="1" customWidth="1"/>
    <col min="12548" max="12548" width="13" style="1" customWidth="1"/>
    <col min="12549" max="12550" width="12.77734375" style="1" customWidth="1"/>
    <col min="12551" max="12553" width="0" style="1" hidden="1" customWidth="1"/>
    <col min="12554" max="12562" width="12.77734375" style="1" customWidth="1"/>
    <col min="12563" max="12563" width="0" style="1" hidden="1" customWidth="1"/>
    <col min="12564" max="12567" width="12.77734375" style="1" customWidth="1"/>
    <col min="12568" max="12568" width="1.77734375" style="1" customWidth="1"/>
    <col min="12569" max="12569" width="12.77734375" style="1" customWidth="1"/>
    <col min="12570" max="12570" width="1.77734375" style="1" customWidth="1"/>
    <col min="12571" max="12572" width="0" style="1" hidden="1" customWidth="1"/>
    <col min="12573" max="12573" width="12.77734375" style="1" customWidth="1"/>
    <col min="12574" max="12574" width="17.88671875" style="1" customWidth="1"/>
    <col min="12575" max="12575" width="11.77734375" style="1" customWidth="1"/>
    <col min="12576" max="12576" width="12" style="1" customWidth="1"/>
    <col min="12577" max="12800" width="27.5546875" style="1"/>
    <col min="12801" max="12801" width="19.44140625" style="1" customWidth="1"/>
    <col min="12802" max="12803" width="12.77734375" style="1" customWidth="1"/>
    <col min="12804" max="12804" width="13" style="1" customWidth="1"/>
    <col min="12805" max="12806" width="12.77734375" style="1" customWidth="1"/>
    <col min="12807" max="12809" width="0" style="1" hidden="1" customWidth="1"/>
    <col min="12810" max="12818" width="12.77734375" style="1" customWidth="1"/>
    <col min="12819" max="12819" width="0" style="1" hidden="1" customWidth="1"/>
    <col min="12820" max="12823" width="12.77734375" style="1" customWidth="1"/>
    <col min="12824" max="12824" width="1.77734375" style="1" customWidth="1"/>
    <col min="12825" max="12825" width="12.77734375" style="1" customWidth="1"/>
    <col min="12826" max="12826" width="1.77734375" style="1" customWidth="1"/>
    <col min="12827" max="12828" width="0" style="1" hidden="1" customWidth="1"/>
    <col min="12829" max="12829" width="12.77734375" style="1" customWidth="1"/>
    <col min="12830" max="12830" width="17.88671875" style="1" customWidth="1"/>
    <col min="12831" max="12831" width="11.77734375" style="1" customWidth="1"/>
    <col min="12832" max="12832" width="12" style="1" customWidth="1"/>
    <col min="12833" max="13056" width="27.5546875" style="1"/>
    <col min="13057" max="13057" width="19.44140625" style="1" customWidth="1"/>
    <col min="13058" max="13059" width="12.77734375" style="1" customWidth="1"/>
    <col min="13060" max="13060" width="13" style="1" customWidth="1"/>
    <col min="13061" max="13062" width="12.77734375" style="1" customWidth="1"/>
    <col min="13063" max="13065" width="0" style="1" hidden="1" customWidth="1"/>
    <col min="13066" max="13074" width="12.77734375" style="1" customWidth="1"/>
    <col min="13075" max="13075" width="0" style="1" hidden="1" customWidth="1"/>
    <col min="13076" max="13079" width="12.77734375" style="1" customWidth="1"/>
    <col min="13080" max="13080" width="1.77734375" style="1" customWidth="1"/>
    <col min="13081" max="13081" width="12.77734375" style="1" customWidth="1"/>
    <col min="13082" max="13082" width="1.77734375" style="1" customWidth="1"/>
    <col min="13083" max="13084" width="0" style="1" hidden="1" customWidth="1"/>
    <col min="13085" max="13085" width="12.77734375" style="1" customWidth="1"/>
    <col min="13086" max="13086" width="17.88671875" style="1" customWidth="1"/>
    <col min="13087" max="13087" width="11.77734375" style="1" customWidth="1"/>
    <col min="13088" max="13088" width="12" style="1" customWidth="1"/>
    <col min="13089" max="13312" width="27.5546875" style="1"/>
    <col min="13313" max="13313" width="19.44140625" style="1" customWidth="1"/>
    <col min="13314" max="13315" width="12.77734375" style="1" customWidth="1"/>
    <col min="13316" max="13316" width="13" style="1" customWidth="1"/>
    <col min="13317" max="13318" width="12.77734375" style="1" customWidth="1"/>
    <col min="13319" max="13321" width="0" style="1" hidden="1" customWidth="1"/>
    <col min="13322" max="13330" width="12.77734375" style="1" customWidth="1"/>
    <col min="13331" max="13331" width="0" style="1" hidden="1" customWidth="1"/>
    <col min="13332" max="13335" width="12.77734375" style="1" customWidth="1"/>
    <col min="13336" max="13336" width="1.77734375" style="1" customWidth="1"/>
    <col min="13337" max="13337" width="12.77734375" style="1" customWidth="1"/>
    <col min="13338" max="13338" width="1.77734375" style="1" customWidth="1"/>
    <col min="13339" max="13340" width="0" style="1" hidden="1" customWidth="1"/>
    <col min="13341" max="13341" width="12.77734375" style="1" customWidth="1"/>
    <col min="13342" max="13342" width="17.88671875" style="1" customWidth="1"/>
    <col min="13343" max="13343" width="11.77734375" style="1" customWidth="1"/>
    <col min="13344" max="13344" width="12" style="1" customWidth="1"/>
    <col min="13345" max="13568" width="27.5546875" style="1"/>
    <col min="13569" max="13569" width="19.44140625" style="1" customWidth="1"/>
    <col min="13570" max="13571" width="12.77734375" style="1" customWidth="1"/>
    <col min="13572" max="13572" width="13" style="1" customWidth="1"/>
    <col min="13573" max="13574" width="12.77734375" style="1" customWidth="1"/>
    <col min="13575" max="13577" width="0" style="1" hidden="1" customWidth="1"/>
    <col min="13578" max="13586" width="12.77734375" style="1" customWidth="1"/>
    <col min="13587" max="13587" width="0" style="1" hidden="1" customWidth="1"/>
    <col min="13588" max="13591" width="12.77734375" style="1" customWidth="1"/>
    <col min="13592" max="13592" width="1.77734375" style="1" customWidth="1"/>
    <col min="13593" max="13593" width="12.77734375" style="1" customWidth="1"/>
    <col min="13594" max="13594" width="1.77734375" style="1" customWidth="1"/>
    <col min="13595" max="13596" width="0" style="1" hidden="1" customWidth="1"/>
    <col min="13597" max="13597" width="12.77734375" style="1" customWidth="1"/>
    <col min="13598" max="13598" width="17.88671875" style="1" customWidth="1"/>
    <col min="13599" max="13599" width="11.77734375" style="1" customWidth="1"/>
    <col min="13600" max="13600" width="12" style="1" customWidth="1"/>
    <col min="13601" max="13824" width="27.5546875" style="1"/>
    <col min="13825" max="13825" width="19.44140625" style="1" customWidth="1"/>
    <col min="13826" max="13827" width="12.77734375" style="1" customWidth="1"/>
    <col min="13828" max="13828" width="13" style="1" customWidth="1"/>
    <col min="13829" max="13830" width="12.77734375" style="1" customWidth="1"/>
    <col min="13831" max="13833" width="0" style="1" hidden="1" customWidth="1"/>
    <col min="13834" max="13842" width="12.77734375" style="1" customWidth="1"/>
    <col min="13843" max="13843" width="0" style="1" hidden="1" customWidth="1"/>
    <col min="13844" max="13847" width="12.77734375" style="1" customWidth="1"/>
    <col min="13848" max="13848" width="1.77734375" style="1" customWidth="1"/>
    <col min="13849" max="13849" width="12.77734375" style="1" customWidth="1"/>
    <col min="13850" max="13850" width="1.77734375" style="1" customWidth="1"/>
    <col min="13851" max="13852" width="0" style="1" hidden="1" customWidth="1"/>
    <col min="13853" max="13853" width="12.77734375" style="1" customWidth="1"/>
    <col min="13854" max="13854" width="17.88671875" style="1" customWidth="1"/>
    <col min="13855" max="13855" width="11.77734375" style="1" customWidth="1"/>
    <col min="13856" max="13856" width="12" style="1" customWidth="1"/>
    <col min="13857" max="14080" width="27.5546875" style="1"/>
    <col min="14081" max="14081" width="19.44140625" style="1" customWidth="1"/>
    <col min="14082" max="14083" width="12.77734375" style="1" customWidth="1"/>
    <col min="14084" max="14084" width="13" style="1" customWidth="1"/>
    <col min="14085" max="14086" width="12.77734375" style="1" customWidth="1"/>
    <col min="14087" max="14089" width="0" style="1" hidden="1" customWidth="1"/>
    <col min="14090" max="14098" width="12.77734375" style="1" customWidth="1"/>
    <col min="14099" max="14099" width="0" style="1" hidden="1" customWidth="1"/>
    <col min="14100" max="14103" width="12.77734375" style="1" customWidth="1"/>
    <col min="14104" max="14104" width="1.77734375" style="1" customWidth="1"/>
    <col min="14105" max="14105" width="12.77734375" style="1" customWidth="1"/>
    <col min="14106" max="14106" width="1.77734375" style="1" customWidth="1"/>
    <col min="14107" max="14108" width="0" style="1" hidden="1" customWidth="1"/>
    <col min="14109" max="14109" width="12.77734375" style="1" customWidth="1"/>
    <col min="14110" max="14110" width="17.88671875" style="1" customWidth="1"/>
    <col min="14111" max="14111" width="11.77734375" style="1" customWidth="1"/>
    <col min="14112" max="14112" width="12" style="1" customWidth="1"/>
    <col min="14113" max="14336" width="27.5546875" style="1"/>
    <col min="14337" max="14337" width="19.44140625" style="1" customWidth="1"/>
    <col min="14338" max="14339" width="12.77734375" style="1" customWidth="1"/>
    <col min="14340" max="14340" width="13" style="1" customWidth="1"/>
    <col min="14341" max="14342" width="12.77734375" style="1" customWidth="1"/>
    <col min="14343" max="14345" width="0" style="1" hidden="1" customWidth="1"/>
    <col min="14346" max="14354" width="12.77734375" style="1" customWidth="1"/>
    <col min="14355" max="14355" width="0" style="1" hidden="1" customWidth="1"/>
    <col min="14356" max="14359" width="12.77734375" style="1" customWidth="1"/>
    <col min="14360" max="14360" width="1.77734375" style="1" customWidth="1"/>
    <col min="14361" max="14361" width="12.77734375" style="1" customWidth="1"/>
    <col min="14362" max="14362" width="1.77734375" style="1" customWidth="1"/>
    <col min="14363" max="14364" width="0" style="1" hidden="1" customWidth="1"/>
    <col min="14365" max="14365" width="12.77734375" style="1" customWidth="1"/>
    <col min="14366" max="14366" width="17.88671875" style="1" customWidth="1"/>
    <col min="14367" max="14367" width="11.77734375" style="1" customWidth="1"/>
    <col min="14368" max="14368" width="12" style="1" customWidth="1"/>
    <col min="14369" max="14592" width="27.5546875" style="1"/>
    <col min="14593" max="14593" width="19.44140625" style="1" customWidth="1"/>
    <col min="14594" max="14595" width="12.77734375" style="1" customWidth="1"/>
    <col min="14596" max="14596" width="13" style="1" customWidth="1"/>
    <col min="14597" max="14598" width="12.77734375" style="1" customWidth="1"/>
    <col min="14599" max="14601" width="0" style="1" hidden="1" customWidth="1"/>
    <col min="14602" max="14610" width="12.77734375" style="1" customWidth="1"/>
    <col min="14611" max="14611" width="0" style="1" hidden="1" customWidth="1"/>
    <col min="14612" max="14615" width="12.77734375" style="1" customWidth="1"/>
    <col min="14616" max="14616" width="1.77734375" style="1" customWidth="1"/>
    <col min="14617" max="14617" width="12.77734375" style="1" customWidth="1"/>
    <col min="14618" max="14618" width="1.77734375" style="1" customWidth="1"/>
    <col min="14619" max="14620" width="0" style="1" hidden="1" customWidth="1"/>
    <col min="14621" max="14621" width="12.77734375" style="1" customWidth="1"/>
    <col min="14622" max="14622" width="17.88671875" style="1" customWidth="1"/>
    <col min="14623" max="14623" width="11.77734375" style="1" customWidth="1"/>
    <col min="14624" max="14624" width="12" style="1" customWidth="1"/>
    <col min="14625" max="14848" width="27.5546875" style="1"/>
    <col min="14849" max="14849" width="19.44140625" style="1" customWidth="1"/>
    <col min="14850" max="14851" width="12.77734375" style="1" customWidth="1"/>
    <col min="14852" max="14852" width="13" style="1" customWidth="1"/>
    <col min="14853" max="14854" width="12.77734375" style="1" customWidth="1"/>
    <col min="14855" max="14857" width="0" style="1" hidden="1" customWidth="1"/>
    <col min="14858" max="14866" width="12.77734375" style="1" customWidth="1"/>
    <col min="14867" max="14867" width="0" style="1" hidden="1" customWidth="1"/>
    <col min="14868" max="14871" width="12.77734375" style="1" customWidth="1"/>
    <col min="14872" max="14872" width="1.77734375" style="1" customWidth="1"/>
    <col min="14873" max="14873" width="12.77734375" style="1" customWidth="1"/>
    <col min="14874" max="14874" width="1.77734375" style="1" customWidth="1"/>
    <col min="14875" max="14876" width="0" style="1" hidden="1" customWidth="1"/>
    <col min="14877" max="14877" width="12.77734375" style="1" customWidth="1"/>
    <col min="14878" max="14878" width="17.88671875" style="1" customWidth="1"/>
    <col min="14879" max="14879" width="11.77734375" style="1" customWidth="1"/>
    <col min="14880" max="14880" width="12" style="1" customWidth="1"/>
    <col min="14881" max="15104" width="27.5546875" style="1"/>
    <col min="15105" max="15105" width="19.44140625" style="1" customWidth="1"/>
    <col min="15106" max="15107" width="12.77734375" style="1" customWidth="1"/>
    <col min="15108" max="15108" width="13" style="1" customWidth="1"/>
    <col min="15109" max="15110" width="12.77734375" style="1" customWidth="1"/>
    <col min="15111" max="15113" width="0" style="1" hidden="1" customWidth="1"/>
    <col min="15114" max="15122" width="12.77734375" style="1" customWidth="1"/>
    <col min="15123" max="15123" width="0" style="1" hidden="1" customWidth="1"/>
    <col min="15124" max="15127" width="12.77734375" style="1" customWidth="1"/>
    <col min="15128" max="15128" width="1.77734375" style="1" customWidth="1"/>
    <col min="15129" max="15129" width="12.77734375" style="1" customWidth="1"/>
    <col min="15130" max="15130" width="1.77734375" style="1" customWidth="1"/>
    <col min="15131" max="15132" width="0" style="1" hidden="1" customWidth="1"/>
    <col min="15133" max="15133" width="12.77734375" style="1" customWidth="1"/>
    <col min="15134" max="15134" width="17.88671875" style="1" customWidth="1"/>
    <col min="15135" max="15135" width="11.77734375" style="1" customWidth="1"/>
    <col min="15136" max="15136" width="12" style="1" customWidth="1"/>
    <col min="15137" max="15360" width="27.5546875" style="1"/>
    <col min="15361" max="15361" width="19.44140625" style="1" customWidth="1"/>
    <col min="15362" max="15363" width="12.77734375" style="1" customWidth="1"/>
    <col min="15364" max="15364" width="13" style="1" customWidth="1"/>
    <col min="15365" max="15366" width="12.77734375" style="1" customWidth="1"/>
    <col min="15367" max="15369" width="0" style="1" hidden="1" customWidth="1"/>
    <col min="15370" max="15378" width="12.77734375" style="1" customWidth="1"/>
    <col min="15379" max="15379" width="0" style="1" hidden="1" customWidth="1"/>
    <col min="15380" max="15383" width="12.77734375" style="1" customWidth="1"/>
    <col min="15384" max="15384" width="1.77734375" style="1" customWidth="1"/>
    <col min="15385" max="15385" width="12.77734375" style="1" customWidth="1"/>
    <col min="15386" max="15386" width="1.77734375" style="1" customWidth="1"/>
    <col min="15387" max="15388" width="0" style="1" hidden="1" customWidth="1"/>
    <col min="15389" max="15389" width="12.77734375" style="1" customWidth="1"/>
    <col min="15390" max="15390" width="17.88671875" style="1" customWidth="1"/>
    <col min="15391" max="15391" width="11.77734375" style="1" customWidth="1"/>
    <col min="15392" max="15392" width="12" style="1" customWidth="1"/>
    <col min="15393" max="15616" width="27.5546875" style="1"/>
    <col min="15617" max="15617" width="19.44140625" style="1" customWidth="1"/>
    <col min="15618" max="15619" width="12.77734375" style="1" customWidth="1"/>
    <col min="15620" max="15620" width="13" style="1" customWidth="1"/>
    <col min="15621" max="15622" width="12.77734375" style="1" customWidth="1"/>
    <col min="15623" max="15625" width="0" style="1" hidden="1" customWidth="1"/>
    <col min="15626" max="15634" width="12.77734375" style="1" customWidth="1"/>
    <col min="15635" max="15635" width="0" style="1" hidden="1" customWidth="1"/>
    <col min="15636" max="15639" width="12.77734375" style="1" customWidth="1"/>
    <col min="15640" max="15640" width="1.77734375" style="1" customWidth="1"/>
    <col min="15641" max="15641" width="12.77734375" style="1" customWidth="1"/>
    <col min="15642" max="15642" width="1.77734375" style="1" customWidth="1"/>
    <col min="15643" max="15644" width="0" style="1" hidden="1" customWidth="1"/>
    <col min="15645" max="15645" width="12.77734375" style="1" customWidth="1"/>
    <col min="15646" max="15646" width="17.88671875" style="1" customWidth="1"/>
    <col min="15647" max="15647" width="11.77734375" style="1" customWidth="1"/>
    <col min="15648" max="15648" width="12" style="1" customWidth="1"/>
    <col min="15649" max="15872" width="27.5546875" style="1"/>
    <col min="15873" max="15873" width="19.44140625" style="1" customWidth="1"/>
    <col min="15874" max="15875" width="12.77734375" style="1" customWidth="1"/>
    <col min="15876" max="15876" width="13" style="1" customWidth="1"/>
    <col min="15877" max="15878" width="12.77734375" style="1" customWidth="1"/>
    <col min="15879" max="15881" width="0" style="1" hidden="1" customWidth="1"/>
    <col min="15882" max="15890" width="12.77734375" style="1" customWidth="1"/>
    <col min="15891" max="15891" width="0" style="1" hidden="1" customWidth="1"/>
    <col min="15892" max="15895" width="12.77734375" style="1" customWidth="1"/>
    <col min="15896" max="15896" width="1.77734375" style="1" customWidth="1"/>
    <col min="15897" max="15897" width="12.77734375" style="1" customWidth="1"/>
    <col min="15898" max="15898" width="1.77734375" style="1" customWidth="1"/>
    <col min="15899" max="15900" width="0" style="1" hidden="1" customWidth="1"/>
    <col min="15901" max="15901" width="12.77734375" style="1" customWidth="1"/>
    <col min="15902" max="15902" width="17.88671875" style="1" customWidth="1"/>
    <col min="15903" max="15903" width="11.77734375" style="1" customWidth="1"/>
    <col min="15904" max="15904" width="12" style="1" customWidth="1"/>
    <col min="15905" max="16128" width="27.5546875" style="1"/>
    <col min="16129" max="16129" width="19.44140625" style="1" customWidth="1"/>
    <col min="16130" max="16131" width="12.77734375" style="1" customWidth="1"/>
    <col min="16132" max="16132" width="13" style="1" customWidth="1"/>
    <col min="16133" max="16134" width="12.77734375" style="1" customWidth="1"/>
    <col min="16135" max="16137" width="0" style="1" hidden="1" customWidth="1"/>
    <col min="16138" max="16146" width="12.77734375" style="1" customWidth="1"/>
    <col min="16147" max="16147" width="0" style="1" hidden="1" customWidth="1"/>
    <col min="16148" max="16151" width="12.77734375" style="1" customWidth="1"/>
    <col min="16152" max="16152" width="1.77734375" style="1" customWidth="1"/>
    <col min="16153" max="16153" width="12.77734375" style="1" customWidth="1"/>
    <col min="16154" max="16154" width="1.77734375" style="1" customWidth="1"/>
    <col min="16155" max="16156" width="0" style="1" hidden="1" customWidth="1"/>
    <col min="16157" max="16157" width="12.77734375" style="1" customWidth="1"/>
    <col min="16158" max="16158" width="17.88671875" style="1" customWidth="1"/>
    <col min="16159" max="16159" width="11.77734375" style="1" customWidth="1"/>
    <col min="16160" max="16160" width="12" style="1" customWidth="1"/>
    <col min="16161" max="16384" width="27.5546875" style="1"/>
  </cols>
  <sheetData>
    <row r="1" spans="1:52" ht="36.75" customHeight="1" x14ac:dyDescent="0.25">
      <c r="A1" s="65"/>
      <c r="B1" s="50"/>
      <c r="C1" s="64"/>
      <c r="D1" s="50"/>
      <c r="E1" s="50"/>
      <c r="F1" s="50"/>
      <c r="G1" s="50"/>
      <c r="H1" s="50"/>
      <c r="I1" s="50"/>
      <c r="J1" s="50"/>
      <c r="K1" s="50"/>
      <c r="M1" s="63"/>
      <c r="O1" s="50"/>
      <c r="P1" s="50"/>
      <c r="Q1" s="50"/>
      <c r="R1" s="50"/>
      <c r="S1" s="50"/>
      <c r="T1" s="50"/>
      <c r="U1" s="50"/>
      <c r="V1" s="50"/>
      <c r="W1" s="62" t="s">
        <v>94</v>
      </c>
      <c r="Y1" s="61"/>
      <c r="AA1" s="61"/>
      <c r="AC1" s="61"/>
    </row>
    <row r="2" spans="1:52" s="57" customFormat="1" ht="18" customHeight="1" x14ac:dyDescent="0.2">
      <c r="A2" s="60"/>
      <c r="B2" s="27"/>
      <c r="C2" s="27"/>
      <c r="D2" s="28"/>
      <c r="E2" s="27"/>
      <c r="F2" s="27"/>
      <c r="G2" s="27"/>
      <c r="H2" s="27"/>
      <c r="I2" s="27"/>
      <c r="J2" s="27"/>
      <c r="K2" s="27"/>
      <c r="M2" s="59"/>
      <c r="N2" s="58"/>
      <c r="O2" s="27"/>
      <c r="P2" s="27"/>
      <c r="Q2" s="27"/>
      <c r="R2" s="27"/>
      <c r="S2" s="27"/>
      <c r="T2" s="27"/>
      <c r="U2" s="27"/>
      <c r="V2" s="27"/>
      <c r="W2" s="5"/>
      <c r="Y2" s="5"/>
      <c r="AA2" s="5"/>
      <c r="AC2" s="5"/>
    </row>
    <row r="3" spans="1:52" ht="21" customHeight="1" x14ac:dyDescent="0.2">
      <c r="A3" s="56"/>
      <c r="B3" s="50"/>
      <c r="C3" s="50"/>
      <c r="D3" s="56"/>
      <c r="E3" s="50"/>
      <c r="F3" s="51"/>
      <c r="G3" s="50"/>
      <c r="H3" s="50"/>
      <c r="I3" s="51"/>
      <c r="J3" s="50"/>
      <c r="K3" s="50"/>
      <c r="M3" s="55"/>
      <c r="N3" s="54"/>
      <c r="O3" s="50"/>
      <c r="P3" s="50"/>
      <c r="Q3" s="50"/>
      <c r="R3" s="50"/>
      <c r="S3" s="50"/>
      <c r="T3" s="50"/>
      <c r="U3" s="50"/>
      <c r="V3" s="50"/>
      <c r="W3" s="5"/>
      <c r="Y3" s="5"/>
      <c r="AA3" s="5"/>
      <c r="AC3" s="5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50"/>
      <c r="B5" s="50"/>
      <c r="C5" s="50"/>
      <c r="D5" s="50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49"/>
      <c r="Y5" s="48"/>
      <c r="AA5" s="48"/>
      <c r="AC5" s="48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84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84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89"/>
      <c r="T8" s="245" t="s">
        <v>62</v>
      </c>
      <c r="U8" s="83" t="s">
        <v>61</v>
      </c>
      <c r="V8" s="84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13"/>
      <c r="AE8" s="13"/>
      <c r="AF8" s="24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84" t="s">
        <v>51</v>
      </c>
      <c r="O9" s="83" t="s">
        <v>50</v>
      </c>
      <c r="P9" s="251"/>
      <c r="Q9" s="83"/>
      <c r="R9" s="83" t="s">
        <v>49</v>
      </c>
      <c r="S9" s="84"/>
      <c r="T9" s="246"/>
      <c r="U9" s="83" t="s">
        <v>48</v>
      </c>
      <c r="V9" s="84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24"/>
      <c r="AE9" s="24"/>
      <c r="AF9" s="115"/>
      <c r="AG9" s="129"/>
      <c r="AH9" s="12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579529.43410000007</v>
      </c>
      <c r="C10" s="40">
        <v>396769.35493615037</v>
      </c>
      <c r="D10" s="76">
        <f>B10+C10</f>
        <v>976298.78903615044</v>
      </c>
      <c r="E10" s="40">
        <v>35.008399999999995</v>
      </c>
      <c r="F10" s="76">
        <f>D10+E10</f>
        <v>976333.79743615049</v>
      </c>
      <c r="G10" s="40">
        <v>0</v>
      </c>
      <c r="H10" s="40">
        <v>0</v>
      </c>
      <c r="I10" s="40">
        <v>0</v>
      </c>
      <c r="J10" s="40">
        <v>12130.129800000001</v>
      </c>
      <c r="K10" s="40">
        <v>2887.8294000000001</v>
      </c>
      <c r="L10" s="40">
        <v>0</v>
      </c>
      <c r="M10" s="40">
        <v>15311.3415</v>
      </c>
      <c r="N10" s="40">
        <v>2189.9272000000001</v>
      </c>
      <c r="O10" s="40">
        <v>4506.7825000000003</v>
      </c>
      <c r="P10" s="40">
        <v>130.66376590925566</v>
      </c>
      <c r="Q10" s="40">
        <v>7058.5680000000002</v>
      </c>
      <c r="R10" s="40">
        <v>349.90775624874362</v>
      </c>
      <c r="S10" s="40">
        <v>0</v>
      </c>
      <c r="T10" s="40">
        <v>224.15389299292323</v>
      </c>
      <c r="U10" s="40">
        <v>0</v>
      </c>
      <c r="V10" s="40">
        <v>3246.5165999999999</v>
      </c>
      <c r="W10" s="76">
        <f t="shared" ref="W10:W32" si="0">SUM(F10:V10)</f>
        <v>1024369.6178513013</v>
      </c>
      <c r="X10" s="36"/>
      <c r="Y10" s="42">
        <v>131076.06844199999</v>
      </c>
      <c r="Z10" s="38"/>
      <c r="AA10" s="109">
        <v>0</v>
      </c>
      <c r="AB10" s="36"/>
      <c r="AC10" s="76">
        <f>+W10+Y10+AA10</f>
        <v>1155445.6862933014</v>
      </c>
      <c r="AD10" s="29"/>
      <c r="AE10" s="25"/>
      <c r="AF10" s="113"/>
      <c r="AG10" s="129"/>
      <c r="AH10" s="130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103922.7549</v>
      </c>
      <c r="C11" s="40">
        <v>18529.451646650054</v>
      </c>
      <c r="D11" s="76">
        <f t="shared" ref="D11:D32" si="1">B11+C11</f>
        <v>122452.20654665005</v>
      </c>
      <c r="E11" s="40">
        <v>1.7832999999999999</v>
      </c>
      <c r="F11" s="76">
        <f t="shared" ref="F11:F32" si="2">D11+E11</f>
        <v>122453.98984665005</v>
      </c>
      <c r="G11" s="40">
        <v>0</v>
      </c>
      <c r="H11" s="40">
        <v>0</v>
      </c>
      <c r="I11" s="40">
        <v>0</v>
      </c>
      <c r="J11" s="40">
        <v>1521.4206999999999</v>
      </c>
      <c r="K11" s="40">
        <v>0</v>
      </c>
      <c r="L11" s="40">
        <v>0</v>
      </c>
      <c r="M11" s="40">
        <v>0</v>
      </c>
      <c r="N11" s="40">
        <v>274.67570000000001</v>
      </c>
      <c r="O11" s="40">
        <v>472.66570000000002</v>
      </c>
      <c r="P11" s="40">
        <v>196.92929795978728</v>
      </c>
      <c r="Q11" s="40">
        <v>1022.2754</v>
      </c>
      <c r="R11" s="40">
        <v>464.10076721180917</v>
      </c>
      <c r="S11" s="40">
        <v>0</v>
      </c>
      <c r="T11" s="40">
        <v>337.83251593971886</v>
      </c>
      <c r="U11" s="40">
        <v>2.2000000000000002</v>
      </c>
      <c r="V11" s="40">
        <v>407.2004</v>
      </c>
      <c r="W11" s="76">
        <f t="shared" si="0"/>
        <v>127153.29032776137</v>
      </c>
      <c r="X11" s="36"/>
      <c r="Y11" s="42">
        <v>1133.776578</v>
      </c>
      <c r="Z11" s="38"/>
      <c r="AA11" s="43">
        <v>0</v>
      </c>
      <c r="AB11" s="36"/>
      <c r="AC11" s="76">
        <f t="shared" ref="AC11:AC38" si="3">+W11+Y11+AA11</f>
        <v>128287.06690576137</v>
      </c>
      <c r="AD11" s="29"/>
      <c r="AE11" s="25"/>
      <c r="AF11" s="113"/>
      <c r="AG11" s="129"/>
      <c r="AH11" s="130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309523.03460000001</v>
      </c>
      <c r="C12" s="40">
        <v>85235.47757444976</v>
      </c>
      <c r="D12" s="76">
        <f t="shared" si="1"/>
        <v>394758.51217444974</v>
      </c>
      <c r="E12" s="40">
        <v>10.441700000000001</v>
      </c>
      <c r="F12" s="76">
        <f>D12+E12</f>
        <v>394768.95387444977</v>
      </c>
      <c r="G12" s="40">
        <v>0</v>
      </c>
      <c r="H12" s="40">
        <v>0</v>
      </c>
      <c r="I12" s="40">
        <v>0</v>
      </c>
      <c r="J12" s="40">
        <v>4904.7197999999999</v>
      </c>
      <c r="K12" s="40">
        <v>986.20609999999999</v>
      </c>
      <c r="L12" s="40">
        <v>0</v>
      </c>
      <c r="M12" s="40">
        <v>5228.8887999999997</v>
      </c>
      <c r="N12" s="40">
        <v>885.48490000000004</v>
      </c>
      <c r="O12" s="40">
        <v>2471.4773</v>
      </c>
      <c r="P12" s="40">
        <v>130.66376590925566</v>
      </c>
      <c r="Q12" s="40">
        <v>2750.4074999999998</v>
      </c>
      <c r="R12" s="40">
        <v>291.41381786331243</v>
      </c>
      <c r="S12" s="40">
        <v>0</v>
      </c>
      <c r="T12" s="40">
        <v>224.15389299292323</v>
      </c>
      <c r="U12" s="40">
        <v>0.5</v>
      </c>
      <c r="V12" s="40">
        <v>1312.7108999999998</v>
      </c>
      <c r="W12" s="76">
        <f t="shared" si="0"/>
        <v>413955.58065121534</v>
      </c>
      <c r="X12" s="36"/>
      <c r="Y12" s="42">
        <v>6026.2665319999996</v>
      </c>
      <c r="Z12" s="38"/>
      <c r="AA12" s="43">
        <v>0</v>
      </c>
      <c r="AB12" s="36"/>
      <c r="AC12" s="76">
        <f t="shared" si="3"/>
        <v>419981.84718321532</v>
      </c>
      <c r="AD12" s="29"/>
      <c r="AE12" s="25"/>
      <c r="AF12" s="113"/>
      <c r="AG12" s="129"/>
      <c r="AH12" s="130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126415.5874</v>
      </c>
      <c r="C13" s="40">
        <v>38852.076033049903</v>
      </c>
      <c r="D13" s="76">
        <f t="shared" si="1"/>
        <v>165267.66343304992</v>
      </c>
      <c r="E13" s="40">
        <v>3.2166999999999999</v>
      </c>
      <c r="F13" s="76">
        <f t="shared" si="2"/>
        <v>165270.88013304991</v>
      </c>
      <c r="G13" s="40">
        <v>0</v>
      </c>
      <c r="H13" s="40">
        <v>0</v>
      </c>
      <c r="I13" s="40">
        <v>0</v>
      </c>
      <c r="J13" s="40">
        <v>2053.3858999999998</v>
      </c>
      <c r="K13" s="40">
        <v>315.34300000000002</v>
      </c>
      <c r="L13" s="40">
        <v>0</v>
      </c>
      <c r="M13" s="40">
        <v>1671.9563999999998</v>
      </c>
      <c r="N13" s="40">
        <v>370.7124</v>
      </c>
      <c r="O13" s="40">
        <v>602.48789999999997</v>
      </c>
      <c r="P13" s="40">
        <v>165.41963047536112</v>
      </c>
      <c r="Q13" s="40">
        <v>2409.6491000000001</v>
      </c>
      <c r="R13" s="40">
        <v>408.29379350212082</v>
      </c>
      <c r="S13" s="40">
        <v>0</v>
      </c>
      <c r="T13" s="40">
        <v>283.77763252291606</v>
      </c>
      <c r="U13" s="40">
        <v>1.5</v>
      </c>
      <c r="V13" s="40">
        <v>549.57259999999997</v>
      </c>
      <c r="W13" s="76">
        <f t="shared" si="0"/>
        <v>174102.97848955033</v>
      </c>
      <c r="X13" s="36"/>
      <c r="Y13" s="42">
        <v>6888.0408520000001</v>
      </c>
      <c r="Z13" s="38"/>
      <c r="AA13" s="43">
        <v>0</v>
      </c>
      <c r="AB13" s="36"/>
      <c r="AC13" s="76">
        <f t="shared" si="3"/>
        <v>180991.01934155033</v>
      </c>
      <c r="AD13" s="29"/>
      <c r="AE13" s="25"/>
      <c r="AF13" s="113"/>
      <c r="AG13" s="129"/>
      <c r="AH13" s="130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178389.2862</v>
      </c>
      <c r="C14" s="40">
        <v>43394.780307900059</v>
      </c>
      <c r="D14" s="76">
        <f t="shared" si="1"/>
        <v>221784.06650790008</v>
      </c>
      <c r="E14" s="40">
        <v>2.8</v>
      </c>
      <c r="F14" s="76">
        <f t="shared" si="2"/>
        <v>221786.86650790006</v>
      </c>
      <c r="G14" s="40">
        <v>0</v>
      </c>
      <c r="H14" s="40">
        <v>0</v>
      </c>
      <c r="I14" s="40">
        <v>0</v>
      </c>
      <c r="J14" s="40">
        <v>2755.5801000000001</v>
      </c>
      <c r="K14" s="40">
        <v>247.91320000000002</v>
      </c>
      <c r="L14" s="40">
        <v>0</v>
      </c>
      <c r="M14" s="40">
        <v>1314.4416000000001</v>
      </c>
      <c r="N14" s="40">
        <v>497.48809999999997</v>
      </c>
      <c r="O14" s="40">
        <v>624.34809999999993</v>
      </c>
      <c r="P14" s="40">
        <v>175.6899588684079</v>
      </c>
      <c r="Q14" s="40">
        <v>2239.2698</v>
      </c>
      <c r="R14" s="40">
        <v>425.8655958181028</v>
      </c>
      <c r="S14" s="40">
        <v>0</v>
      </c>
      <c r="T14" s="40">
        <v>301.39639679740787</v>
      </c>
      <c r="U14" s="40">
        <v>0.5</v>
      </c>
      <c r="V14" s="40">
        <v>737.51459999999997</v>
      </c>
      <c r="W14" s="76">
        <f t="shared" si="0"/>
        <v>231106.87395938396</v>
      </c>
      <c r="X14" s="36"/>
      <c r="Y14" s="42">
        <v>8437.5251399999997</v>
      </c>
      <c r="Z14" s="38"/>
      <c r="AA14" s="43">
        <v>0</v>
      </c>
      <c r="AB14" s="36"/>
      <c r="AC14" s="76">
        <f t="shared" si="3"/>
        <v>239544.39909938397</v>
      </c>
      <c r="AD14" s="29"/>
      <c r="AE14" s="25"/>
      <c r="AF14" s="113"/>
      <c r="AG14" s="129"/>
      <c r="AH14" s="130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52497.91</v>
      </c>
      <c r="C15" s="40">
        <v>17812.182550749938</v>
      </c>
      <c r="D15" s="76">
        <f t="shared" si="1"/>
        <v>70310.092550749949</v>
      </c>
      <c r="E15" s="40">
        <v>2.0167000000000002</v>
      </c>
      <c r="F15" s="76">
        <f t="shared" si="2"/>
        <v>70312.109250749942</v>
      </c>
      <c r="G15" s="40">
        <v>0</v>
      </c>
      <c r="H15" s="40">
        <v>0</v>
      </c>
      <c r="I15" s="40">
        <v>0</v>
      </c>
      <c r="J15" s="40">
        <v>873.57530000000008</v>
      </c>
      <c r="K15" s="40">
        <v>96.978999999999999</v>
      </c>
      <c r="L15" s="40">
        <v>0</v>
      </c>
      <c r="M15" s="40">
        <v>514.18489999999997</v>
      </c>
      <c r="N15" s="40">
        <v>157.71629999999999</v>
      </c>
      <c r="O15" s="40">
        <v>530.83259999999996</v>
      </c>
      <c r="P15" s="40">
        <v>184.20792872675304</v>
      </c>
      <c r="Q15" s="40">
        <v>1557.7529</v>
      </c>
      <c r="R15" s="40">
        <v>601.55153308771548</v>
      </c>
      <c r="S15" s="40">
        <v>0</v>
      </c>
      <c r="T15" s="40">
        <v>316.00898731146884</v>
      </c>
      <c r="U15" s="40">
        <v>3</v>
      </c>
      <c r="V15" s="40">
        <v>233.8108</v>
      </c>
      <c r="W15" s="76">
        <f t="shared" si="0"/>
        <v>75381.729499875873</v>
      </c>
      <c r="X15" s="36"/>
      <c r="Y15" s="42">
        <v>1653.9531359999999</v>
      </c>
      <c r="Z15" s="38"/>
      <c r="AA15" s="43">
        <v>0</v>
      </c>
      <c r="AB15" s="36"/>
      <c r="AC15" s="76">
        <f t="shared" si="3"/>
        <v>77035.68263587587</v>
      </c>
      <c r="AD15" s="29"/>
      <c r="AE15" s="25"/>
      <c r="AF15" s="113"/>
      <c r="AG15" s="129"/>
      <c r="AH15" s="130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179656.8284</v>
      </c>
      <c r="C16" s="40">
        <v>37417.537841249999</v>
      </c>
      <c r="D16" s="76">
        <f t="shared" si="1"/>
        <v>217074.36624125001</v>
      </c>
      <c r="E16" s="40">
        <v>5.6249000000000002</v>
      </c>
      <c r="F16" s="76">
        <f t="shared" si="2"/>
        <v>217079.99114125001</v>
      </c>
      <c r="G16" s="40">
        <v>0</v>
      </c>
      <c r="H16" s="40">
        <v>0</v>
      </c>
      <c r="I16" s="40">
        <v>0</v>
      </c>
      <c r="J16" s="40">
        <v>2697.0639000000001</v>
      </c>
      <c r="K16" s="40">
        <v>427.99170000000004</v>
      </c>
      <c r="L16" s="40">
        <v>0</v>
      </c>
      <c r="M16" s="40">
        <v>2269.2227000000003</v>
      </c>
      <c r="N16" s="40">
        <v>486.91590000000002</v>
      </c>
      <c r="O16" s="40">
        <v>824.02059999999994</v>
      </c>
      <c r="P16" s="40">
        <v>151.19839308075973</v>
      </c>
      <c r="Q16" s="40">
        <v>1898.5113999999999</v>
      </c>
      <c r="R16" s="40">
        <v>406.93025538549227</v>
      </c>
      <c r="S16" s="40">
        <v>0</v>
      </c>
      <c r="T16" s="40">
        <v>259.38107773409558</v>
      </c>
      <c r="U16" s="40">
        <v>1.8</v>
      </c>
      <c r="V16" s="40">
        <v>721.84159999999997</v>
      </c>
      <c r="W16" s="76">
        <f t="shared" si="0"/>
        <v>227224.86866745036</v>
      </c>
      <c r="X16" s="36"/>
      <c r="Y16" s="42">
        <v>4091.2219479999999</v>
      </c>
      <c r="Z16" s="38"/>
      <c r="AA16" s="43">
        <v>0</v>
      </c>
      <c r="AB16" s="36"/>
      <c r="AC16" s="76">
        <f t="shared" si="3"/>
        <v>231316.09061545035</v>
      </c>
      <c r="AD16" s="29"/>
      <c r="AE16" s="25"/>
      <c r="AF16" s="113"/>
      <c r="AG16" s="129"/>
      <c r="AH16" s="130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136498.91880000001</v>
      </c>
      <c r="C17" s="40">
        <v>25343.508058750002</v>
      </c>
      <c r="D17" s="76">
        <f t="shared" si="1"/>
        <v>161842.42685875003</v>
      </c>
      <c r="E17" s="40">
        <v>1.7251000000000001</v>
      </c>
      <c r="F17" s="76">
        <f t="shared" si="2"/>
        <v>161844.15195875004</v>
      </c>
      <c r="G17" s="40">
        <v>0</v>
      </c>
      <c r="H17" s="40">
        <v>0</v>
      </c>
      <c r="I17" s="40">
        <v>0</v>
      </c>
      <c r="J17" s="40">
        <v>2010.8287</v>
      </c>
      <c r="K17" s="40">
        <v>115.4828</v>
      </c>
      <c r="L17" s="40">
        <v>0</v>
      </c>
      <c r="M17" s="40">
        <v>612.29259999999999</v>
      </c>
      <c r="N17" s="40">
        <v>363.03270000000003</v>
      </c>
      <c r="O17" s="40">
        <v>428.73450000000003</v>
      </c>
      <c r="P17" s="40">
        <v>203.01883807013076</v>
      </c>
      <c r="Q17" s="40">
        <v>1947.1912</v>
      </c>
      <c r="R17" s="40">
        <v>444.18923085098282</v>
      </c>
      <c r="S17" s="40">
        <v>0</v>
      </c>
      <c r="T17" s="40">
        <v>348.27913143959483</v>
      </c>
      <c r="U17" s="40">
        <v>2.2000000000000002</v>
      </c>
      <c r="V17" s="40">
        <v>538.18759999999997</v>
      </c>
      <c r="W17" s="76">
        <f t="shared" si="0"/>
        <v>168857.58925911077</v>
      </c>
      <c r="X17" s="36"/>
      <c r="Y17" s="42">
        <v>4249.4526799999994</v>
      </c>
      <c r="Z17" s="38"/>
      <c r="AA17" s="43">
        <v>0</v>
      </c>
      <c r="AB17" s="36"/>
      <c r="AC17" s="76">
        <f t="shared" si="3"/>
        <v>173107.04193911076</v>
      </c>
      <c r="AD17" s="29"/>
      <c r="AE17" s="25"/>
      <c r="AF17" s="113"/>
      <c r="AG17" s="129"/>
      <c r="AH17" s="130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102037.9933</v>
      </c>
      <c r="C18" s="40">
        <v>24267.604414549944</v>
      </c>
      <c r="D18" s="76">
        <f t="shared" si="1"/>
        <v>126305.59771454995</v>
      </c>
      <c r="E18" s="40">
        <v>2.7749999999999999</v>
      </c>
      <c r="F18" s="76">
        <f t="shared" si="2"/>
        <v>126308.37271454994</v>
      </c>
      <c r="G18" s="40">
        <v>0</v>
      </c>
      <c r="H18" s="40">
        <v>0</v>
      </c>
      <c r="I18" s="40">
        <v>0</v>
      </c>
      <c r="J18" s="40">
        <v>1569.2974999999999</v>
      </c>
      <c r="K18" s="40">
        <v>0</v>
      </c>
      <c r="L18" s="40">
        <v>0</v>
      </c>
      <c r="M18" s="40">
        <v>0</v>
      </c>
      <c r="N18" s="40">
        <v>283.31279999999998</v>
      </c>
      <c r="O18" s="40">
        <v>438.7312</v>
      </c>
      <c r="P18" s="40">
        <v>163.82894115117242</v>
      </c>
      <c r="Q18" s="40">
        <v>1460.3933999999999</v>
      </c>
      <c r="R18" s="40">
        <v>440.89650532110721</v>
      </c>
      <c r="S18" s="40">
        <v>0</v>
      </c>
      <c r="T18" s="40">
        <v>281.04880252372811</v>
      </c>
      <c r="U18" s="40">
        <v>2.2000000000000002</v>
      </c>
      <c r="V18" s="40">
        <v>420.00470000000001</v>
      </c>
      <c r="W18" s="76">
        <f t="shared" si="0"/>
        <v>131368.08656354595</v>
      </c>
      <c r="X18" s="36"/>
      <c r="Y18" s="42">
        <v>4059.0430759999999</v>
      </c>
      <c r="Z18" s="38"/>
      <c r="AA18" s="43">
        <v>0</v>
      </c>
      <c r="AB18" s="36"/>
      <c r="AC18" s="76">
        <f t="shared" si="3"/>
        <v>135427.12963954595</v>
      </c>
      <c r="AD18" s="29"/>
      <c r="AE18" s="25"/>
      <c r="AF18" s="113"/>
      <c r="AG18" s="129"/>
      <c r="AH18" s="130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72447.911999999997</v>
      </c>
      <c r="C19" s="40">
        <v>12671.754029199978</v>
      </c>
      <c r="D19" s="76">
        <f t="shared" si="1"/>
        <v>85119.666029199972</v>
      </c>
      <c r="E19" s="40">
        <v>1.6</v>
      </c>
      <c r="F19" s="76">
        <f t="shared" si="2"/>
        <v>85121.266029199978</v>
      </c>
      <c r="G19" s="40">
        <v>0</v>
      </c>
      <c r="H19" s="40">
        <v>0</v>
      </c>
      <c r="I19" s="40">
        <v>0</v>
      </c>
      <c r="J19" s="40">
        <v>1057.4233000000002</v>
      </c>
      <c r="K19" s="40">
        <v>85.160399999999996</v>
      </c>
      <c r="L19" s="40">
        <v>1.7000000000000001E-7</v>
      </c>
      <c r="M19" s="40">
        <v>451.64830000000001</v>
      </c>
      <c r="N19" s="40">
        <v>190.55760000000001</v>
      </c>
      <c r="O19" s="40">
        <v>552.03579999999999</v>
      </c>
      <c r="P19" s="40">
        <v>145.43445250555069</v>
      </c>
      <c r="Q19" s="40">
        <v>990.65519999999992</v>
      </c>
      <c r="R19" s="40">
        <v>560.99097140445804</v>
      </c>
      <c r="S19" s="40">
        <v>0</v>
      </c>
      <c r="T19" s="40">
        <v>249.49302871996238</v>
      </c>
      <c r="U19" s="40">
        <v>2.5</v>
      </c>
      <c r="V19" s="40">
        <v>283.00970000000001</v>
      </c>
      <c r="W19" s="76">
        <f t="shared" si="0"/>
        <v>89690.174781999929</v>
      </c>
      <c r="X19" s="36"/>
      <c r="Y19" s="42">
        <v>0</v>
      </c>
      <c r="Z19" s="38"/>
      <c r="AA19" s="43">
        <v>0</v>
      </c>
      <c r="AB19" s="36"/>
      <c r="AC19" s="76">
        <f t="shared" si="3"/>
        <v>89690.174781999929</v>
      </c>
      <c r="AD19" s="29"/>
      <c r="AE19" s="25"/>
      <c r="AF19" s="113"/>
      <c r="AG19" s="129"/>
      <c r="AH19" s="130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77588.305500000002</v>
      </c>
      <c r="C20" s="40">
        <v>14464.926769300004</v>
      </c>
      <c r="D20" s="76">
        <f t="shared" si="1"/>
        <v>92053.232269300002</v>
      </c>
      <c r="E20" s="40">
        <v>1.6916</v>
      </c>
      <c r="F20" s="76">
        <f t="shared" si="2"/>
        <v>92054.923869300008</v>
      </c>
      <c r="G20" s="40">
        <v>0</v>
      </c>
      <c r="H20" s="40">
        <v>0</v>
      </c>
      <c r="I20" s="40">
        <v>0</v>
      </c>
      <c r="J20" s="40">
        <v>1143.7253000000001</v>
      </c>
      <c r="K20" s="40">
        <v>0</v>
      </c>
      <c r="L20" s="40">
        <v>0</v>
      </c>
      <c r="M20" s="40">
        <v>0</v>
      </c>
      <c r="N20" s="40">
        <v>206.4855</v>
      </c>
      <c r="O20" s="40">
        <v>428.73109999999997</v>
      </c>
      <c r="P20" s="40">
        <v>191.61305670769664</v>
      </c>
      <c r="Q20" s="40">
        <v>973.59559999999999</v>
      </c>
      <c r="R20" s="40">
        <v>496.13102095276201</v>
      </c>
      <c r="S20" s="40">
        <v>0</v>
      </c>
      <c r="T20" s="40">
        <v>328.71249584072461</v>
      </c>
      <c r="U20" s="40">
        <v>2.2000000000000002</v>
      </c>
      <c r="V20" s="40">
        <v>306.11</v>
      </c>
      <c r="W20" s="76">
        <f t="shared" si="0"/>
        <v>96132.227942801183</v>
      </c>
      <c r="X20" s="36"/>
      <c r="Y20" s="42">
        <v>1359.2678880000001</v>
      </c>
      <c r="Z20" s="38"/>
      <c r="AA20" s="43">
        <v>0</v>
      </c>
      <c r="AB20" s="36"/>
      <c r="AC20" s="76">
        <f t="shared" si="3"/>
        <v>97491.495830801185</v>
      </c>
      <c r="AD20" s="29"/>
      <c r="AE20" s="25"/>
      <c r="AF20" s="113"/>
      <c r="AG20" s="129"/>
      <c r="AH20" s="130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130758.932</v>
      </c>
      <c r="C21" s="40">
        <v>54631.996145300036</v>
      </c>
      <c r="D21" s="76">
        <f t="shared" si="1"/>
        <v>185390.92814530004</v>
      </c>
      <c r="E21" s="40">
        <v>5.1416000000000004</v>
      </c>
      <c r="F21" s="76">
        <f t="shared" si="2"/>
        <v>185396.06974530005</v>
      </c>
      <c r="G21" s="40">
        <v>0</v>
      </c>
      <c r="H21" s="40">
        <v>0</v>
      </c>
      <c r="I21" s="40">
        <v>0</v>
      </c>
      <c r="J21" s="40">
        <v>2303.4096</v>
      </c>
      <c r="K21" s="40">
        <v>0</v>
      </c>
      <c r="L21" s="40">
        <v>0</v>
      </c>
      <c r="M21" s="40">
        <v>0</v>
      </c>
      <c r="N21" s="40">
        <v>415.85340000000002</v>
      </c>
      <c r="O21" s="40">
        <v>868.42380000000003</v>
      </c>
      <c r="P21" s="40">
        <v>148.72888652466725</v>
      </c>
      <c r="Q21" s="40">
        <v>1947.1912</v>
      </c>
      <c r="R21" s="40">
        <v>328.23348794245408</v>
      </c>
      <c r="S21" s="40">
        <v>0</v>
      </c>
      <c r="T21" s="40">
        <v>255.14463541620455</v>
      </c>
      <c r="U21" s="40">
        <v>2.2000000000000002</v>
      </c>
      <c r="V21" s="40">
        <v>616.49300000000005</v>
      </c>
      <c r="W21" s="76">
        <f t="shared" si="0"/>
        <v>192281.7477551834</v>
      </c>
      <c r="X21" s="36"/>
      <c r="Y21" s="42">
        <v>5950.1621080000004</v>
      </c>
      <c r="Z21" s="38"/>
      <c r="AA21" s="43">
        <v>0</v>
      </c>
      <c r="AB21" s="36"/>
      <c r="AC21" s="76">
        <f t="shared" si="3"/>
        <v>198231.90986318339</v>
      </c>
      <c r="AD21" s="29"/>
      <c r="AE21" s="25"/>
      <c r="AF21" s="113"/>
      <c r="AG21" s="129"/>
      <c r="AH21" s="130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100832.25</v>
      </c>
      <c r="C22" s="40">
        <v>46024.766993100086</v>
      </c>
      <c r="D22" s="76">
        <f t="shared" si="1"/>
        <v>146857.01699310009</v>
      </c>
      <c r="E22" s="40">
        <v>2.8416999999999999</v>
      </c>
      <c r="F22" s="76">
        <f t="shared" si="2"/>
        <v>146859.85869310008</v>
      </c>
      <c r="G22" s="40">
        <v>0</v>
      </c>
      <c r="H22" s="40">
        <v>0</v>
      </c>
      <c r="I22" s="40">
        <v>0</v>
      </c>
      <c r="J22" s="40">
        <v>1824.6408999999999</v>
      </c>
      <c r="K22" s="40">
        <v>135.39099999999999</v>
      </c>
      <c r="L22" s="40">
        <v>0</v>
      </c>
      <c r="M22" s="40">
        <v>717.84640000000002</v>
      </c>
      <c r="N22" s="40">
        <v>329.41129999999998</v>
      </c>
      <c r="O22" s="40">
        <v>615.85799999999995</v>
      </c>
      <c r="P22" s="40">
        <v>370.37091270633471</v>
      </c>
      <c r="Q22" s="40">
        <v>2287.9495999999999</v>
      </c>
      <c r="R22" s="40">
        <v>366.12283100264142</v>
      </c>
      <c r="S22" s="40">
        <v>0</v>
      </c>
      <c r="T22" s="40">
        <v>330.02680795226007</v>
      </c>
      <c r="U22" s="40">
        <v>2.2000000000000002</v>
      </c>
      <c r="V22" s="40">
        <v>488.34459999999996</v>
      </c>
      <c r="W22" s="76">
        <f t="shared" si="0"/>
        <v>154328.02104476135</v>
      </c>
      <c r="X22" s="36"/>
      <c r="Y22" s="42">
        <v>7692.5929299999998</v>
      </c>
      <c r="Z22" s="38"/>
      <c r="AA22" s="43">
        <v>0</v>
      </c>
      <c r="AB22" s="36"/>
      <c r="AC22" s="76">
        <f t="shared" si="3"/>
        <v>162020.61397476136</v>
      </c>
      <c r="AD22" s="29"/>
      <c r="AE22" s="25"/>
      <c r="AF22" s="113"/>
      <c r="AG22" s="129"/>
      <c r="AH22" s="130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56957.486100000002</v>
      </c>
      <c r="C23" s="40">
        <v>20203.079537199959</v>
      </c>
      <c r="D23" s="76">
        <f t="shared" si="1"/>
        <v>77160.565637199965</v>
      </c>
      <c r="E23" s="40">
        <v>1.4499</v>
      </c>
      <c r="F23" s="76">
        <f t="shared" si="2"/>
        <v>77162.015537199972</v>
      </c>
      <c r="G23" s="40">
        <v>0</v>
      </c>
      <c r="H23" s="40">
        <v>0</v>
      </c>
      <c r="I23" s="40">
        <v>0</v>
      </c>
      <c r="J23" s="40">
        <v>958.68979999999999</v>
      </c>
      <c r="K23" s="40">
        <v>60.889099999999999</v>
      </c>
      <c r="L23" s="40">
        <v>0</v>
      </c>
      <c r="M23" s="40">
        <v>322.83569999999997</v>
      </c>
      <c r="N23" s="40">
        <v>173.07570000000001</v>
      </c>
      <c r="O23" s="40">
        <v>660.92630000000008</v>
      </c>
      <c r="P23" s="40">
        <v>170.83649100973844</v>
      </c>
      <c r="Q23" s="40">
        <v>2093.2305000000001</v>
      </c>
      <c r="R23" s="40">
        <v>415.19927201400355</v>
      </c>
      <c r="S23" s="40">
        <v>0</v>
      </c>
      <c r="T23" s="40">
        <v>293.07026518345521</v>
      </c>
      <c r="U23" s="40">
        <v>2.5</v>
      </c>
      <c r="V23" s="40">
        <v>256.58070000000004</v>
      </c>
      <c r="W23" s="76">
        <f t="shared" si="0"/>
        <v>82569.849365407179</v>
      </c>
      <c r="X23" s="36"/>
      <c r="Y23" s="42">
        <v>2195.3141540000001</v>
      </c>
      <c r="Z23" s="38"/>
      <c r="AA23" s="43">
        <v>0</v>
      </c>
      <c r="AB23" s="36"/>
      <c r="AC23" s="76">
        <f t="shared" si="3"/>
        <v>84765.163519407186</v>
      </c>
      <c r="AD23" s="29"/>
      <c r="AE23" s="25"/>
      <c r="AF23" s="113"/>
      <c r="AG23" s="129"/>
      <c r="AH23" s="130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90299.789499999999</v>
      </c>
      <c r="C24" s="40">
        <v>21876.707428100079</v>
      </c>
      <c r="D24" s="76">
        <f t="shared" si="1"/>
        <v>112176.49692810008</v>
      </c>
      <c r="E24" s="40">
        <v>1.2167000000000001</v>
      </c>
      <c r="F24" s="76">
        <f t="shared" si="2"/>
        <v>112177.71362810009</v>
      </c>
      <c r="G24" s="40">
        <v>0</v>
      </c>
      <c r="H24" s="40">
        <v>0</v>
      </c>
      <c r="I24" s="40">
        <v>0</v>
      </c>
      <c r="J24" s="40">
        <v>1393.749</v>
      </c>
      <c r="K24" s="40">
        <v>0</v>
      </c>
      <c r="L24" s="40">
        <v>0</v>
      </c>
      <c r="M24" s="40">
        <v>0</v>
      </c>
      <c r="N24" s="40">
        <v>251.62649999999999</v>
      </c>
      <c r="O24" s="40">
        <v>525.22840000000008</v>
      </c>
      <c r="P24" s="40">
        <v>158.73768013192952</v>
      </c>
      <c r="Q24" s="40">
        <v>2190.5900999999999</v>
      </c>
      <c r="R24" s="40">
        <v>449.87715510169738</v>
      </c>
      <c r="S24" s="40">
        <v>0</v>
      </c>
      <c r="T24" s="40">
        <v>272.31473633874452</v>
      </c>
      <c r="U24" s="40">
        <v>2.5</v>
      </c>
      <c r="V24" s="40">
        <v>373.03040000000004</v>
      </c>
      <c r="W24" s="76">
        <f t="shared" si="0"/>
        <v>117795.36759967246</v>
      </c>
      <c r="X24" s="36"/>
      <c r="Y24" s="42">
        <v>2121.4975099999997</v>
      </c>
      <c r="Z24" s="38"/>
      <c r="AA24" s="43">
        <v>0</v>
      </c>
      <c r="AB24" s="36"/>
      <c r="AC24" s="76">
        <f t="shared" si="3"/>
        <v>119916.86510967246</v>
      </c>
      <c r="AD24" s="29"/>
      <c r="AE24" s="25"/>
      <c r="AF24" s="113"/>
      <c r="AG24" s="129"/>
      <c r="AH24" s="130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124500.29609999999</v>
      </c>
      <c r="C25" s="40">
        <v>45905.22214389986</v>
      </c>
      <c r="D25" s="76">
        <f t="shared" si="1"/>
        <v>170405.51824389986</v>
      </c>
      <c r="E25" s="40">
        <v>3.3167</v>
      </c>
      <c r="F25" s="76">
        <f t="shared" si="2"/>
        <v>170408.83494389986</v>
      </c>
      <c r="G25" s="40">
        <v>0</v>
      </c>
      <c r="H25" s="40">
        <v>0</v>
      </c>
      <c r="I25" s="40">
        <v>0</v>
      </c>
      <c r="J25" s="40">
        <v>2117.2217999999998</v>
      </c>
      <c r="K25" s="40">
        <v>0</v>
      </c>
      <c r="L25" s="40">
        <v>0</v>
      </c>
      <c r="M25" s="40">
        <v>0</v>
      </c>
      <c r="N25" s="40">
        <v>382.24200000000002</v>
      </c>
      <c r="O25" s="40">
        <v>646.73050000000001</v>
      </c>
      <c r="P25" s="40">
        <v>162.39539880846897</v>
      </c>
      <c r="Q25" s="40">
        <v>1947.1912</v>
      </c>
      <c r="R25" s="40">
        <v>511.66524461012125</v>
      </c>
      <c r="S25" s="40">
        <v>0</v>
      </c>
      <c r="T25" s="40">
        <v>278.58955841983112</v>
      </c>
      <c r="U25" s="40">
        <v>2.5</v>
      </c>
      <c r="V25" s="40">
        <v>566.66499999999996</v>
      </c>
      <c r="W25" s="76">
        <f t="shared" si="0"/>
        <v>177024.03564573827</v>
      </c>
      <c r="X25" s="36"/>
      <c r="Y25" s="42">
        <v>10775.426442</v>
      </c>
      <c r="Z25" s="38"/>
      <c r="AA25" s="43">
        <v>0</v>
      </c>
      <c r="AB25" s="36"/>
      <c r="AC25" s="76">
        <f t="shared" si="3"/>
        <v>187799.46208773827</v>
      </c>
      <c r="AD25" s="29"/>
      <c r="AE25" s="25"/>
      <c r="AF25" s="113"/>
      <c r="AG25" s="129"/>
      <c r="AH25" s="130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120276.4964</v>
      </c>
      <c r="C26" s="40">
        <v>30005.757182450045</v>
      </c>
      <c r="D26" s="76">
        <f t="shared" si="1"/>
        <v>150282.25358245004</v>
      </c>
      <c r="E26" s="40">
        <v>2.5083000000000002</v>
      </c>
      <c r="F26" s="76">
        <f t="shared" si="2"/>
        <v>150284.76188245002</v>
      </c>
      <c r="G26" s="40">
        <v>0</v>
      </c>
      <c r="H26" s="40">
        <v>0</v>
      </c>
      <c r="I26" s="40">
        <v>0</v>
      </c>
      <c r="J26" s="40">
        <v>1867.1981000000001</v>
      </c>
      <c r="K26" s="40">
        <v>0</v>
      </c>
      <c r="L26" s="40">
        <v>0</v>
      </c>
      <c r="M26" s="40">
        <v>0</v>
      </c>
      <c r="N26" s="40">
        <v>337.101</v>
      </c>
      <c r="O26" s="40">
        <v>473.97040000000004</v>
      </c>
      <c r="P26" s="40">
        <v>150.4469515959459</v>
      </c>
      <c r="Q26" s="40">
        <v>1776.8118999999999</v>
      </c>
      <c r="R26" s="40">
        <v>326.37008524810386</v>
      </c>
      <c r="S26" s="40">
        <v>0</v>
      </c>
      <c r="T26" s="40">
        <v>258.09197870195112</v>
      </c>
      <c r="U26" s="40">
        <v>2.2000000000000002</v>
      </c>
      <c r="V26" s="40">
        <v>499.74450000000002</v>
      </c>
      <c r="W26" s="76">
        <f t="shared" si="0"/>
        <v>155976.69679799603</v>
      </c>
      <c r="X26" s="36"/>
      <c r="Y26" s="42">
        <v>2684.0263339999997</v>
      </c>
      <c r="Z26" s="38"/>
      <c r="AA26" s="43">
        <v>0</v>
      </c>
      <c r="AB26" s="36"/>
      <c r="AC26" s="76">
        <f t="shared" si="3"/>
        <v>158660.72313199603</v>
      </c>
      <c r="AD26" s="29"/>
      <c r="AE26" s="25"/>
      <c r="AF26" s="113"/>
      <c r="AG26" s="129"/>
      <c r="AH26" s="130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84138.6296</v>
      </c>
      <c r="C27" s="40">
        <v>17334.003153249945</v>
      </c>
      <c r="D27" s="76">
        <f t="shared" si="1"/>
        <v>101472.63275324994</v>
      </c>
      <c r="E27" s="40">
        <v>1.5751000000000002</v>
      </c>
      <c r="F27" s="76">
        <f t="shared" si="2"/>
        <v>101474.20785324994</v>
      </c>
      <c r="G27" s="40">
        <v>0</v>
      </c>
      <c r="H27" s="40">
        <v>0</v>
      </c>
      <c r="I27" s="40">
        <v>0</v>
      </c>
      <c r="J27" s="40">
        <v>1260.7576999999999</v>
      </c>
      <c r="K27" s="40">
        <v>0</v>
      </c>
      <c r="L27" s="40">
        <v>0</v>
      </c>
      <c r="M27" s="40">
        <v>0</v>
      </c>
      <c r="N27" s="40">
        <v>227.6097</v>
      </c>
      <c r="O27" s="40">
        <v>401.3897</v>
      </c>
      <c r="P27" s="40">
        <v>147.38126630322114</v>
      </c>
      <c r="Q27" s="40">
        <v>1776.8118999999999</v>
      </c>
      <c r="R27" s="40">
        <v>374.85993093106305</v>
      </c>
      <c r="S27" s="40">
        <v>0</v>
      </c>
      <c r="T27" s="40">
        <v>252.83279081464846</v>
      </c>
      <c r="U27" s="40">
        <v>2.2000000000000002</v>
      </c>
      <c r="V27" s="40">
        <v>337.42619999999999</v>
      </c>
      <c r="W27" s="76">
        <f t="shared" si="0"/>
        <v>106255.47704129887</v>
      </c>
      <c r="X27" s="36"/>
      <c r="Y27" s="42">
        <v>0</v>
      </c>
      <c r="Z27" s="38"/>
      <c r="AA27" s="43">
        <v>0</v>
      </c>
      <c r="AB27" s="36"/>
      <c r="AC27" s="76">
        <f t="shared" si="3"/>
        <v>106255.47704129887</v>
      </c>
      <c r="AD27" s="29"/>
      <c r="AE27" s="25"/>
      <c r="AF27" s="113"/>
      <c r="AG27" s="129"/>
      <c r="AH27" s="130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60985.594299999997</v>
      </c>
      <c r="C28" s="40">
        <v>9324.4982480999952</v>
      </c>
      <c r="D28" s="76">
        <f t="shared" si="1"/>
        <v>70310.092548099987</v>
      </c>
      <c r="E28" s="40">
        <v>0.70829999999999993</v>
      </c>
      <c r="F28" s="76">
        <f t="shared" si="2"/>
        <v>70310.800848099985</v>
      </c>
      <c r="G28" s="40">
        <v>0</v>
      </c>
      <c r="H28" s="40">
        <v>0</v>
      </c>
      <c r="I28" s="40">
        <v>0</v>
      </c>
      <c r="J28" s="40">
        <v>873.57530000000008</v>
      </c>
      <c r="K28" s="40">
        <v>78.949600000000004</v>
      </c>
      <c r="L28" s="40">
        <v>0</v>
      </c>
      <c r="M28" s="40">
        <v>418.5926</v>
      </c>
      <c r="N28" s="40">
        <v>157.71629999999999</v>
      </c>
      <c r="O28" s="40">
        <v>424.2448</v>
      </c>
      <c r="P28" s="40">
        <v>207.37373164639416</v>
      </c>
      <c r="Q28" s="40">
        <v>1557.7529</v>
      </c>
      <c r="R28" s="40">
        <v>758.03461540995352</v>
      </c>
      <c r="S28" s="40">
        <v>0</v>
      </c>
      <c r="T28" s="40">
        <v>355.74995814196228</v>
      </c>
      <c r="U28" s="40">
        <v>3</v>
      </c>
      <c r="V28" s="40">
        <v>233.8108</v>
      </c>
      <c r="W28" s="76">
        <f t="shared" si="0"/>
        <v>75379.601453298324</v>
      </c>
      <c r="X28" s="36"/>
      <c r="Y28" s="42">
        <v>453.57499000000001</v>
      </c>
      <c r="Z28" s="38"/>
      <c r="AA28" s="43">
        <v>0</v>
      </c>
      <c r="AB28" s="36"/>
      <c r="AC28" s="76">
        <f t="shared" si="3"/>
        <v>75833.176443298318</v>
      </c>
      <c r="AD28" s="29"/>
      <c r="AE28" s="25"/>
      <c r="AF28" s="113"/>
      <c r="AG28" s="129"/>
      <c r="AH28" s="130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325345.89350000001</v>
      </c>
      <c r="C29" s="40">
        <v>79736.414504950168</v>
      </c>
      <c r="D29" s="76">
        <f t="shared" si="1"/>
        <v>405082.30800495017</v>
      </c>
      <c r="E29" s="40">
        <v>11.290799999999999</v>
      </c>
      <c r="F29" s="76">
        <f t="shared" si="2"/>
        <v>405093.59880495019</v>
      </c>
      <c r="G29" s="40">
        <v>0</v>
      </c>
      <c r="H29" s="40">
        <v>0</v>
      </c>
      <c r="I29" s="40">
        <v>0</v>
      </c>
      <c r="J29" s="40">
        <v>5032.2502000000004</v>
      </c>
      <c r="K29" s="40">
        <v>1085.4014999999999</v>
      </c>
      <c r="L29" s="40">
        <v>6.8999999999999996E-7</v>
      </c>
      <c r="M29" s="40">
        <v>5756.4301000000005</v>
      </c>
      <c r="N29" s="40">
        <v>906.8664</v>
      </c>
      <c r="O29" s="40">
        <v>1878.8856000000001</v>
      </c>
      <c r="P29" s="40">
        <v>130.66376590925566</v>
      </c>
      <c r="Q29" s="40">
        <v>2798.6007999999997</v>
      </c>
      <c r="R29" s="40">
        <v>268.71936678654112</v>
      </c>
      <c r="S29" s="40">
        <v>0</v>
      </c>
      <c r="T29" s="40">
        <v>224.15389299292323</v>
      </c>
      <c r="U29" s="40">
        <v>0.5</v>
      </c>
      <c r="V29" s="40">
        <v>1346.8473000000001</v>
      </c>
      <c r="W29" s="76">
        <f t="shared" si="0"/>
        <v>424522.91773132893</v>
      </c>
      <c r="X29" s="36"/>
      <c r="Y29" s="42">
        <v>6768.7166579999994</v>
      </c>
      <c r="Z29" s="38"/>
      <c r="AA29" s="43">
        <v>0</v>
      </c>
      <c r="AB29" s="36"/>
      <c r="AC29" s="76">
        <f t="shared" si="3"/>
        <v>431291.63438932894</v>
      </c>
      <c r="AD29" s="29"/>
      <c r="AE29" s="25"/>
      <c r="AF29" s="113"/>
      <c r="AG29" s="129"/>
      <c r="AH29" s="130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144108.96480000002</v>
      </c>
      <c r="C30" s="40">
        <v>39569.345129299909</v>
      </c>
      <c r="D30" s="76">
        <f t="shared" si="1"/>
        <v>183678.30992929992</v>
      </c>
      <c r="E30" s="40">
        <v>2.6333000000000002</v>
      </c>
      <c r="F30" s="76">
        <f t="shared" si="2"/>
        <v>183680.94322929991</v>
      </c>
      <c r="G30" s="40">
        <v>0</v>
      </c>
      <c r="H30" s="40">
        <v>0</v>
      </c>
      <c r="I30" s="40">
        <v>0</v>
      </c>
      <c r="J30" s="40">
        <v>2282.1309999999999</v>
      </c>
      <c r="K30" s="40">
        <v>0</v>
      </c>
      <c r="L30" s="40">
        <v>0</v>
      </c>
      <c r="M30" s="40">
        <v>0</v>
      </c>
      <c r="N30" s="40">
        <v>412.01350000000002</v>
      </c>
      <c r="O30" s="40">
        <v>846.43889999999999</v>
      </c>
      <c r="P30" s="40">
        <v>174.2160934446288</v>
      </c>
      <c r="Q30" s="40">
        <v>2093.2305000000001</v>
      </c>
      <c r="R30" s="40">
        <v>405.99396694553707</v>
      </c>
      <c r="S30" s="40">
        <v>0</v>
      </c>
      <c r="T30" s="40">
        <v>298.86797839101513</v>
      </c>
      <c r="U30" s="40">
        <v>2.2000000000000002</v>
      </c>
      <c r="V30" s="40">
        <v>610.80050000000006</v>
      </c>
      <c r="W30" s="76">
        <f t="shared" si="0"/>
        <v>190806.8356680811</v>
      </c>
      <c r="X30" s="36"/>
      <c r="Y30" s="42">
        <v>6833.8845739999997</v>
      </c>
      <c r="Z30" s="38"/>
      <c r="AA30" s="43">
        <v>0</v>
      </c>
      <c r="AB30" s="36"/>
      <c r="AC30" s="76">
        <f t="shared" si="3"/>
        <v>197640.72024208109</v>
      </c>
      <c r="AD30" s="29"/>
      <c r="AE30" s="25"/>
      <c r="AF30" s="113"/>
      <c r="AG30" s="129"/>
      <c r="AH30" s="130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162016.7892</v>
      </c>
      <c r="C31" s="40">
        <v>49491.567623750001</v>
      </c>
      <c r="D31" s="76">
        <f t="shared" si="1"/>
        <v>211508.35682375001</v>
      </c>
      <c r="E31" s="40">
        <v>4.6500000000000004</v>
      </c>
      <c r="F31" s="76">
        <f t="shared" si="2"/>
        <v>211513.00682375001</v>
      </c>
      <c r="G31" s="40">
        <v>0</v>
      </c>
      <c r="H31" s="40">
        <v>0</v>
      </c>
      <c r="I31" s="40">
        <v>0</v>
      </c>
      <c r="J31" s="40">
        <v>2627.9083999999998</v>
      </c>
      <c r="K31" s="40">
        <v>0</v>
      </c>
      <c r="L31" s="40">
        <v>0</v>
      </c>
      <c r="M31" s="40">
        <v>0</v>
      </c>
      <c r="N31" s="40">
        <v>474.43890000000005</v>
      </c>
      <c r="O31" s="40">
        <v>629.1373000000001</v>
      </c>
      <c r="P31" s="40">
        <v>134.18431073750841</v>
      </c>
      <c r="Q31" s="40">
        <v>2044.5507</v>
      </c>
      <c r="R31" s="40">
        <v>338.21648036581956</v>
      </c>
      <c r="S31" s="40">
        <v>0</v>
      </c>
      <c r="T31" s="40">
        <v>230.19339304452376</v>
      </c>
      <c r="U31" s="40">
        <v>2.2000000000000002</v>
      </c>
      <c r="V31" s="40">
        <v>703.34469999999999</v>
      </c>
      <c r="W31" s="76">
        <f t="shared" si="0"/>
        <v>218697.18100789783</v>
      </c>
      <c r="X31" s="36"/>
      <c r="Y31" s="42">
        <v>10599.1392</v>
      </c>
      <c r="Z31" s="38"/>
      <c r="AA31" s="43">
        <v>0</v>
      </c>
      <c r="AB31" s="36"/>
      <c r="AC31" s="76">
        <f t="shared" si="3"/>
        <v>229296.32020789784</v>
      </c>
      <c r="AD31" s="29"/>
      <c r="AE31" s="25"/>
      <c r="AF31" s="113"/>
      <c r="AG31" s="129"/>
      <c r="AH31" s="130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50288.962599999999</v>
      </c>
      <c r="C32" s="40">
        <v>4542.7042745000172</v>
      </c>
      <c r="D32" s="76">
        <f t="shared" si="1"/>
        <v>54831.666874500013</v>
      </c>
      <c r="E32" s="40">
        <v>1</v>
      </c>
      <c r="F32" s="76">
        <f t="shared" si="2"/>
        <v>54832.666874500013</v>
      </c>
      <c r="G32" s="40">
        <v>0</v>
      </c>
      <c r="H32" s="40">
        <v>0</v>
      </c>
      <c r="I32" s="40">
        <v>0</v>
      </c>
      <c r="J32" s="40">
        <v>681.25810000000001</v>
      </c>
      <c r="K32" s="40">
        <v>7.0030000000000001</v>
      </c>
      <c r="L32" s="40">
        <v>0</v>
      </c>
      <c r="M32" s="40">
        <v>37.130000000000003</v>
      </c>
      <c r="N32" s="40">
        <v>122.99630000000001</v>
      </c>
      <c r="O32" s="40">
        <v>346.50420000000003</v>
      </c>
      <c r="P32" s="40">
        <v>152.5011680205709</v>
      </c>
      <c r="Q32" s="40">
        <v>1290.0141000000001</v>
      </c>
      <c r="R32" s="40">
        <v>261.75457937545707</v>
      </c>
      <c r="S32" s="40">
        <v>0</v>
      </c>
      <c r="T32" s="40">
        <v>261.6159901470167</v>
      </c>
      <c r="U32" s="40">
        <v>3</v>
      </c>
      <c r="V32" s="40">
        <v>182.33920000000001</v>
      </c>
      <c r="W32" s="76">
        <f t="shared" si="0"/>
        <v>58178.783512043054</v>
      </c>
      <c r="X32" s="36"/>
      <c r="Y32" s="42">
        <v>172.803566375</v>
      </c>
      <c r="Z32" s="38"/>
      <c r="AA32" s="37">
        <v>0</v>
      </c>
      <c r="AB32" s="36"/>
      <c r="AC32" s="76">
        <f t="shared" si="3"/>
        <v>58351.587078418052</v>
      </c>
      <c r="AD32" s="29"/>
      <c r="AE32" s="25"/>
      <c r="AF32" s="113"/>
      <c r="AG32" s="129"/>
      <c r="AH32" s="130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>SUM(B10:B32)</f>
        <v>3369018.0493000005</v>
      </c>
      <c r="C33" s="79">
        <f>SUM(C10:C32)</f>
        <v>1133404.7165258999</v>
      </c>
      <c r="D33" s="79">
        <f>SUM(D10:D32)</f>
        <v>4502422.7658259002</v>
      </c>
      <c r="E33" s="79">
        <f t="shared" ref="E33:W33" si="4">SUM(E10:E32)</f>
        <v>107.0158</v>
      </c>
      <c r="F33" s="79">
        <f>SUM(F10:F32)</f>
        <v>4502529.7816258995</v>
      </c>
      <c r="G33" s="79">
        <f t="shared" si="4"/>
        <v>0</v>
      </c>
      <c r="H33" s="79">
        <f t="shared" si="4"/>
        <v>0</v>
      </c>
      <c r="I33" s="79">
        <f t="shared" si="4"/>
        <v>0</v>
      </c>
      <c r="J33" s="79">
        <f t="shared" si="4"/>
        <v>55939.940200000005</v>
      </c>
      <c r="K33" s="79">
        <f t="shared" si="4"/>
        <v>6530.5397999999986</v>
      </c>
      <c r="L33" s="79">
        <f t="shared" si="4"/>
        <v>8.6000000000000002E-7</v>
      </c>
      <c r="M33" s="79">
        <f t="shared" si="4"/>
        <v>34626.811599999994</v>
      </c>
      <c r="N33" s="79">
        <f t="shared" si="4"/>
        <v>10097.2601</v>
      </c>
      <c r="O33" s="79">
        <f t="shared" si="4"/>
        <v>20198.585200000001</v>
      </c>
      <c r="P33" s="79">
        <f t="shared" si="4"/>
        <v>3946.5046862027948</v>
      </c>
      <c r="Q33" s="79">
        <f t="shared" si="4"/>
        <v>48112.194900000002</v>
      </c>
      <c r="R33" s="79">
        <f>SUM(R10:R32)</f>
        <v>9695.3182633800025</v>
      </c>
      <c r="S33" s="79">
        <f t="shared" si="4"/>
        <v>0</v>
      </c>
      <c r="T33" s="79">
        <f t="shared" si="4"/>
        <v>6464.8898403599997</v>
      </c>
      <c r="U33" s="79">
        <f t="shared" si="4"/>
        <v>45.800000000000004</v>
      </c>
      <c r="V33" s="79">
        <f t="shared" si="4"/>
        <v>14971.906400000002</v>
      </c>
      <c r="W33" s="79">
        <f t="shared" si="4"/>
        <v>4713159.5326167028</v>
      </c>
      <c r="X33" s="47"/>
      <c r="Y33" s="78">
        <f>SUM(Y10:Y32)</f>
        <v>225221.75473837493</v>
      </c>
      <c r="Z33" s="38"/>
      <c r="AA33" s="110">
        <f>SUM(AA10:AA32)</f>
        <v>0</v>
      </c>
      <c r="AB33" s="46"/>
      <c r="AC33" s="77">
        <f>SUM(AC10:AC32)</f>
        <v>4938381.2873550784</v>
      </c>
      <c r="AD33" s="29"/>
      <c r="AE33" s="25"/>
      <c r="AF33" s="113"/>
      <c r="AG33" s="131"/>
      <c r="AH33" s="130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47948.940600000002</v>
      </c>
      <c r="C34" s="40">
        <v>61716.393138029976</v>
      </c>
      <c r="D34" s="76">
        <f>B34+C34</f>
        <v>109665.33373802998</v>
      </c>
      <c r="E34" s="40">
        <v>0</v>
      </c>
      <c r="F34" s="76">
        <f>D34+E34</f>
        <v>109665.33373802998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632.83709999999996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110298.17083802998</v>
      </c>
      <c r="X34" s="36"/>
      <c r="Y34" s="42"/>
      <c r="Z34" s="38"/>
      <c r="AA34" s="109">
        <v>0</v>
      </c>
      <c r="AB34" s="36"/>
      <c r="AC34" s="76">
        <f>+W34+Y34+AA34</f>
        <v>110298.17083802998</v>
      </c>
      <c r="AD34" s="29"/>
      <c r="AE34" s="25"/>
      <c r="AF34" s="113"/>
      <c r="AG34" s="129"/>
      <c r="AH34" s="130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 t="shared" si="3"/>
        <v>0</v>
      </c>
      <c r="AD35" s="29"/>
      <c r="AF35" s="113"/>
      <c r="AG35" s="129"/>
      <c r="AH35" s="130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3152095.0210000002</v>
      </c>
      <c r="C36" s="40">
        <v>0</v>
      </c>
      <c r="D36" s="76">
        <f>B36+C36</f>
        <v>3152095.0210000002</v>
      </c>
      <c r="E36" s="40">
        <v>0</v>
      </c>
      <c r="F36" s="76">
        <f>D36+E36</f>
        <v>3152095.0210000002</v>
      </c>
      <c r="G36" s="40">
        <v>0</v>
      </c>
      <c r="H36" s="40">
        <v>0</v>
      </c>
      <c r="I36" s="40">
        <v>0</v>
      </c>
      <c r="J36" s="40">
        <v>40525.125999999997</v>
      </c>
      <c r="K36" s="40">
        <v>0</v>
      </c>
      <c r="L36" s="40">
        <v>0</v>
      </c>
      <c r="M36" s="40">
        <v>0</v>
      </c>
      <c r="N36" s="40">
        <v>0</v>
      </c>
      <c r="O36" s="40">
        <v>33594.539100000002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3226214.6861000005</v>
      </c>
      <c r="X36" s="36"/>
      <c r="Y36" s="42">
        <f>-SUM(Y33)</f>
        <v>-225221.75473837493</v>
      </c>
      <c r="Z36" s="38"/>
      <c r="AA36" s="43">
        <f>-(AA33+AA34)</f>
        <v>0</v>
      </c>
      <c r="AB36" s="36"/>
      <c r="AC36" s="76">
        <f>+W36+Y36+AA36</f>
        <v>3000992.9313616254</v>
      </c>
      <c r="AD36" s="29"/>
      <c r="AE36" s="25"/>
      <c r="AF36" s="113"/>
      <c r="AG36" s="129"/>
      <c r="AH36" s="130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516006.72830000002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34862.190999999999</v>
      </c>
      <c r="W37" s="76">
        <f>SUM(F37:V37)</f>
        <v>550868.91930000007</v>
      </c>
      <c r="X37" s="36"/>
      <c r="Y37" s="42"/>
      <c r="Z37" s="38"/>
      <c r="AA37" s="43"/>
      <c r="AB37" s="36"/>
      <c r="AC37" s="76">
        <f t="shared" si="3"/>
        <v>550868.91930000007</v>
      </c>
      <c r="AD37" s="29"/>
      <c r="AE37" s="25"/>
      <c r="AF37" s="113"/>
      <c r="AG37" s="129"/>
      <c r="AH37" s="130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78332.381200000003</v>
      </c>
      <c r="C38" s="39">
        <v>0</v>
      </c>
      <c r="D38" s="76">
        <f>B38+C38</f>
        <v>78332.381200000003</v>
      </c>
      <c r="E38" s="39">
        <v>0</v>
      </c>
      <c r="F38" s="76">
        <f>D38+E38</f>
        <v>78332.381200000003</v>
      </c>
      <c r="G38" s="39">
        <v>0</v>
      </c>
      <c r="H38" s="39">
        <v>0</v>
      </c>
      <c r="I38" s="39">
        <v>0</v>
      </c>
      <c r="J38" s="39">
        <v>973.22590000000002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79305.607100000008</v>
      </c>
      <c r="X38" s="36"/>
      <c r="Y38" s="35"/>
      <c r="Z38" s="38"/>
      <c r="AA38" s="37"/>
      <c r="AB38" s="36"/>
      <c r="AC38" s="75">
        <f t="shared" si="3"/>
        <v>79305.607100000008</v>
      </c>
      <c r="AD38" s="29"/>
      <c r="AE38" s="25"/>
      <c r="AF38" s="113"/>
      <c r="AG38" s="129"/>
      <c r="AH38" s="130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27" customFormat="1" ht="20.100000000000001" customHeight="1" x14ac:dyDescent="0.2">
      <c r="A39" s="74" t="s">
        <v>15</v>
      </c>
      <c r="B39" s="73">
        <f>+SUM(B33:B38)</f>
        <v>6647440.1921000006</v>
      </c>
      <c r="C39" s="73">
        <f>+SUM(C33:C38)</f>
        <v>1195121.10966393</v>
      </c>
      <c r="D39" s="73">
        <f>+SUM(D33:D38)</f>
        <v>7842561.3017639304</v>
      </c>
      <c r="E39" s="73">
        <f t="shared" ref="E39:V39" si="5">+SUM(E33:E38)</f>
        <v>107.0158</v>
      </c>
      <c r="F39" s="73">
        <f>SUM(F33:F38)</f>
        <v>7842668.3175639296</v>
      </c>
      <c r="G39" s="73">
        <f t="shared" si="5"/>
        <v>0</v>
      </c>
      <c r="H39" s="73">
        <f t="shared" si="5"/>
        <v>0</v>
      </c>
      <c r="I39" s="73">
        <f t="shared" si="5"/>
        <v>0</v>
      </c>
      <c r="J39" s="73">
        <f t="shared" si="5"/>
        <v>97438.292100000006</v>
      </c>
      <c r="K39" s="73">
        <f t="shared" si="5"/>
        <v>6530.5397999999986</v>
      </c>
      <c r="L39" s="73">
        <f t="shared" si="5"/>
        <v>8.6000000000000002E-7</v>
      </c>
      <c r="M39" s="73">
        <f t="shared" si="5"/>
        <v>550633.53989999997</v>
      </c>
      <c r="N39" s="73">
        <f t="shared" si="5"/>
        <v>10097.2601</v>
      </c>
      <c r="O39" s="73">
        <f t="shared" si="5"/>
        <v>53793.124300000003</v>
      </c>
      <c r="P39" s="73">
        <f t="shared" si="5"/>
        <v>3946.5046862027948</v>
      </c>
      <c r="Q39" s="73">
        <f t="shared" si="5"/>
        <v>48745.031999999999</v>
      </c>
      <c r="R39" s="73">
        <f t="shared" si="5"/>
        <v>9695.3182633800025</v>
      </c>
      <c r="S39" s="73">
        <f t="shared" si="5"/>
        <v>0</v>
      </c>
      <c r="T39" s="73">
        <f t="shared" si="5"/>
        <v>6464.8898403599997</v>
      </c>
      <c r="U39" s="73">
        <f t="shared" si="5"/>
        <v>45.800000000000004</v>
      </c>
      <c r="V39" s="73">
        <f t="shared" si="5"/>
        <v>49834.097399999999</v>
      </c>
      <c r="W39" s="73">
        <f>+SUM(W33:W38)</f>
        <v>8679846.9159547333</v>
      </c>
      <c r="X39" s="33"/>
      <c r="Y39" s="32">
        <f>+SUM(Y33:Y38)</f>
        <v>0</v>
      </c>
      <c r="Z39" s="31"/>
      <c r="AA39" s="111"/>
      <c r="AB39" s="30"/>
      <c r="AC39" s="72">
        <f>+SUM(AC33:AC38)</f>
        <v>8679846.9159547333</v>
      </c>
      <c r="AD39" s="29"/>
      <c r="AE39" s="25"/>
      <c r="AF39" s="113"/>
      <c r="AG39" s="132"/>
      <c r="AH39" s="133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1:52" ht="15" customHeight="1" x14ac:dyDescent="0.2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80"/>
      <c r="S40" s="114"/>
      <c r="T40" s="180"/>
      <c r="U40" s="114"/>
      <c r="V40" s="114"/>
      <c r="W40" s="114"/>
      <c r="X40" s="185"/>
      <c r="Y40" s="185"/>
      <c r="Z40" s="185"/>
      <c r="AA40" s="185"/>
      <c r="AB40" s="185"/>
      <c r="AC40" s="185"/>
      <c r="AD40" s="114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A41" s="114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14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14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3"/>
      <c r="Y42" s="113"/>
      <c r="Z42" s="113"/>
      <c r="AA42" s="113"/>
      <c r="AB42" s="113"/>
      <c r="AC42" s="113"/>
      <c r="AD42" s="114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11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6" customFormat="1" ht="15" customHeight="1" x14ac:dyDescent="0.2">
      <c r="A44" s="23" t="s">
        <v>14</v>
      </c>
      <c r="B44" s="22"/>
      <c r="C44" s="22"/>
      <c r="D44" s="21"/>
      <c r="E44" s="17">
        <v>3125858.4640000002</v>
      </c>
      <c r="F44" s="116"/>
      <c r="J44" s="4" t="s">
        <v>13</v>
      </c>
      <c r="K44" s="7" t="s">
        <v>12</v>
      </c>
      <c r="W44" s="20"/>
      <c r="AD44" s="7"/>
      <c r="AE44" s="7"/>
      <c r="AF44" s="7"/>
    </row>
    <row r="45" spans="1:52" s="6" customFormat="1" ht="15" customHeight="1" x14ac:dyDescent="0.2">
      <c r="A45" s="183" t="s">
        <v>11</v>
      </c>
      <c r="B45" s="184"/>
      <c r="C45" s="184"/>
      <c r="D45" s="18"/>
      <c r="E45" s="17">
        <v>4454157.8245999999</v>
      </c>
      <c r="F45" s="116"/>
      <c r="K45" s="7" t="s">
        <v>10</v>
      </c>
      <c r="W45" s="4"/>
      <c r="Y45" s="4"/>
      <c r="AA45" s="4"/>
      <c r="AC45" s="4"/>
      <c r="AD45" s="7"/>
      <c r="AE45" s="7"/>
      <c r="AF45" s="7"/>
    </row>
    <row r="46" spans="1:52" s="6" customFormat="1" ht="15" hidden="1" customHeight="1" x14ac:dyDescent="0.2">
      <c r="A46" s="233"/>
      <c r="B46" s="234"/>
      <c r="C46" s="234"/>
      <c r="D46" s="18"/>
      <c r="E46" s="17"/>
      <c r="F46" s="116"/>
      <c r="K46" s="6" t="s">
        <v>9</v>
      </c>
      <c r="AD46" s="7"/>
      <c r="AE46" s="7"/>
      <c r="AF46" s="7"/>
    </row>
    <row r="47" spans="1:52" s="6" customFormat="1" ht="15" customHeight="1" x14ac:dyDescent="0.2">
      <c r="A47" s="19" t="s">
        <v>8</v>
      </c>
      <c r="B47" s="184"/>
      <c r="C47" s="184"/>
      <c r="D47" s="18"/>
      <c r="E47" s="17">
        <v>227352.50099999999</v>
      </c>
      <c r="F47" s="116"/>
      <c r="K47" s="7" t="s">
        <v>7</v>
      </c>
      <c r="AD47" s="7"/>
      <c r="AE47" s="7"/>
      <c r="AF47" s="7"/>
    </row>
    <row r="48" spans="1:52" s="6" customFormat="1" ht="15" customHeight="1" x14ac:dyDescent="0.2">
      <c r="A48" s="19" t="s">
        <v>6</v>
      </c>
      <c r="B48" s="184"/>
      <c r="C48" s="184"/>
      <c r="D48" s="18"/>
      <c r="E48" s="17">
        <v>417.90899999999999</v>
      </c>
      <c r="F48" s="116"/>
      <c r="K48" s="7" t="s">
        <v>118</v>
      </c>
      <c r="AD48" s="7"/>
      <c r="AE48" s="7"/>
      <c r="AF48" s="7"/>
    </row>
    <row r="49" spans="1:52" s="6" customFormat="1" ht="15" customHeight="1" x14ac:dyDescent="0.2">
      <c r="A49" s="183" t="s">
        <v>5</v>
      </c>
      <c r="B49" s="184"/>
      <c r="C49" s="184"/>
      <c r="D49" s="18"/>
      <c r="E49" s="17">
        <v>8247.6406999999999</v>
      </c>
      <c r="F49" s="116"/>
      <c r="AD49" s="7"/>
      <c r="AE49" s="7"/>
      <c r="AF49" s="7"/>
    </row>
    <row r="50" spans="1:52" s="6" customFormat="1" ht="15" customHeight="1" x14ac:dyDescent="0.2">
      <c r="A50" s="183" t="s">
        <v>4</v>
      </c>
      <c r="B50" s="184"/>
      <c r="C50" s="184"/>
      <c r="D50" s="18"/>
      <c r="E50" s="17">
        <v>17249.584600000002</v>
      </c>
      <c r="F50" s="116"/>
    </row>
    <row r="51" spans="1:52" s="6" customFormat="1" ht="15" customHeight="1" x14ac:dyDescent="0.2">
      <c r="A51" s="19" t="s">
        <v>3</v>
      </c>
      <c r="B51" s="184"/>
      <c r="C51" s="184"/>
      <c r="D51" s="18"/>
      <c r="E51" s="17">
        <v>9384.3936639299391</v>
      </c>
      <c r="F51" s="116"/>
    </row>
    <row r="52" spans="1:52" s="70" customFormat="1" ht="20.100000000000001" customHeight="1" x14ac:dyDescent="0.2">
      <c r="A52" s="237" t="s">
        <v>100</v>
      </c>
      <c r="B52" s="238"/>
      <c r="C52" s="238"/>
      <c r="D52" s="112"/>
      <c r="E52" s="71">
        <f>SUM(E44:E51)</f>
        <v>7842668.3175639296</v>
      </c>
      <c r="F52" s="118"/>
    </row>
    <row r="53" spans="1:52" s="6" customFormat="1" ht="15" customHeight="1" x14ac:dyDescent="0.2">
      <c r="A53" s="233"/>
      <c r="B53" s="234"/>
      <c r="C53" s="234"/>
      <c r="D53" s="18"/>
      <c r="E53" s="17">
        <v>0</v>
      </c>
      <c r="F53" s="116"/>
    </row>
    <row r="54" spans="1:52" s="6" customFormat="1" ht="15" customHeight="1" x14ac:dyDescent="0.2">
      <c r="A54" s="233" t="s">
        <v>2</v>
      </c>
      <c r="B54" s="234"/>
      <c r="C54" s="234"/>
      <c r="D54" s="18"/>
      <c r="E54" s="17">
        <v>45.8</v>
      </c>
      <c r="F54" s="116"/>
    </row>
    <row r="55" spans="1:52" s="6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7842622.5175639298</v>
      </c>
      <c r="F55" s="116"/>
    </row>
    <row r="56" spans="1:52" x14ac:dyDescent="0.2">
      <c r="A56" s="6"/>
      <c r="B56" s="6"/>
      <c r="C56" s="6"/>
      <c r="D56" s="6"/>
      <c r="E56" s="2"/>
      <c r="F56" s="16"/>
      <c r="G56" s="14"/>
      <c r="H56" s="14"/>
      <c r="I56" s="14"/>
      <c r="J56" s="15"/>
      <c r="K56" s="6"/>
      <c r="L56" s="14"/>
      <c r="M56" s="14"/>
      <c r="N56" s="14"/>
      <c r="O56" s="7"/>
      <c r="P56" s="7"/>
      <c r="Q56" s="7"/>
      <c r="R56" s="7"/>
      <c r="S56" s="7"/>
      <c r="T56" s="7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6"/>
      <c r="C57" s="6"/>
      <c r="D57" s="6"/>
      <c r="E57" s="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67" t="s">
        <v>110</v>
      </c>
      <c r="B58" s="6"/>
      <c r="C58" s="6"/>
      <c r="D58" s="6"/>
      <c r="E58" s="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D59" s="7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66" t="s">
        <v>96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V60" s="2"/>
      <c r="W60" s="4"/>
      <c r="X60" s="6"/>
      <c r="Y60" s="5"/>
      <c r="Z60" s="2"/>
      <c r="AA60" s="4"/>
      <c r="AB60" s="2"/>
      <c r="AC60" s="4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4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A52:C52"/>
    <mergeCell ref="A53:C53"/>
    <mergeCell ref="A54:C54"/>
    <mergeCell ref="A55:C55"/>
    <mergeCell ref="G6:I7"/>
    <mergeCell ref="R6:T6"/>
    <mergeCell ref="R7:T7"/>
    <mergeCell ref="P8:P9"/>
    <mergeCell ref="T8:T9"/>
    <mergeCell ref="A46:C46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:F39 W33:AC33" formula="1"/>
    <ignoredError sqref="W9:AC9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Z77"/>
  <sheetViews>
    <sheetView showGridLines="0" showZeros="0" topLeftCell="J21" zoomScaleNormal="100" workbookViewId="0">
      <selection activeCell="M53" sqref="M53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256" width="27.5546875" style="1"/>
    <col min="257" max="257" width="19.44140625" style="1" customWidth="1"/>
    <col min="258" max="259" width="12.77734375" style="1" customWidth="1"/>
    <col min="260" max="260" width="13" style="1" customWidth="1"/>
    <col min="261" max="262" width="12.77734375" style="1" customWidth="1"/>
    <col min="263" max="265" width="0" style="1" hidden="1" customWidth="1"/>
    <col min="266" max="274" width="12.77734375" style="1" customWidth="1"/>
    <col min="275" max="275" width="0" style="1" hidden="1" customWidth="1"/>
    <col min="276" max="279" width="12.77734375" style="1" customWidth="1"/>
    <col min="280" max="280" width="1.77734375" style="1" customWidth="1"/>
    <col min="281" max="281" width="12.77734375" style="1" customWidth="1"/>
    <col min="282" max="282" width="1.77734375" style="1" customWidth="1"/>
    <col min="283" max="284" width="0" style="1" hidden="1" customWidth="1"/>
    <col min="285" max="285" width="12.77734375" style="1" customWidth="1"/>
    <col min="286" max="286" width="17.88671875" style="1" customWidth="1"/>
    <col min="287" max="287" width="11.77734375" style="1" customWidth="1"/>
    <col min="288" max="288" width="12" style="1" customWidth="1"/>
    <col min="289" max="512" width="27.5546875" style="1"/>
    <col min="513" max="513" width="19.44140625" style="1" customWidth="1"/>
    <col min="514" max="515" width="12.77734375" style="1" customWidth="1"/>
    <col min="516" max="516" width="13" style="1" customWidth="1"/>
    <col min="517" max="518" width="12.77734375" style="1" customWidth="1"/>
    <col min="519" max="521" width="0" style="1" hidden="1" customWidth="1"/>
    <col min="522" max="530" width="12.77734375" style="1" customWidth="1"/>
    <col min="531" max="531" width="0" style="1" hidden="1" customWidth="1"/>
    <col min="532" max="535" width="12.77734375" style="1" customWidth="1"/>
    <col min="536" max="536" width="1.77734375" style="1" customWidth="1"/>
    <col min="537" max="537" width="12.77734375" style="1" customWidth="1"/>
    <col min="538" max="538" width="1.77734375" style="1" customWidth="1"/>
    <col min="539" max="540" width="0" style="1" hidden="1" customWidth="1"/>
    <col min="541" max="541" width="12.77734375" style="1" customWidth="1"/>
    <col min="542" max="542" width="17.88671875" style="1" customWidth="1"/>
    <col min="543" max="543" width="11.77734375" style="1" customWidth="1"/>
    <col min="544" max="544" width="12" style="1" customWidth="1"/>
    <col min="545" max="768" width="27.5546875" style="1"/>
    <col min="769" max="769" width="19.44140625" style="1" customWidth="1"/>
    <col min="770" max="771" width="12.77734375" style="1" customWidth="1"/>
    <col min="772" max="772" width="13" style="1" customWidth="1"/>
    <col min="773" max="774" width="12.77734375" style="1" customWidth="1"/>
    <col min="775" max="777" width="0" style="1" hidden="1" customWidth="1"/>
    <col min="778" max="786" width="12.77734375" style="1" customWidth="1"/>
    <col min="787" max="787" width="0" style="1" hidden="1" customWidth="1"/>
    <col min="788" max="791" width="12.77734375" style="1" customWidth="1"/>
    <col min="792" max="792" width="1.77734375" style="1" customWidth="1"/>
    <col min="793" max="793" width="12.77734375" style="1" customWidth="1"/>
    <col min="794" max="794" width="1.77734375" style="1" customWidth="1"/>
    <col min="795" max="796" width="0" style="1" hidden="1" customWidth="1"/>
    <col min="797" max="797" width="12.77734375" style="1" customWidth="1"/>
    <col min="798" max="798" width="17.88671875" style="1" customWidth="1"/>
    <col min="799" max="799" width="11.77734375" style="1" customWidth="1"/>
    <col min="800" max="800" width="12" style="1" customWidth="1"/>
    <col min="801" max="1024" width="27.5546875" style="1"/>
    <col min="1025" max="1025" width="19.44140625" style="1" customWidth="1"/>
    <col min="1026" max="1027" width="12.77734375" style="1" customWidth="1"/>
    <col min="1028" max="1028" width="13" style="1" customWidth="1"/>
    <col min="1029" max="1030" width="12.77734375" style="1" customWidth="1"/>
    <col min="1031" max="1033" width="0" style="1" hidden="1" customWidth="1"/>
    <col min="1034" max="1042" width="12.77734375" style="1" customWidth="1"/>
    <col min="1043" max="1043" width="0" style="1" hidden="1" customWidth="1"/>
    <col min="1044" max="1047" width="12.77734375" style="1" customWidth="1"/>
    <col min="1048" max="1048" width="1.77734375" style="1" customWidth="1"/>
    <col min="1049" max="1049" width="12.77734375" style="1" customWidth="1"/>
    <col min="1050" max="1050" width="1.77734375" style="1" customWidth="1"/>
    <col min="1051" max="1052" width="0" style="1" hidden="1" customWidth="1"/>
    <col min="1053" max="1053" width="12.77734375" style="1" customWidth="1"/>
    <col min="1054" max="1054" width="17.88671875" style="1" customWidth="1"/>
    <col min="1055" max="1055" width="11.77734375" style="1" customWidth="1"/>
    <col min="1056" max="1056" width="12" style="1" customWidth="1"/>
    <col min="1057" max="1280" width="27.5546875" style="1"/>
    <col min="1281" max="1281" width="19.44140625" style="1" customWidth="1"/>
    <col min="1282" max="1283" width="12.77734375" style="1" customWidth="1"/>
    <col min="1284" max="1284" width="13" style="1" customWidth="1"/>
    <col min="1285" max="1286" width="12.77734375" style="1" customWidth="1"/>
    <col min="1287" max="1289" width="0" style="1" hidden="1" customWidth="1"/>
    <col min="1290" max="1298" width="12.77734375" style="1" customWidth="1"/>
    <col min="1299" max="1299" width="0" style="1" hidden="1" customWidth="1"/>
    <col min="1300" max="1303" width="12.77734375" style="1" customWidth="1"/>
    <col min="1304" max="1304" width="1.77734375" style="1" customWidth="1"/>
    <col min="1305" max="1305" width="12.77734375" style="1" customWidth="1"/>
    <col min="1306" max="1306" width="1.77734375" style="1" customWidth="1"/>
    <col min="1307" max="1308" width="0" style="1" hidden="1" customWidth="1"/>
    <col min="1309" max="1309" width="12.77734375" style="1" customWidth="1"/>
    <col min="1310" max="1310" width="17.88671875" style="1" customWidth="1"/>
    <col min="1311" max="1311" width="11.77734375" style="1" customWidth="1"/>
    <col min="1312" max="1312" width="12" style="1" customWidth="1"/>
    <col min="1313" max="1536" width="27.5546875" style="1"/>
    <col min="1537" max="1537" width="19.44140625" style="1" customWidth="1"/>
    <col min="1538" max="1539" width="12.77734375" style="1" customWidth="1"/>
    <col min="1540" max="1540" width="13" style="1" customWidth="1"/>
    <col min="1541" max="1542" width="12.77734375" style="1" customWidth="1"/>
    <col min="1543" max="1545" width="0" style="1" hidden="1" customWidth="1"/>
    <col min="1546" max="1554" width="12.77734375" style="1" customWidth="1"/>
    <col min="1555" max="1555" width="0" style="1" hidden="1" customWidth="1"/>
    <col min="1556" max="1559" width="12.77734375" style="1" customWidth="1"/>
    <col min="1560" max="1560" width="1.77734375" style="1" customWidth="1"/>
    <col min="1561" max="1561" width="12.77734375" style="1" customWidth="1"/>
    <col min="1562" max="1562" width="1.77734375" style="1" customWidth="1"/>
    <col min="1563" max="1564" width="0" style="1" hidden="1" customWidth="1"/>
    <col min="1565" max="1565" width="12.77734375" style="1" customWidth="1"/>
    <col min="1566" max="1566" width="17.88671875" style="1" customWidth="1"/>
    <col min="1567" max="1567" width="11.77734375" style="1" customWidth="1"/>
    <col min="1568" max="1568" width="12" style="1" customWidth="1"/>
    <col min="1569" max="1792" width="27.5546875" style="1"/>
    <col min="1793" max="1793" width="19.44140625" style="1" customWidth="1"/>
    <col min="1794" max="1795" width="12.77734375" style="1" customWidth="1"/>
    <col min="1796" max="1796" width="13" style="1" customWidth="1"/>
    <col min="1797" max="1798" width="12.77734375" style="1" customWidth="1"/>
    <col min="1799" max="1801" width="0" style="1" hidden="1" customWidth="1"/>
    <col min="1802" max="1810" width="12.77734375" style="1" customWidth="1"/>
    <col min="1811" max="1811" width="0" style="1" hidden="1" customWidth="1"/>
    <col min="1812" max="1815" width="12.77734375" style="1" customWidth="1"/>
    <col min="1816" max="1816" width="1.77734375" style="1" customWidth="1"/>
    <col min="1817" max="1817" width="12.77734375" style="1" customWidth="1"/>
    <col min="1818" max="1818" width="1.77734375" style="1" customWidth="1"/>
    <col min="1819" max="1820" width="0" style="1" hidden="1" customWidth="1"/>
    <col min="1821" max="1821" width="12.77734375" style="1" customWidth="1"/>
    <col min="1822" max="1822" width="17.88671875" style="1" customWidth="1"/>
    <col min="1823" max="1823" width="11.77734375" style="1" customWidth="1"/>
    <col min="1824" max="1824" width="12" style="1" customWidth="1"/>
    <col min="1825" max="2048" width="27.5546875" style="1"/>
    <col min="2049" max="2049" width="19.44140625" style="1" customWidth="1"/>
    <col min="2050" max="2051" width="12.77734375" style="1" customWidth="1"/>
    <col min="2052" max="2052" width="13" style="1" customWidth="1"/>
    <col min="2053" max="2054" width="12.77734375" style="1" customWidth="1"/>
    <col min="2055" max="2057" width="0" style="1" hidden="1" customWidth="1"/>
    <col min="2058" max="2066" width="12.77734375" style="1" customWidth="1"/>
    <col min="2067" max="2067" width="0" style="1" hidden="1" customWidth="1"/>
    <col min="2068" max="2071" width="12.77734375" style="1" customWidth="1"/>
    <col min="2072" max="2072" width="1.77734375" style="1" customWidth="1"/>
    <col min="2073" max="2073" width="12.77734375" style="1" customWidth="1"/>
    <col min="2074" max="2074" width="1.77734375" style="1" customWidth="1"/>
    <col min="2075" max="2076" width="0" style="1" hidden="1" customWidth="1"/>
    <col min="2077" max="2077" width="12.77734375" style="1" customWidth="1"/>
    <col min="2078" max="2078" width="17.88671875" style="1" customWidth="1"/>
    <col min="2079" max="2079" width="11.77734375" style="1" customWidth="1"/>
    <col min="2080" max="2080" width="12" style="1" customWidth="1"/>
    <col min="2081" max="2304" width="27.5546875" style="1"/>
    <col min="2305" max="2305" width="19.44140625" style="1" customWidth="1"/>
    <col min="2306" max="2307" width="12.77734375" style="1" customWidth="1"/>
    <col min="2308" max="2308" width="13" style="1" customWidth="1"/>
    <col min="2309" max="2310" width="12.77734375" style="1" customWidth="1"/>
    <col min="2311" max="2313" width="0" style="1" hidden="1" customWidth="1"/>
    <col min="2314" max="2322" width="12.77734375" style="1" customWidth="1"/>
    <col min="2323" max="2323" width="0" style="1" hidden="1" customWidth="1"/>
    <col min="2324" max="2327" width="12.77734375" style="1" customWidth="1"/>
    <col min="2328" max="2328" width="1.77734375" style="1" customWidth="1"/>
    <col min="2329" max="2329" width="12.77734375" style="1" customWidth="1"/>
    <col min="2330" max="2330" width="1.77734375" style="1" customWidth="1"/>
    <col min="2331" max="2332" width="0" style="1" hidden="1" customWidth="1"/>
    <col min="2333" max="2333" width="12.77734375" style="1" customWidth="1"/>
    <col min="2334" max="2334" width="17.88671875" style="1" customWidth="1"/>
    <col min="2335" max="2335" width="11.77734375" style="1" customWidth="1"/>
    <col min="2336" max="2336" width="12" style="1" customWidth="1"/>
    <col min="2337" max="2560" width="27.5546875" style="1"/>
    <col min="2561" max="2561" width="19.44140625" style="1" customWidth="1"/>
    <col min="2562" max="2563" width="12.77734375" style="1" customWidth="1"/>
    <col min="2564" max="2564" width="13" style="1" customWidth="1"/>
    <col min="2565" max="2566" width="12.77734375" style="1" customWidth="1"/>
    <col min="2567" max="2569" width="0" style="1" hidden="1" customWidth="1"/>
    <col min="2570" max="2578" width="12.77734375" style="1" customWidth="1"/>
    <col min="2579" max="2579" width="0" style="1" hidden="1" customWidth="1"/>
    <col min="2580" max="2583" width="12.77734375" style="1" customWidth="1"/>
    <col min="2584" max="2584" width="1.77734375" style="1" customWidth="1"/>
    <col min="2585" max="2585" width="12.77734375" style="1" customWidth="1"/>
    <col min="2586" max="2586" width="1.77734375" style="1" customWidth="1"/>
    <col min="2587" max="2588" width="0" style="1" hidden="1" customWidth="1"/>
    <col min="2589" max="2589" width="12.77734375" style="1" customWidth="1"/>
    <col min="2590" max="2590" width="17.88671875" style="1" customWidth="1"/>
    <col min="2591" max="2591" width="11.77734375" style="1" customWidth="1"/>
    <col min="2592" max="2592" width="12" style="1" customWidth="1"/>
    <col min="2593" max="2816" width="27.5546875" style="1"/>
    <col min="2817" max="2817" width="19.44140625" style="1" customWidth="1"/>
    <col min="2818" max="2819" width="12.77734375" style="1" customWidth="1"/>
    <col min="2820" max="2820" width="13" style="1" customWidth="1"/>
    <col min="2821" max="2822" width="12.77734375" style="1" customWidth="1"/>
    <col min="2823" max="2825" width="0" style="1" hidden="1" customWidth="1"/>
    <col min="2826" max="2834" width="12.77734375" style="1" customWidth="1"/>
    <col min="2835" max="2835" width="0" style="1" hidden="1" customWidth="1"/>
    <col min="2836" max="2839" width="12.77734375" style="1" customWidth="1"/>
    <col min="2840" max="2840" width="1.77734375" style="1" customWidth="1"/>
    <col min="2841" max="2841" width="12.77734375" style="1" customWidth="1"/>
    <col min="2842" max="2842" width="1.77734375" style="1" customWidth="1"/>
    <col min="2843" max="2844" width="0" style="1" hidden="1" customWidth="1"/>
    <col min="2845" max="2845" width="12.77734375" style="1" customWidth="1"/>
    <col min="2846" max="2846" width="17.88671875" style="1" customWidth="1"/>
    <col min="2847" max="2847" width="11.77734375" style="1" customWidth="1"/>
    <col min="2848" max="2848" width="12" style="1" customWidth="1"/>
    <col min="2849" max="3072" width="27.5546875" style="1"/>
    <col min="3073" max="3073" width="19.44140625" style="1" customWidth="1"/>
    <col min="3074" max="3075" width="12.77734375" style="1" customWidth="1"/>
    <col min="3076" max="3076" width="13" style="1" customWidth="1"/>
    <col min="3077" max="3078" width="12.77734375" style="1" customWidth="1"/>
    <col min="3079" max="3081" width="0" style="1" hidden="1" customWidth="1"/>
    <col min="3082" max="3090" width="12.77734375" style="1" customWidth="1"/>
    <col min="3091" max="3091" width="0" style="1" hidden="1" customWidth="1"/>
    <col min="3092" max="3095" width="12.77734375" style="1" customWidth="1"/>
    <col min="3096" max="3096" width="1.77734375" style="1" customWidth="1"/>
    <col min="3097" max="3097" width="12.77734375" style="1" customWidth="1"/>
    <col min="3098" max="3098" width="1.77734375" style="1" customWidth="1"/>
    <col min="3099" max="3100" width="0" style="1" hidden="1" customWidth="1"/>
    <col min="3101" max="3101" width="12.77734375" style="1" customWidth="1"/>
    <col min="3102" max="3102" width="17.88671875" style="1" customWidth="1"/>
    <col min="3103" max="3103" width="11.77734375" style="1" customWidth="1"/>
    <col min="3104" max="3104" width="12" style="1" customWidth="1"/>
    <col min="3105" max="3328" width="27.5546875" style="1"/>
    <col min="3329" max="3329" width="19.44140625" style="1" customWidth="1"/>
    <col min="3330" max="3331" width="12.77734375" style="1" customWidth="1"/>
    <col min="3332" max="3332" width="13" style="1" customWidth="1"/>
    <col min="3333" max="3334" width="12.77734375" style="1" customWidth="1"/>
    <col min="3335" max="3337" width="0" style="1" hidden="1" customWidth="1"/>
    <col min="3338" max="3346" width="12.77734375" style="1" customWidth="1"/>
    <col min="3347" max="3347" width="0" style="1" hidden="1" customWidth="1"/>
    <col min="3348" max="3351" width="12.77734375" style="1" customWidth="1"/>
    <col min="3352" max="3352" width="1.77734375" style="1" customWidth="1"/>
    <col min="3353" max="3353" width="12.77734375" style="1" customWidth="1"/>
    <col min="3354" max="3354" width="1.77734375" style="1" customWidth="1"/>
    <col min="3355" max="3356" width="0" style="1" hidden="1" customWidth="1"/>
    <col min="3357" max="3357" width="12.77734375" style="1" customWidth="1"/>
    <col min="3358" max="3358" width="17.88671875" style="1" customWidth="1"/>
    <col min="3359" max="3359" width="11.77734375" style="1" customWidth="1"/>
    <col min="3360" max="3360" width="12" style="1" customWidth="1"/>
    <col min="3361" max="3584" width="27.5546875" style="1"/>
    <col min="3585" max="3585" width="19.44140625" style="1" customWidth="1"/>
    <col min="3586" max="3587" width="12.77734375" style="1" customWidth="1"/>
    <col min="3588" max="3588" width="13" style="1" customWidth="1"/>
    <col min="3589" max="3590" width="12.77734375" style="1" customWidth="1"/>
    <col min="3591" max="3593" width="0" style="1" hidden="1" customWidth="1"/>
    <col min="3594" max="3602" width="12.77734375" style="1" customWidth="1"/>
    <col min="3603" max="3603" width="0" style="1" hidden="1" customWidth="1"/>
    <col min="3604" max="3607" width="12.77734375" style="1" customWidth="1"/>
    <col min="3608" max="3608" width="1.77734375" style="1" customWidth="1"/>
    <col min="3609" max="3609" width="12.77734375" style="1" customWidth="1"/>
    <col min="3610" max="3610" width="1.77734375" style="1" customWidth="1"/>
    <col min="3611" max="3612" width="0" style="1" hidden="1" customWidth="1"/>
    <col min="3613" max="3613" width="12.77734375" style="1" customWidth="1"/>
    <col min="3614" max="3614" width="17.88671875" style="1" customWidth="1"/>
    <col min="3615" max="3615" width="11.77734375" style="1" customWidth="1"/>
    <col min="3616" max="3616" width="12" style="1" customWidth="1"/>
    <col min="3617" max="3840" width="27.5546875" style="1"/>
    <col min="3841" max="3841" width="19.44140625" style="1" customWidth="1"/>
    <col min="3842" max="3843" width="12.77734375" style="1" customWidth="1"/>
    <col min="3844" max="3844" width="13" style="1" customWidth="1"/>
    <col min="3845" max="3846" width="12.77734375" style="1" customWidth="1"/>
    <col min="3847" max="3849" width="0" style="1" hidden="1" customWidth="1"/>
    <col min="3850" max="3858" width="12.77734375" style="1" customWidth="1"/>
    <col min="3859" max="3859" width="0" style="1" hidden="1" customWidth="1"/>
    <col min="3860" max="3863" width="12.77734375" style="1" customWidth="1"/>
    <col min="3864" max="3864" width="1.77734375" style="1" customWidth="1"/>
    <col min="3865" max="3865" width="12.77734375" style="1" customWidth="1"/>
    <col min="3866" max="3866" width="1.77734375" style="1" customWidth="1"/>
    <col min="3867" max="3868" width="0" style="1" hidden="1" customWidth="1"/>
    <col min="3869" max="3869" width="12.77734375" style="1" customWidth="1"/>
    <col min="3870" max="3870" width="17.88671875" style="1" customWidth="1"/>
    <col min="3871" max="3871" width="11.77734375" style="1" customWidth="1"/>
    <col min="3872" max="3872" width="12" style="1" customWidth="1"/>
    <col min="3873" max="4096" width="27.5546875" style="1"/>
    <col min="4097" max="4097" width="19.44140625" style="1" customWidth="1"/>
    <col min="4098" max="4099" width="12.77734375" style="1" customWidth="1"/>
    <col min="4100" max="4100" width="13" style="1" customWidth="1"/>
    <col min="4101" max="4102" width="12.77734375" style="1" customWidth="1"/>
    <col min="4103" max="4105" width="0" style="1" hidden="1" customWidth="1"/>
    <col min="4106" max="4114" width="12.77734375" style="1" customWidth="1"/>
    <col min="4115" max="4115" width="0" style="1" hidden="1" customWidth="1"/>
    <col min="4116" max="4119" width="12.77734375" style="1" customWidth="1"/>
    <col min="4120" max="4120" width="1.77734375" style="1" customWidth="1"/>
    <col min="4121" max="4121" width="12.77734375" style="1" customWidth="1"/>
    <col min="4122" max="4122" width="1.77734375" style="1" customWidth="1"/>
    <col min="4123" max="4124" width="0" style="1" hidden="1" customWidth="1"/>
    <col min="4125" max="4125" width="12.77734375" style="1" customWidth="1"/>
    <col min="4126" max="4126" width="17.88671875" style="1" customWidth="1"/>
    <col min="4127" max="4127" width="11.77734375" style="1" customWidth="1"/>
    <col min="4128" max="4128" width="12" style="1" customWidth="1"/>
    <col min="4129" max="4352" width="27.5546875" style="1"/>
    <col min="4353" max="4353" width="19.44140625" style="1" customWidth="1"/>
    <col min="4354" max="4355" width="12.77734375" style="1" customWidth="1"/>
    <col min="4356" max="4356" width="13" style="1" customWidth="1"/>
    <col min="4357" max="4358" width="12.77734375" style="1" customWidth="1"/>
    <col min="4359" max="4361" width="0" style="1" hidden="1" customWidth="1"/>
    <col min="4362" max="4370" width="12.77734375" style="1" customWidth="1"/>
    <col min="4371" max="4371" width="0" style="1" hidden="1" customWidth="1"/>
    <col min="4372" max="4375" width="12.77734375" style="1" customWidth="1"/>
    <col min="4376" max="4376" width="1.77734375" style="1" customWidth="1"/>
    <col min="4377" max="4377" width="12.77734375" style="1" customWidth="1"/>
    <col min="4378" max="4378" width="1.77734375" style="1" customWidth="1"/>
    <col min="4379" max="4380" width="0" style="1" hidden="1" customWidth="1"/>
    <col min="4381" max="4381" width="12.77734375" style="1" customWidth="1"/>
    <col min="4382" max="4382" width="17.88671875" style="1" customWidth="1"/>
    <col min="4383" max="4383" width="11.77734375" style="1" customWidth="1"/>
    <col min="4384" max="4384" width="12" style="1" customWidth="1"/>
    <col min="4385" max="4608" width="27.5546875" style="1"/>
    <col min="4609" max="4609" width="19.44140625" style="1" customWidth="1"/>
    <col min="4610" max="4611" width="12.77734375" style="1" customWidth="1"/>
    <col min="4612" max="4612" width="13" style="1" customWidth="1"/>
    <col min="4613" max="4614" width="12.77734375" style="1" customWidth="1"/>
    <col min="4615" max="4617" width="0" style="1" hidden="1" customWidth="1"/>
    <col min="4618" max="4626" width="12.77734375" style="1" customWidth="1"/>
    <col min="4627" max="4627" width="0" style="1" hidden="1" customWidth="1"/>
    <col min="4628" max="4631" width="12.77734375" style="1" customWidth="1"/>
    <col min="4632" max="4632" width="1.77734375" style="1" customWidth="1"/>
    <col min="4633" max="4633" width="12.77734375" style="1" customWidth="1"/>
    <col min="4634" max="4634" width="1.77734375" style="1" customWidth="1"/>
    <col min="4635" max="4636" width="0" style="1" hidden="1" customWidth="1"/>
    <col min="4637" max="4637" width="12.77734375" style="1" customWidth="1"/>
    <col min="4638" max="4638" width="17.88671875" style="1" customWidth="1"/>
    <col min="4639" max="4639" width="11.77734375" style="1" customWidth="1"/>
    <col min="4640" max="4640" width="12" style="1" customWidth="1"/>
    <col min="4641" max="4864" width="27.5546875" style="1"/>
    <col min="4865" max="4865" width="19.44140625" style="1" customWidth="1"/>
    <col min="4866" max="4867" width="12.77734375" style="1" customWidth="1"/>
    <col min="4868" max="4868" width="13" style="1" customWidth="1"/>
    <col min="4869" max="4870" width="12.77734375" style="1" customWidth="1"/>
    <col min="4871" max="4873" width="0" style="1" hidden="1" customWidth="1"/>
    <col min="4874" max="4882" width="12.77734375" style="1" customWidth="1"/>
    <col min="4883" max="4883" width="0" style="1" hidden="1" customWidth="1"/>
    <col min="4884" max="4887" width="12.77734375" style="1" customWidth="1"/>
    <col min="4888" max="4888" width="1.77734375" style="1" customWidth="1"/>
    <col min="4889" max="4889" width="12.77734375" style="1" customWidth="1"/>
    <col min="4890" max="4890" width="1.77734375" style="1" customWidth="1"/>
    <col min="4891" max="4892" width="0" style="1" hidden="1" customWidth="1"/>
    <col min="4893" max="4893" width="12.77734375" style="1" customWidth="1"/>
    <col min="4894" max="4894" width="17.88671875" style="1" customWidth="1"/>
    <col min="4895" max="4895" width="11.77734375" style="1" customWidth="1"/>
    <col min="4896" max="4896" width="12" style="1" customWidth="1"/>
    <col min="4897" max="5120" width="27.5546875" style="1"/>
    <col min="5121" max="5121" width="19.44140625" style="1" customWidth="1"/>
    <col min="5122" max="5123" width="12.77734375" style="1" customWidth="1"/>
    <col min="5124" max="5124" width="13" style="1" customWidth="1"/>
    <col min="5125" max="5126" width="12.77734375" style="1" customWidth="1"/>
    <col min="5127" max="5129" width="0" style="1" hidden="1" customWidth="1"/>
    <col min="5130" max="5138" width="12.77734375" style="1" customWidth="1"/>
    <col min="5139" max="5139" width="0" style="1" hidden="1" customWidth="1"/>
    <col min="5140" max="5143" width="12.77734375" style="1" customWidth="1"/>
    <col min="5144" max="5144" width="1.77734375" style="1" customWidth="1"/>
    <col min="5145" max="5145" width="12.77734375" style="1" customWidth="1"/>
    <col min="5146" max="5146" width="1.77734375" style="1" customWidth="1"/>
    <col min="5147" max="5148" width="0" style="1" hidden="1" customWidth="1"/>
    <col min="5149" max="5149" width="12.77734375" style="1" customWidth="1"/>
    <col min="5150" max="5150" width="17.88671875" style="1" customWidth="1"/>
    <col min="5151" max="5151" width="11.77734375" style="1" customWidth="1"/>
    <col min="5152" max="5152" width="12" style="1" customWidth="1"/>
    <col min="5153" max="5376" width="27.5546875" style="1"/>
    <col min="5377" max="5377" width="19.44140625" style="1" customWidth="1"/>
    <col min="5378" max="5379" width="12.77734375" style="1" customWidth="1"/>
    <col min="5380" max="5380" width="13" style="1" customWidth="1"/>
    <col min="5381" max="5382" width="12.77734375" style="1" customWidth="1"/>
    <col min="5383" max="5385" width="0" style="1" hidden="1" customWidth="1"/>
    <col min="5386" max="5394" width="12.77734375" style="1" customWidth="1"/>
    <col min="5395" max="5395" width="0" style="1" hidden="1" customWidth="1"/>
    <col min="5396" max="5399" width="12.77734375" style="1" customWidth="1"/>
    <col min="5400" max="5400" width="1.77734375" style="1" customWidth="1"/>
    <col min="5401" max="5401" width="12.77734375" style="1" customWidth="1"/>
    <col min="5402" max="5402" width="1.77734375" style="1" customWidth="1"/>
    <col min="5403" max="5404" width="0" style="1" hidden="1" customWidth="1"/>
    <col min="5405" max="5405" width="12.77734375" style="1" customWidth="1"/>
    <col min="5406" max="5406" width="17.88671875" style="1" customWidth="1"/>
    <col min="5407" max="5407" width="11.77734375" style="1" customWidth="1"/>
    <col min="5408" max="5408" width="12" style="1" customWidth="1"/>
    <col min="5409" max="5632" width="27.5546875" style="1"/>
    <col min="5633" max="5633" width="19.44140625" style="1" customWidth="1"/>
    <col min="5634" max="5635" width="12.77734375" style="1" customWidth="1"/>
    <col min="5636" max="5636" width="13" style="1" customWidth="1"/>
    <col min="5637" max="5638" width="12.77734375" style="1" customWidth="1"/>
    <col min="5639" max="5641" width="0" style="1" hidden="1" customWidth="1"/>
    <col min="5642" max="5650" width="12.77734375" style="1" customWidth="1"/>
    <col min="5651" max="5651" width="0" style="1" hidden="1" customWidth="1"/>
    <col min="5652" max="5655" width="12.77734375" style="1" customWidth="1"/>
    <col min="5656" max="5656" width="1.77734375" style="1" customWidth="1"/>
    <col min="5657" max="5657" width="12.77734375" style="1" customWidth="1"/>
    <col min="5658" max="5658" width="1.77734375" style="1" customWidth="1"/>
    <col min="5659" max="5660" width="0" style="1" hidden="1" customWidth="1"/>
    <col min="5661" max="5661" width="12.77734375" style="1" customWidth="1"/>
    <col min="5662" max="5662" width="17.88671875" style="1" customWidth="1"/>
    <col min="5663" max="5663" width="11.77734375" style="1" customWidth="1"/>
    <col min="5664" max="5664" width="12" style="1" customWidth="1"/>
    <col min="5665" max="5888" width="27.5546875" style="1"/>
    <col min="5889" max="5889" width="19.44140625" style="1" customWidth="1"/>
    <col min="5890" max="5891" width="12.77734375" style="1" customWidth="1"/>
    <col min="5892" max="5892" width="13" style="1" customWidth="1"/>
    <col min="5893" max="5894" width="12.77734375" style="1" customWidth="1"/>
    <col min="5895" max="5897" width="0" style="1" hidden="1" customWidth="1"/>
    <col min="5898" max="5906" width="12.77734375" style="1" customWidth="1"/>
    <col min="5907" max="5907" width="0" style="1" hidden="1" customWidth="1"/>
    <col min="5908" max="5911" width="12.77734375" style="1" customWidth="1"/>
    <col min="5912" max="5912" width="1.77734375" style="1" customWidth="1"/>
    <col min="5913" max="5913" width="12.77734375" style="1" customWidth="1"/>
    <col min="5914" max="5914" width="1.77734375" style="1" customWidth="1"/>
    <col min="5915" max="5916" width="0" style="1" hidden="1" customWidth="1"/>
    <col min="5917" max="5917" width="12.77734375" style="1" customWidth="1"/>
    <col min="5918" max="5918" width="17.88671875" style="1" customWidth="1"/>
    <col min="5919" max="5919" width="11.77734375" style="1" customWidth="1"/>
    <col min="5920" max="5920" width="12" style="1" customWidth="1"/>
    <col min="5921" max="6144" width="27.5546875" style="1"/>
    <col min="6145" max="6145" width="19.44140625" style="1" customWidth="1"/>
    <col min="6146" max="6147" width="12.77734375" style="1" customWidth="1"/>
    <col min="6148" max="6148" width="13" style="1" customWidth="1"/>
    <col min="6149" max="6150" width="12.77734375" style="1" customWidth="1"/>
    <col min="6151" max="6153" width="0" style="1" hidden="1" customWidth="1"/>
    <col min="6154" max="6162" width="12.77734375" style="1" customWidth="1"/>
    <col min="6163" max="6163" width="0" style="1" hidden="1" customWidth="1"/>
    <col min="6164" max="6167" width="12.77734375" style="1" customWidth="1"/>
    <col min="6168" max="6168" width="1.77734375" style="1" customWidth="1"/>
    <col min="6169" max="6169" width="12.77734375" style="1" customWidth="1"/>
    <col min="6170" max="6170" width="1.77734375" style="1" customWidth="1"/>
    <col min="6171" max="6172" width="0" style="1" hidden="1" customWidth="1"/>
    <col min="6173" max="6173" width="12.77734375" style="1" customWidth="1"/>
    <col min="6174" max="6174" width="17.88671875" style="1" customWidth="1"/>
    <col min="6175" max="6175" width="11.77734375" style="1" customWidth="1"/>
    <col min="6176" max="6176" width="12" style="1" customWidth="1"/>
    <col min="6177" max="6400" width="27.5546875" style="1"/>
    <col min="6401" max="6401" width="19.44140625" style="1" customWidth="1"/>
    <col min="6402" max="6403" width="12.77734375" style="1" customWidth="1"/>
    <col min="6404" max="6404" width="13" style="1" customWidth="1"/>
    <col min="6405" max="6406" width="12.77734375" style="1" customWidth="1"/>
    <col min="6407" max="6409" width="0" style="1" hidden="1" customWidth="1"/>
    <col min="6410" max="6418" width="12.77734375" style="1" customWidth="1"/>
    <col min="6419" max="6419" width="0" style="1" hidden="1" customWidth="1"/>
    <col min="6420" max="6423" width="12.77734375" style="1" customWidth="1"/>
    <col min="6424" max="6424" width="1.77734375" style="1" customWidth="1"/>
    <col min="6425" max="6425" width="12.77734375" style="1" customWidth="1"/>
    <col min="6426" max="6426" width="1.77734375" style="1" customWidth="1"/>
    <col min="6427" max="6428" width="0" style="1" hidden="1" customWidth="1"/>
    <col min="6429" max="6429" width="12.77734375" style="1" customWidth="1"/>
    <col min="6430" max="6430" width="17.88671875" style="1" customWidth="1"/>
    <col min="6431" max="6431" width="11.77734375" style="1" customWidth="1"/>
    <col min="6432" max="6432" width="12" style="1" customWidth="1"/>
    <col min="6433" max="6656" width="27.5546875" style="1"/>
    <col min="6657" max="6657" width="19.44140625" style="1" customWidth="1"/>
    <col min="6658" max="6659" width="12.77734375" style="1" customWidth="1"/>
    <col min="6660" max="6660" width="13" style="1" customWidth="1"/>
    <col min="6661" max="6662" width="12.77734375" style="1" customWidth="1"/>
    <col min="6663" max="6665" width="0" style="1" hidden="1" customWidth="1"/>
    <col min="6666" max="6674" width="12.77734375" style="1" customWidth="1"/>
    <col min="6675" max="6675" width="0" style="1" hidden="1" customWidth="1"/>
    <col min="6676" max="6679" width="12.77734375" style="1" customWidth="1"/>
    <col min="6680" max="6680" width="1.77734375" style="1" customWidth="1"/>
    <col min="6681" max="6681" width="12.77734375" style="1" customWidth="1"/>
    <col min="6682" max="6682" width="1.77734375" style="1" customWidth="1"/>
    <col min="6683" max="6684" width="0" style="1" hidden="1" customWidth="1"/>
    <col min="6685" max="6685" width="12.77734375" style="1" customWidth="1"/>
    <col min="6686" max="6686" width="17.88671875" style="1" customWidth="1"/>
    <col min="6687" max="6687" width="11.77734375" style="1" customWidth="1"/>
    <col min="6688" max="6688" width="12" style="1" customWidth="1"/>
    <col min="6689" max="6912" width="27.5546875" style="1"/>
    <col min="6913" max="6913" width="19.44140625" style="1" customWidth="1"/>
    <col min="6914" max="6915" width="12.77734375" style="1" customWidth="1"/>
    <col min="6916" max="6916" width="13" style="1" customWidth="1"/>
    <col min="6917" max="6918" width="12.77734375" style="1" customWidth="1"/>
    <col min="6919" max="6921" width="0" style="1" hidden="1" customWidth="1"/>
    <col min="6922" max="6930" width="12.77734375" style="1" customWidth="1"/>
    <col min="6931" max="6931" width="0" style="1" hidden="1" customWidth="1"/>
    <col min="6932" max="6935" width="12.77734375" style="1" customWidth="1"/>
    <col min="6936" max="6936" width="1.77734375" style="1" customWidth="1"/>
    <col min="6937" max="6937" width="12.77734375" style="1" customWidth="1"/>
    <col min="6938" max="6938" width="1.77734375" style="1" customWidth="1"/>
    <col min="6939" max="6940" width="0" style="1" hidden="1" customWidth="1"/>
    <col min="6941" max="6941" width="12.77734375" style="1" customWidth="1"/>
    <col min="6942" max="6942" width="17.88671875" style="1" customWidth="1"/>
    <col min="6943" max="6943" width="11.77734375" style="1" customWidth="1"/>
    <col min="6944" max="6944" width="12" style="1" customWidth="1"/>
    <col min="6945" max="7168" width="27.5546875" style="1"/>
    <col min="7169" max="7169" width="19.44140625" style="1" customWidth="1"/>
    <col min="7170" max="7171" width="12.77734375" style="1" customWidth="1"/>
    <col min="7172" max="7172" width="13" style="1" customWidth="1"/>
    <col min="7173" max="7174" width="12.77734375" style="1" customWidth="1"/>
    <col min="7175" max="7177" width="0" style="1" hidden="1" customWidth="1"/>
    <col min="7178" max="7186" width="12.77734375" style="1" customWidth="1"/>
    <col min="7187" max="7187" width="0" style="1" hidden="1" customWidth="1"/>
    <col min="7188" max="7191" width="12.77734375" style="1" customWidth="1"/>
    <col min="7192" max="7192" width="1.77734375" style="1" customWidth="1"/>
    <col min="7193" max="7193" width="12.77734375" style="1" customWidth="1"/>
    <col min="7194" max="7194" width="1.77734375" style="1" customWidth="1"/>
    <col min="7195" max="7196" width="0" style="1" hidden="1" customWidth="1"/>
    <col min="7197" max="7197" width="12.77734375" style="1" customWidth="1"/>
    <col min="7198" max="7198" width="17.88671875" style="1" customWidth="1"/>
    <col min="7199" max="7199" width="11.77734375" style="1" customWidth="1"/>
    <col min="7200" max="7200" width="12" style="1" customWidth="1"/>
    <col min="7201" max="7424" width="27.5546875" style="1"/>
    <col min="7425" max="7425" width="19.44140625" style="1" customWidth="1"/>
    <col min="7426" max="7427" width="12.77734375" style="1" customWidth="1"/>
    <col min="7428" max="7428" width="13" style="1" customWidth="1"/>
    <col min="7429" max="7430" width="12.77734375" style="1" customWidth="1"/>
    <col min="7431" max="7433" width="0" style="1" hidden="1" customWidth="1"/>
    <col min="7434" max="7442" width="12.77734375" style="1" customWidth="1"/>
    <col min="7443" max="7443" width="0" style="1" hidden="1" customWidth="1"/>
    <col min="7444" max="7447" width="12.77734375" style="1" customWidth="1"/>
    <col min="7448" max="7448" width="1.77734375" style="1" customWidth="1"/>
    <col min="7449" max="7449" width="12.77734375" style="1" customWidth="1"/>
    <col min="7450" max="7450" width="1.77734375" style="1" customWidth="1"/>
    <col min="7451" max="7452" width="0" style="1" hidden="1" customWidth="1"/>
    <col min="7453" max="7453" width="12.77734375" style="1" customWidth="1"/>
    <col min="7454" max="7454" width="17.88671875" style="1" customWidth="1"/>
    <col min="7455" max="7455" width="11.77734375" style="1" customWidth="1"/>
    <col min="7456" max="7456" width="12" style="1" customWidth="1"/>
    <col min="7457" max="7680" width="27.5546875" style="1"/>
    <col min="7681" max="7681" width="19.44140625" style="1" customWidth="1"/>
    <col min="7682" max="7683" width="12.77734375" style="1" customWidth="1"/>
    <col min="7684" max="7684" width="13" style="1" customWidth="1"/>
    <col min="7685" max="7686" width="12.77734375" style="1" customWidth="1"/>
    <col min="7687" max="7689" width="0" style="1" hidden="1" customWidth="1"/>
    <col min="7690" max="7698" width="12.77734375" style="1" customWidth="1"/>
    <col min="7699" max="7699" width="0" style="1" hidden="1" customWidth="1"/>
    <col min="7700" max="7703" width="12.77734375" style="1" customWidth="1"/>
    <col min="7704" max="7704" width="1.77734375" style="1" customWidth="1"/>
    <col min="7705" max="7705" width="12.77734375" style="1" customWidth="1"/>
    <col min="7706" max="7706" width="1.77734375" style="1" customWidth="1"/>
    <col min="7707" max="7708" width="0" style="1" hidden="1" customWidth="1"/>
    <col min="7709" max="7709" width="12.77734375" style="1" customWidth="1"/>
    <col min="7710" max="7710" width="17.88671875" style="1" customWidth="1"/>
    <col min="7711" max="7711" width="11.77734375" style="1" customWidth="1"/>
    <col min="7712" max="7712" width="12" style="1" customWidth="1"/>
    <col min="7713" max="7936" width="27.5546875" style="1"/>
    <col min="7937" max="7937" width="19.44140625" style="1" customWidth="1"/>
    <col min="7938" max="7939" width="12.77734375" style="1" customWidth="1"/>
    <col min="7940" max="7940" width="13" style="1" customWidth="1"/>
    <col min="7941" max="7942" width="12.77734375" style="1" customWidth="1"/>
    <col min="7943" max="7945" width="0" style="1" hidden="1" customWidth="1"/>
    <col min="7946" max="7954" width="12.77734375" style="1" customWidth="1"/>
    <col min="7955" max="7955" width="0" style="1" hidden="1" customWidth="1"/>
    <col min="7956" max="7959" width="12.77734375" style="1" customWidth="1"/>
    <col min="7960" max="7960" width="1.77734375" style="1" customWidth="1"/>
    <col min="7961" max="7961" width="12.77734375" style="1" customWidth="1"/>
    <col min="7962" max="7962" width="1.77734375" style="1" customWidth="1"/>
    <col min="7963" max="7964" width="0" style="1" hidden="1" customWidth="1"/>
    <col min="7965" max="7965" width="12.77734375" style="1" customWidth="1"/>
    <col min="7966" max="7966" width="17.88671875" style="1" customWidth="1"/>
    <col min="7967" max="7967" width="11.77734375" style="1" customWidth="1"/>
    <col min="7968" max="7968" width="12" style="1" customWidth="1"/>
    <col min="7969" max="8192" width="27.5546875" style="1"/>
    <col min="8193" max="8193" width="19.44140625" style="1" customWidth="1"/>
    <col min="8194" max="8195" width="12.77734375" style="1" customWidth="1"/>
    <col min="8196" max="8196" width="13" style="1" customWidth="1"/>
    <col min="8197" max="8198" width="12.77734375" style="1" customWidth="1"/>
    <col min="8199" max="8201" width="0" style="1" hidden="1" customWidth="1"/>
    <col min="8202" max="8210" width="12.77734375" style="1" customWidth="1"/>
    <col min="8211" max="8211" width="0" style="1" hidden="1" customWidth="1"/>
    <col min="8212" max="8215" width="12.77734375" style="1" customWidth="1"/>
    <col min="8216" max="8216" width="1.77734375" style="1" customWidth="1"/>
    <col min="8217" max="8217" width="12.77734375" style="1" customWidth="1"/>
    <col min="8218" max="8218" width="1.77734375" style="1" customWidth="1"/>
    <col min="8219" max="8220" width="0" style="1" hidden="1" customWidth="1"/>
    <col min="8221" max="8221" width="12.77734375" style="1" customWidth="1"/>
    <col min="8222" max="8222" width="17.88671875" style="1" customWidth="1"/>
    <col min="8223" max="8223" width="11.77734375" style="1" customWidth="1"/>
    <col min="8224" max="8224" width="12" style="1" customWidth="1"/>
    <col min="8225" max="8448" width="27.5546875" style="1"/>
    <col min="8449" max="8449" width="19.44140625" style="1" customWidth="1"/>
    <col min="8450" max="8451" width="12.77734375" style="1" customWidth="1"/>
    <col min="8452" max="8452" width="13" style="1" customWidth="1"/>
    <col min="8453" max="8454" width="12.77734375" style="1" customWidth="1"/>
    <col min="8455" max="8457" width="0" style="1" hidden="1" customWidth="1"/>
    <col min="8458" max="8466" width="12.77734375" style="1" customWidth="1"/>
    <col min="8467" max="8467" width="0" style="1" hidden="1" customWidth="1"/>
    <col min="8468" max="8471" width="12.77734375" style="1" customWidth="1"/>
    <col min="8472" max="8472" width="1.77734375" style="1" customWidth="1"/>
    <col min="8473" max="8473" width="12.77734375" style="1" customWidth="1"/>
    <col min="8474" max="8474" width="1.77734375" style="1" customWidth="1"/>
    <col min="8475" max="8476" width="0" style="1" hidden="1" customWidth="1"/>
    <col min="8477" max="8477" width="12.77734375" style="1" customWidth="1"/>
    <col min="8478" max="8478" width="17.88671875" style="1" customWidth="1"/>
    <col min="8479" max="8479" width="11.77734375" style="1" customWidth="1"/>
    <col min="8480" max="8480" width="12" style="1" customWidth="1"/>
    <col min="8481" max="8704" width="27.5546875" style="1"/>
    <col min="8705" max="8705" width="19.44140625" style="1" customWidth="1"/>
    <col min="8706" max="8707" width="12.77734375" style="1" customWidth="1"/>
    <col min="8708" max="8708" width="13" style="1" customWidth="1"/>
    <col min="8709" max="8710" width="12.77734375" style="1" customWidth="1"/>
    <col min="8711" max="8713" width="0" style="1" hidden="1" customWidth="1"/>
    <col min="8714" max="8722" width="12.77734375" style="1" customWidth="1"/>
    <col min="8723" max="8723" width="0" style="1" hidden="1" customWidth="1"/>
    <col min="8724" max="8727" width="12.77734375" style="1" customWidth="1"/>
    <col min="8728" max="8728" width="1.77734375" style="1" customWidth="1"/>
    <col min="8729" max="8729" width="12.77734375" style="1" customWidth="1"/>
    <col min="8730" max="8730" width="1.77734375" style="1" customWidth="1"/>
    <col min="8731" max="8732" width="0" style="1" hidden="1" customWidth="1"/>
    <col min="8733" max="8733" width="12.77734375" style="1" customWidth="1"/>
    <col min="8734" max="8734" width="17.88671875" style="1" customWidth="1"/>
    <col min="8735" max="8735" width="11.77734375" style="1" customWidth="1"/>
    <col min="8736" max="8736" width="12" style="1" customWidth="1"/>
    <col min="8737" max="8960" width="27.5546875" style="1"/>
    <col min="8961" max="8961" width="19.44140625" style="1" customWidth="1"/>
    <col min="8962" max="8963" width="12.77734375" style="1" customWidth="1"/>
    <col min="8964" max="8964" width="13" style="1" customWidth="1"/>
    <col min="8965" max="8966" width="12.77734375" style="1" customWidth="1"/>
    <col min="8967" max="8969" width="0" style="1" hidden="1" customWidth="1"/>
    <col min="8970" max="8978" width="12.77734375" style="1" customWidth="1"/>
    <col min="8979" max="8979" width="0" style="1" hidden="1" customWidth="1"/>
    <col min="8980" max="8983" width="12.77734375" style="1" customWidth="1"/>
    <col min="8984" max="8984" width="1.77734375" style="1" customWidth="1"/>
    <col min="8985" max="8985" width="12.77734375" style="1" customWidth="1"/>
    <col min="8986" max="8986" width="1.77734375" style="1" customWidth="1"/>
    <col min="8987" max="8988" width="0" style="1" hidden="1" customWidth="1"/>
    <col min="8989" max="8989" width="12.77734375" style="1" customWidth="1"/>
    <col min="8990" max="8990" width="17.88671875" style="1" customWidth="1"/>
    <col min="8991" max="8991" width="11.77734375" style="1" customWidth="1"/>
    <col min="8992" max="8992" width="12" style="1" customWidth="1"/>
    <col min="8993" max="9216" width="27.5546875" style="1"/>
    <col min="9217" max="9217" width="19.44140625" style="1" customWidth="1"/>
    <col min="9218" max="9219" width="12.77734375" style="1" customWidth="1"/>
    <col min="9220" max="9220" width="13" style="1" customWidth="1"/>
    <col min="9221" max="9222" width="12.77734375" style="1" customWidth="1"/>
    <col min="9223" max="9225" width="0" style="1" hidden="1" customWidth="1"/>
    <col min="9226" max="9234" width="12.77734375" style="1" customWidth="1"/>
    <col min="9235" max="9235" width="0" style="1" hidden="1" customWidth="1"/>
    <col min="9236" max="9239" width="12.77734375" style="1" customWidth="1"/>
    <col min="9240" max="9240" width="1.77734375" style="1" customWidth="1"/>
    <col min="9241" max="9241" width="12.77734375" style="1" customWidth="1"/>
    <col min="9242" max="9242" width="1.77734375" style="1" customWidth="1"/>
    <col min="9243" max="9244" width="0" style="1" hidden="1" customWidth="1"/>
    <col min="9245" max="9245" width="12.77734375" style="1" customWidth="1"/>
    <col min="9246" max="9246" width="17.88671875" style="1" customWidth="1"/>
    <col min="9247" max="9247" width="11.77734375" style="1" customWidth="1"/>
    <col min="9248" max="9248" width="12" style="1" customWidth="1"/>
    <col min="9249" max="9472" width="27.5546875" style="1"/>
    <col min="9473" max="9473" width="19.44140625" style="1" customWidth="1"/>
    <col min="9474" max="9475" width="12.77734375" style="1" customWidth="1"/>
    <col min="9476" max="9476" width="13" style="1" customWidth="1"/>
    <col min="9477" max="9478" width="12.77734375" style="1" customWidth="1"/>
    <col min="9479" max="9481" width="0" style="1" hidden="1" customWidth="1"/>
    <col min="9482" max="9490" width="12.77734375" style="1" customWidth="1"/>
    <col min="9491" max="9491" width="0" style="1" hidden="1" customWidth="1"/>
    <col min="9492" max="9495" width="12.77734375" style="1" customWidth="1"/>
    <col min="9496" max="9496" width="1.77734375" style="1" customWidth="1"/>
    <col min="9497" max="9497" width="12.77734375" style="1" customWidth="1"/>
    <col min="9498" max="9498" width="1.77734375" style="1" customWidth="1"/>
    <col min="9499" max="9500" width="0" style="1" hidden="1" customWidth="1"/>
    <col min="9501" max="9501" width="12.77734375" style="1" customWidth="1"/>
    <col min="9502" max="9502" width="17.88671875" style="1" customWidth="1"/>
    <col min="9503" max="9503" width="11.77734375" style="1" customWidth="1"/>
    <col min="9504" max="9504" width="12" style="1" customWidth="1"/>
    <col min="9505" max="9728" width="27.5546875" style="1"/>
    <col min="9729" max="9729" width="19.44140625" style="1" customWidth="1"/>
    <col min="9730" max="9731" width="12.77734375" style="1" customWidth="1"/>
    <col min="9732" max="9732" width="13" style="1" customWidth="1"/>
    <col min="9733" max="9734" width="12.77734375" style="1" customWidth="1"/>
    <col min="9735" max="9737" width="0" style="1" hidden="1" customWidth="1"/>
    <col min="9738" max="9746" width="12.77734375" style="1" customWidth="1"/>
    <col min="9747" max="9747" width="0" style="1" hidden="1" customWidth="1"/>
    <col min="9748" max="9751" width="12.77734375" style="1" customWidth="1"/>
    <col min="9752" max="9752" width="1.77734375" style="1" customWidth="1"/>
    <col min="9753" max="9753" width="12.77734375" style="1" customWidth="1"/>
    <col min="9754" max="9754" width="1.77734375" style="1" customWidth="1"/>
    <col min="9755" max="9756" width="0" style="1" hidden="1" customWidth="1"/>
    <col min="9757" max="9757" width="12.77734375" style="1" customWidth="1"/>
    <col min="9758" max="9758" width="17.88671875" style="1" customWidth="1"/>
    <col min="9759" max="9759" width="11.77734375" style="1" customWidth="1"/>
    <col min="9760" max="9760" width="12" style="1" customWidth="1"/>
    <col min="9761" max="9984" width="27.5546875" style="1"/>
    <col min="9985" max="9985" width="19.44140625" style="1" customWidth="1"/>
    <col min="9986" max="9987" width="12.77734375" style="1" customWidth="1"/>
    <col min="9988" max="9988" width="13" style="1" customWidth="1"/>
    <col min="9989" max="9990" width="12.77734375" style="1" customWidth="1"/>
    <col min="9991" max="9993" width="0" style="1" hidden="1" customWidth="1"/>
    <col min="9994" max="10002" width="12.77734375" style="1" customWidth="1"/>
    <col min="10003" max="10003" width="0" style="1" hidden="1" customWidth="1"/>
    <col min="10004" max="10007" width="12.77734375" style="1" customWidth="1"/>
    <col min="10008" max="10008" width="1.77734375" style="1" customWidth="1"/>
    <col min="10009" max="10009" width="12.77734375" style="1" customWidth="1"/>
    <col min="10010" max="10010" width="1.77734375" style="1" customWidth="1"/>
    <col min="10011" max="10012" width="0" style="1" hidden="1" customWidth="1"/>
    <col min="10013" max="10013" width="12.77734375" style="1" customWidth="1"/>
    <col min="10014" max="10014" width="17.88671875" style="1" customWidth="1"/>
    <col min="10015" max="10015" width="11.77734375" style="1" customWidth="1"/>
    <col min="10016" max="10016" width="12" style="1" customWidth="1"/>
    <col min="10017" max="10240" width="27.5546875" style="1"/>
    <col min="10241" max="10241" width="19.44140625" style="1" customWidth="1"/>
    <col min="10242" max="10243" width="12.77734375" style="1" customWidth="1"/>
    <col min="10244" max="10244" width="13" style="1" customWidth="1"/>
    <col min="10245" max="10246" width="12.77734375" style="1" customWidth="1"/>
    <col min="10247" max="10249" width="0" style="1" hidden="1" customWidth="1"/>
    <col min="10250" max="10258" width="12.77734375" style="1" customWidth="1"/>
    <col min="10259" max="10259" width="0" style="1" hidden="1" customWidth="1"/>
    <col min="10260" max="10263" width="12.77734375" style="1" customWidth="1"/>
    <col min="10264" max="10264" width="1.77734375" style="1" customWidth="1"/>
    <col min="10265" max="10265" width="12.77734375" style="1" customWidth="1"/>
    <col min="10266" max="10266" width="1.77734375" style="1" customWidth="1"/>
    <col min="10267" max="10268" width="0" style="1" hidden="1" customWidth="1"/>
    <col min="10269" max="10269" width="12.77734375" style="1" customWidth="1"/>
    <col min="10270" max="10270" width="17.88671875" style="1" customWidth="1"/>
    <col min="10271" max="10271" width="11.77734375" style="1" customWidth="1"/>
    <col min="10272" max="10272" width="12" style="1" customWidth="1"/>
    <col min="10273" max="10496" width="27.5546875" style="1"/>
    <col min="10497" max="10497" width="19.44140625" style="1" customWidth="1"/>
    <col min="10498" max="10499" width="12.77734375" style="1" customWidth="1"/>
    <col min="10500" max="10500" width="13" style="1" customWidth="1"/>
    <col min="10501" max="10502" width="12.77734375" style="1" customWidth="1"/>
    <col min="10503" max="10505" width="0" style="1" hidden="1" customWidth="1"/>
    <col min="10506" max="10514" width="12.77734375" style="1" customWidth="1"/>
    <col min="10515" max="10515" width="0" style="1" hidden="1" customWidth="1"/>
    <col min="10516" max="10519" width="12.77734375" style="1" customWidth="1"/>
    <col min="10520" max="10520" width="1.77734375" style="1" customWidth="1"/>
    <col min="10521" max="10521" width="12.77734375" style="1" customWidth="1"/>
    <col min="10522" max="10522" width="1.77734375" style="1" customWidth="1"/>
    <col min="10523" max="10524" width="0" style="1" hidden="1" customWidth="1"/>
    <col min="10525" max="10525" width="12.77734375" style="1" customWidth="1"/>
    <col min="10526" max="10526" width="17.88671875" style="1" customWidth="1"/>
    <col min="10527" max="10527" width="11.77734375" style="1" customWidth="1"/>
    <col min="10528" max="10528" width="12" style="1" customWidth="1"/>
    <col min="10529" max="10752" width="27.5546875" style="1"/>
    <col min="10753" max="10753" width="19.44140625" style="1" customWidth="1"/>
    <col min="10754" max="10755" width="12.77734375" style="1" customWidth="1"/>
    <col min="10756" max="10756" width="13" style="1" customWidth="1"/>
    <col min="10757" max="10758" width="12.77734375" style="1" customWidth="1"/>
    <col min="10759" max="10761" width="0" style="1" hidden="1" customWidth="1"/>
    <col min="10762" max="10770" width="12.77734375" style="1" customWidth="1"/>
    <col min="10771" max="10771" width="0" style="1" hidden="1" customWidth="1"/>
    <col min="10772" max="10775" width="12.77734375" style="1" customWidth="1"/>
    <col min="10776" max="10776" width="1.77734375" style="1" customWidth="1"/>
    <col min="10777" max="10777" width="12.77734375" style="1" customWidth="1"/>
    <col min="10778" max="10778" width="1.77734375" style="1" customWidth="1"/>
    <col min="10779" max="10780" width="0" style="1" hidden="1" customWidth="1"/>
    <col min="10781" max="10781" width="12.77734375" style="1" customWidth="1"/>
    <col min="10782" max="10782" width="17.88671875" style="1" customWidth="1"/>
    <col min="10783" max="10783" width="11.77734375" style="1" customWidth="1"/>
    <col min="10784" max="10784" width="12" style="1" customWidth="1"/>
    <col min="10785" max="11008" width="27.5546875" style="1"/>
    <col min="11009" max="11009" width="19.44140625" style="1" customWidth="1"/>
    <col min="11010" max="11011" width="12.77734375" style="1" customWidth="1"/>
    <col min="11012" max="11012" width="13" style="1" customWidth="1"/>
    <col min="11013" max="11014" width="12.77734375" style="1" customWidth="1"/>
    <col min="11015" max="11017" width="0" style="1" hidden="1" customWidth="1"/>
    <col min="11018" max="11026" width="12.77734375" style="1" customWidth="1"/>
    <col min="11027" max="11027" width="0" style="1" hidden="1" customWidth="1"/>
    <col min="11028" max="11031" width="12.77734375" style="1" customWidth="1"/>
    <col min="11032" max="11032" width="1.77734375" style="1" customWidth="1"/>
    <col min="11033" max="11033" width="12.77734375" style="1" customWidth="1"/>
    <col min="11034" max="11034" width="1.77734375" style="1" customWidth="1"/>
    <col min="11035" max="11036" width="0" style="1" hidden="1" customWidth="1"/>
    <col min="11037" max="11037" width="12.77734375" style="1" customWidth="1"/>
    <col min="11038" max="11038" width="17.88671875" style="1" customWidth="1"/>
    <col min="11039" max="11039" width="11.77734375" style="1" customWidth="1"/>
    <col min="11040" max="11040" width="12" style="1" customWidth="1"/>
    <col min="11041" max="11264" width="27.5546875" style="1"/>
    <col min="11265" max="11265" width="19.44140625" style="1" customWidth="1"/>
    <col min="11266" max="11267" width="12.77734375" style="1" customWidth="1"/>
    <col min="11268" max="11268" width="13" style="1" customWidth="1"/>
    <col min="11269" max="11270" width="12.77734375" style="1" customWidth="1"/>
    <col min="11271" max="11273" width="0" style="1" hidden="1" customWidth="1"/>
    <col min="11274" max="11282" width="12.77734375" style="1" customWidth="1"/>
    <col min="11283" max="11283" width="0" style="1" hidden="1" customWidth="1"/>
    <col min="11284" max="11287" width="12.77734375" style="1" customWidth="1"/>
    <col min="11288" max="11288" width="1.77734375" style="1" customWidth="1"/>
    <col min="11289" max="11289" width="12.77734375" style="1" customWidth="1"/>
    <col min="11290" max="11290" width="1.77734375" style="1" customWidth="1"/>
    <col min="11291" max="11292" width="0" style="1" hidden="1" customWidth="1"/>
    <col min="11293" max="11293" width="12.77734375" style="1" customWidth="1"/>
    <col min="11294" max="11294" width="17.88671875" style="1" customWidth="1"/>
    <col min="11295" max="11295" width="11.77734375" style="1" customWidth="1"/>
    <col min="11296" max="11296" width="12" style="1" customWidth="1"/>
    <col min="11297" max="11520" width="27.5546875" style="1"/>
    <col min="11521" max="11521" width="19.44140625" style="1" customWidth="1"/>
    <col min="11522" max="11523" width="12.77734375" style="1" customWidth="1"/>
    <col min="11524" max="11524" width="13" style="1" customWidth="1"/>
    <col min="11525" max="11526" width="12.77734375" style="1" customWidth="1"/>
    <col min="11527" max="11529" width="0" style="1" hidden="1" customWidth="1"/>
    <col min="11530" max="11538" width="12.77734375" style="1" customWidth="1"/>
    <col min="11539" max="11539" width="0" style="1" hidden="1" customWidth="1"/>
    <col min="11540" max="11543" width="12.77734375" style="1" customWidth="1"/>
    <col min="11544" max="11544" width="1.77734375" style="1" customWidth="1"/>
    <col min="11545" max="11545" width="12.77734375" style="1" customWidth="1"/>
    <col min="11546" max="11546" width="1.77734375" style="1" customWidth="1"/>
    <col min="11547" max="11548" width="0" style="1" hidden="1" customWidth="1"/>
    <col min="11549" max="11549" width="12.77734375" style="1" customWidth="1"/>
    <col min="11550" max="11550" width="17.88671875" style="1" customWidth="1"/>
    <col min="11551" max="11551" width="11.77734375" style="1" customWidth="1"/>
    <col min="11552" max="11552" width="12" style="1" customWidth="1"/>
    <col min="11553" max="11776" width="27.5546875" style="1"/>
    <col min="11777" max="11777" width="19.44140625" style="1" customWidth="1"/>
    <col min="11778" max="11779" width="12.77734375" style="1" customWidth="1"/>
    <col min="11780" max="11780" width="13" style="1" customWidth="1"/>
    <col min="11781" max="11782" width="12.77734375" style="1" customWidth="1"/>
    <col min="11783" max="11785" width="0" style="1" hidden="1" customWidth="1"/>
    <col min="11786" max="11794" width="12.77734375" style="1" customWidth="1"/>
    <col min="11795" max="11795" width="0" style="1" hidden="1" customWidth="1"/>
    <col min="11796" max="11799" width="12.77734375" style="1" customWidth="1"/>
    <col min="11800" max="11800" width="1.77734375" style="1" customWidth="1"/>
    <col min="11801" max="11801" width="12.77734375" style="1" customWidth="1"/>
    <col min="11802" max="11802" width="1.77734375" style="1" customWidth="1"/>
    <col min="11803" max="11804" width="0" style="1" hidden="1" customWidth="1"/>
    <col min="11805" max="11805" width="12.77734375" style="1" customWidth="1"/>
    <col min="11806" max="11806" width="17.88671875" style="1" customWidth="1"/>
    <col min="11807" max="11807" width="11.77734375" style="1" customWidth="1"/>
    <col min="11808" max="11808" width="12" style="1" customWidth="1"/>
    <col min="11809" max="12032" width="27.5546875" style="1"/>
    <col min="12033" max="12033" width="19.44140625" style="1" customWidth="1"/>
    <col min="12034" max="12035" width="12.77734375" style="1" customWidth="1"/>
    <col min="12036" max="12036" width="13" style="1" customWidth="1"/>
    <col min="12037" max="12038" width="12.77734375" style="1" customWidth="1"/>
    <col min="12039" max="12041" width="0" style="1" hidden="1" customWidth="1"/>
    <col min="12042" max="12050" width="12.77734375" style="1" customWidth="1"/>
    <col min="12051" max="12051" width="0" style="1" hidden="1" customWidth="1"/>
    <col min="12052" max="12055" width="12.77734375" style="1" customWidth="1"/>
    <col min="12056" max="12056" width="1.77734375" style="1" customWidth="1"/>
    <col min="12057" max="12057" width="12.77734375" style="1" customWidth="1"/>
    <col min="12058" max="12058" width="1.77734375" style="1" customWidth="1"/>
    <col min="12059" max="12060" width="0" style="1" hidden="1" customWidth="1"/>
    <col min="12061" max="12061" width="12.77734375" style="1" customWidth="1"/>
    <col min="12062" max="12062" width="17.88671875" style="1" customWidth="1"/>
    <col min="12063" max="12063" width="11.77734375" style="1" customWidth="1"/>
    <col min="12064" max="12064" width="12" style="1" customWidth="1"/>
    <col min="12065" max="12288" width="27.5546875" style="1"/>
    <col min="12289" max="12289" width="19.44140625" style="1" customWidth="1"/>
    <col min="12290" max="12291" width="12.77734375" style="1" customWidth="1"/>
    <col min="12292" max="12292" width="13" style="1" customWidth="1"/>
    <col min="12293" max="12294" width="12.77734375" style="1" customWidth="1"/>
    <col min="12295" max="12297" width="0" style="1" hidden="1" customWidth="1"/>
    <col min="12298" max="12306" width="12.77734375" style="1" customWidth="1"/>
    <col min="12307" max="12307" width="0" style="1" hidden="1" customWidth="1"/>
    <col min="12308" max="12311" width="12.77734375" style="1" customWidth="1"/>
    <col min="12312" max="12312" width="1.77734375" style="1" customWidth="1"/>
    <col min="12313" max="12313" width="12.77734375" style="1" customWidth="1"/>
    <col min="12314" max="12314" width="1.77734375" style="1" customWidth="1"/>
    <col min="12315" max="12316" width="0" style="1" hidden="1" customWidth="1"/>
    <col min="12317" max="12317" width="12.77734375" style="1" customWidth="1"/>
    <col min="12318" max="12318" width="17.88671875" style="1" customWidth="1"/>
    <col min="12319" max="12319" width="11.77734375" style="1" customWidth="1"/>
    <col min="12320" max="12320" width="12" style="1" customWidth="1"/>
    <col min="12321" max="12544" width="27.5546875" style="1"/>
    <col min="12545" max="12545" width="19.44140625" style="1" customWidth="1"/>
    <col min="12546" max="12547" width="12.77734375" style="1" customWidth="1"/>
    <col min="12548" max="12548" width="13" style="1" customWidth="1"/>
    <col min="12549" max="12550" width="12.77734375" style="1" customWidth="1"/>
    <col min="12551" max="12553" width="0" style="1" hidden="1" customWidth="1"/>
    <col min="12554" max="12562" width="12.77734375" style="1" customWidth="1"/>
    <col min="12563" max="12563" width="0" style="1" hidden="1" customWidth="1"/>
    <col min="12564" max="12567" width="12.77734375" style="1" customWidth="1"/>
    <col min="12568" max="12568" width="1.77734375" style="1" customWidth="1"/>
    <col min="12569" max="12569" width="12.77734375" style="1" customWidth="1"/>
    <col min="12570" max="12570" width="1.77734375" style="1" customWidth="1"/>
    <col min="12571" max="12572" width="0" style="1" hidden="1" customWidth="1"/>
    <col min="12573" max="12573" width="12.77734375" style="1" customWidth="1"/>
    <col min="12574" max="12574" width="17.88671875" style="1" customWidth="1"/>
    <col min="12575" max="12575" width="11.77734375" style="1" customWidth="1"/>
    <col min="12576" max="12576" width="12" style="1" customWidth="1"/>
    <col min="12577" max="12800" width="27.5546875" style="1"/>
    <col min="12801" max="12801" width="19.44140625" style="1" customWidth="1"/>
    <col min="12802" max="12803" width="12.77734375" style="1" customWidth="1"/>
    <col min="12804" max="12804" width="13" style="1" customWidth="1"/>
    <col min="12805" max="12806" width="12.77734375" style="1" customWidth="1"/>
    <col min="12807" max="12809" width="0" style="1" hidden="1" customWidth="1"/>
    <col min="12810" max="12818" width="12.77734375" style="1" customWidth="1"/>
    <col min="12819" max="12819" width="0" style="1" hidden="1" customWidth="1"/>
    <col min="12820" max="12823" width="12.77734375" style="1" customWidth="1"/>
    <col min="12824" max="12824" width="1.77734375" style="1" customWidth="1"/>
    <col min="12825" max="12825" width="12.77734375" style="1" customWidth="1"/>
    <col min="12826" max="12826" width="1.77734375" style="1" customWidth="1"/>
    <col min="12827" max="12828" width="0" style="1" hidden="1" customWidth="1"/>
    <col min="12829" max="12829" width="12.77734375" style="1" customWidth="1"/>
    <col min="12830" max="12830" width="17.88671875" style="1" customWidth="1"/>
    <col min="12831" max="12831" width="11.77734375" style="1" customWidth="1"/>
    <col min="12832" max="12832" width="12" style="1" customWidth="1"/>
    <col min="12833" max="13056" width="27.5546875" style="1"/>
    <col min="13057" max="13057" width="19.44140625" style="1" customWidth="1"/>
    <col min="13058" max="13059" width="12.77734375" style="1" customWidth="1"/>
    <col min="13060" max="13060" width="13" style="1" customWidth="1"/>
    <col min="13061" max="13062" width="12.77734375" style="1" customWidth="1"/>
    <col min="13063" max="13065" width="0" style="1" hidden="1" customWidth="1"/>
    <col min="13066" max="13074" width="12.77734375" style="1" customWidth="1"/>
    <col min="13075" max="13075" width="0" style="1" hidden="1" customWidth="1"/>
    <col min="13076" max="13079" width="12.77734375" style="1" customWidth="1"/>
    <col min="13080" max="13080" width="1.77734375" style="1" customWidth="1"/>
    <col min="13081" max="13081" width="12.77734375" style="1" customWidth="1"/>
    <col min="13082" max="13082" width="1.77734375" style="1" customWidth="1"/>
    <col min="13083" max="13084" width="0" style="1" hidden="1" customWidth="1"/>
    <col min="13085" max="13085" width="12.77734375" style="1" customWidth="1"/>
    <col min="13086" max="13086" width="17.88671875" style="1" customWidth="1"/>
    <col min="13087" max="13087" width="11.77734375" style="1" customWidth="1"/>
    <col min="13088" max="13088" width="12" style="1" customWidth="1"/>
    <col min="13089" max="13312" width="27.5546875" style="1"/>
    <col min="13313" max="13313" width="19.44140625" style="1" customWidth="1"/>
    <col min="13314" max="13315" width="12.77734375" style="1" customWidth="1"/>
    <col min="13316" max="13316" width="13" style="1" customWidth="1"/>
    <col min="13317" max="13318" width="12.77734375" style="1" customWidth="1"/>
    <col min="13319" max="13321" width="0" style="1" hidden="1" customWidth="1"/>
    <col min="13322" max="13330" width="12.77734375" style="1" customWidth="1"/>
    <col min="13331" max="13331" width="0" style="1" hidden="1" customWidth="1"/>
    <col min="13332" max="13335" width="12.77734375" style="1" customWidth="1"/>
    <col min="13336" max="13336" width="1.77734375" style="1" customWidth="1"/>
    <col min="13337" max="13337" width="12.77734375" style="1" customWidth="1"/>
    <col min="13338" max="13338" width="1.77734375" style="1" customWidth="1"/>
    <col min="13339" max="13340" width="0" style="1" hidden="1" customWidth="1"/>
    <col min="13341" max="13341" width="12.77734375" style="1" customWidth="1"/>
    <col min="13342" max="13342" width="17.88671875" style="1" customWidth="1"/>
    <col min="13343" max="13343" width="11.77734375" style="1" customWidth="1"/>
    <col min="13344" max="13344" width="12" style="1" customWidth="1"/>
    <col min="13345" max="13568" width="27.5546875" style="1"/>
    <col min="13569" max="13569" width="19.44140625" style="1" customWidth="1"/>
    <col min="13570" max="13571" width="12.77734375" style="1" customWidth="1"/>
    <col min="13572" max="13572" width="13" style="1" customWidth="1"/>
    <col min="13573" max="13574" width="12.77734375" style="1" customWidth="1"/>
    <col min="13575" max="13577" width="0" style="1" hidden="1" customWidth="1"/>
    <col min="13578" max="13586" width="12.77734375" style="1" customWidth="1"/>
    <col min="13587" max="13587" width="0" style="1" hidden="1" customWidth="1"/>
    <col min="13588" max="13591" width="12.77734375" style="1" customWidth="1"/>
    <col min="13592" max="13592" width="1.77734375" style="1" customWidth="1"/>
    <col min="13593" max="13593" width="12.77734375" style="1" customWidth="1"/>
    <col min="13594" max="13594" width="1.77734375" style="1" customWidth="1"/>
    <col min="13595" max="13596" width="0" style="1" hidden="1" customWidth="1"/>
    <col min="13597" max="13597" width="12.77734375" style="1" customWidth="1"/>
    <col min="13598" max="13598" width="17.88671875" style="1" customWidth="1"/>
    <col min="13599" max="13599" width="11.77734375" style="1" customWidth="1"/>
    <col min="13600" max="13600" width="12" style="1" customWidth="1"/>
    <col min="13601" max="13824" width="27.5546875" style="1"/>
    <col min="13825" max="13825" width="19.44140625" style="1" customWidth="1"/>
    <col min="13826" max="13827" width="12.77734375" style="1" customWidth="1"/>
    <col min="13828" max="13828" width="13" style="1" customWidth="1"/>
    <col min="13829" max="13830" width="12.77734375" style="1" customWidth="1"/>
    <col min="13831" max="13833" width="0" style="1" hidden="1" customWidth="1"/>
    <col min="13834" max="13842" width="12.77734375" style="1" customWidth="1"/>
    <col min="13843" max="13843" width="0" style="1" hidden="1" customWidth="1"/>
    <col min="13844" max="13847" width="12.77734375" style="1" customWidth="1"/>
    <col min="13848" max="13848" width="1.77734375" style="1" customWidth="1"/>
    <col min="13849" max="13849" width="12.77734375" style="1" customWidth="1"/>
    <col min="13850" max="13850" width="1.77734375" style="1" customWidth="1"/>
    <col min="13851" max="13852" width="0" style="1" hidden="1" customWidth="1"/>
    <col min="13853" max="13853" width="12.77734375" style="1" customWidth="1"/>
    <col min="13854" max="13854" width="17.88671875" style="1" customWidth="1"/>
    <col min="13855" max="13855" width="11.77734375" style="1" customWidth="1"/>
    <col min="13856" max="13856" width="12" style="1" customWidth="1"/>
    <col min="13857" max="14080" width="27.5546875" style="1"/>
    <col min="14081" max="14081" width="19.44140625" style="1" customWidth="1"/>
    <col min="14082" max="14083" width="12.77734375" style="1" customWidth="1"/>
    <col min="14084" max="14084" width="13" style="1" customWidth="1"/>
    <col min="14085" max="14086" width="12.77734375" style="1" customWidth="1"/>
    <col min="14087" max="14089" width="0" style="1" hidden="1" customWidth="1"/>
    <col min="14090" max="14098" width="12.77734375" style="1" customWidth="1"/>
    <col min="14099" max="14099" width="0" style="1" hidden="1" customWidth="1"/>
    <col min="14100" max="14103" width="12.77734375" style="1" customWidth="1"/>
    <col min="14104" max="14104" width="1.77734375" style="1" customWidth="1"/>
    <col min="14105" max="14105" width="12.77734375" style="1" customWidth="1"/>
    <col min="14106" max="14106" width="1.77734375" style="1" customWidth="1"/>
    <col min="14107" max="14108" width="0" style="1" hidden="1" customWidth="1"/>
    <col min="14109" max="14109" width="12.77734375" style="1" customWidth="1"/>
    <col min="14110" max="14110" width="17.88671875" style="1" customWidth="1"/>
    <col min="14111" max="14111" width="11.77734375" style="1" customWidth="1"/>
    <col min="14112" max="14112" width="12" style="1" customWidth="1"/>
    <col min="14113" max="14336" width="27.5546875" style="1"/>
    <col min="14337" max="14337" width="19.44140625" style="1" customWidth="1"/>
    <col min="14338" max="14339" width="12.77734375" style="1" customWidth="1"/>
    <col min="14340" max="14340" width="13" style="1" customWidth="1"/>
    <col min="14341" max="14342" width="12.77734375" style="1" customWidth="1"/>
    <col min="14343" max="14345" width="0" style="1" hidden="1" customWidth="1"/>
    <col min="14346" max="14354" width="12.77734375" style="1" customWidth="1"/>
    <col min="14355" max="14355" width="0" style="1" hidden="1" customWidth="1"/>
    <col min="14356" max="14359" width="12.77734375" style="1" customWidth="1"/>
    <col min="14360" max="14360" width="1.77734375" style="1" customWidth="1"/>
    <col min="14361" max="14361" width="12.77734375" style="1" customWidth="1"/>
    <col min="14362" max="14362" width="1.77734375" style="1" customWidth="1"/>
    <col min="14363" max="14364" width="0" style="1" hidden="1" customWidth="1"/>
    <col min="14365" max="14365" width="12.77734375" style="1" customWidth="1"/>
    <col min="14366" max="14366" width="17.88671875" style="1" customWidth="1"/>
    <col min="14367" max="14367" width="11.77734375" style="1" customWidth="1"/>
    <col min="14368" max="14368" width="12" style="1" customWidth="1"/>
    <col min="14369" max="14592" width="27.5546875" style="1"/>
    <col min="14593" max="14593" width="19.44140625" style="1" customWidth="1"/>
    <col min="14594" max="14595" width="12.77734375" style="1" customWidth="1"/>
    <col min="14596" max="14596" width="13" style="1" customWidth="1"/>
    <col min="14597" max="14598" width="12.77734375" style="1" customWidth="1"/>
    <col min="14599" max="14601" width="0" style="1" hidden="1" customWidth="1"/>
    <col min="14602" max="14610" width="12.77734375" style="1" customWidth="1"/>
    <col min="14611" max="14611" width="0" style="1" hidden="1" customWidth="1"/>
    <col min="14612" max="14615" width="12.77734375" style="1" customWidth="1"/>
    <col min="14616" max="14616" width="1.77734375" style="1" customWidth="1"/>
    <col min="14617" max="14617" width="12.77734375" style="1" customWidth="1"/>
    <col min="14618" max="14618" width="1.77734375" style="1" customWidth="1"/>
    <col min="14619" max="14620" width="0" style="1" hidden="1" customWidth="1"/>
    <col min="14621" max="14621" width="12.77734375" style="1" customWidth="1"/>
    <col min="14622" max="14622" width="17.88671875" style="1" customWidth="1"/>
    <col min="14623" max="14623" width="11.77734375" style="1" customWidth="1"/>
    <col min="14624" max="14624" width="12" style="1" customWidth="1"/>
    <col min="14625" max="14848" width="27.5546875" style="1"/>
    <col min="14849" max="14849" width="19.44140625" style="1" customWidth="1"/>
    <col min="14850" max="14851" width="12.77734375" style="1" customWidth="1"/>
    <col min="14852" max="14852" width="13" style="1" customWidth="1"/>
    <col min="14853" max="14854" width="12.77734375" style="1" customWidth="1"/>
    <col min="14855" max="14857" width="0" style="1" hidden="1" customWidth="1"/>
    <col min="14858" max="14866" width="12.77734375" style="1" customWidth="1"/>
    <col min="14867" max="14867" width="0" style="1" hidden="1" customWidth="1"/>
    <col min="14868" max="14871" width="12.77734375" style="1" customWidth="1"/>
    <col min="14872" max="14872" width="1.77734375" style="1" customWidth="1"/>
    <col min="14873" max="14873" width="12.77734375" style="1" customWidth="1"/>
    <col min="14874" max="14874" width="1.77734375" style="1" customWidth="1"/>
    <col min="14875" max="14876" width="0" style="1" hidden="1" customWidth="1"/>
    <col min="14877" max="14877" width="12.77734375" style="1" customWidth="1"/>
    <col min="14878" max="14878" width="17.88671875" style="1" customWidth="1"/>
    <col min="14879" max="14879" width="11.77734375" style="1" customWidth="1"/>
    <col min="14880" max="14880" width="12" style="1" customWidth="1"/>
    <col min="14881" max="15104" width="27.5546875" style="1"/>
    <col min="15105" max="15105" width="19.44140625" style="1" customWidth="1"/>
    <col min="15106" max="15107" width="12.77734375" style="1" customWidth="1"/>
    <col min="15108" max="15108" width="13" style="1" customWidth="1"/>
    <col min="15109" max="15110" width="12.77734375" style="1" customWidth="1"/>
    <col min="15111" max="15113" width="0" style="1" hidden="1" customWidth="1"/>
    <col min="15114" max="15122" width="12.77734375" style="1" customWidth="1"/>
    <col min="15123" max="15123" width="0" style="1" hidden="1" customWidth="1"/>
    <col min="15124" max="15127" width="12.77734375" style="1" customWidth="1"/>
    <col min="15128" max="15128" width="1.77734375" style="1" customWidth="1"/>
    <col min="15129" max="15129" width="12.77734375" style="1" customWidth="1"/>
    <col min="15130" max="15130" width="1.77734375" style="1" customWidth="1"/>
    <col min="15131" max="15132" width="0" style="1" hidden="1" customWidth="1"/>
    <col min="15133" max="15133" width="12.77734375" style="1" customWidth="1"/>
    <col min="15134" max="15134" width="17.88671875" style="1" customWidth="1"/>
    <col min="15135" max="15135" width="11.77734375" style="1" customWidth="1"/>
    <col min="15136" max="15136" width="12" style="1" customWidth="1"/>
    <col min="15137" max="15360" width="27.5546875" style="1"/>
    <col min="15361" max="15361" width="19.44140625" style="1" customWidth="1"/>
    <col min="15362" max="15363" width="12.77734375" style="1" customWidth="1"/>
    <col min="15364" max="15364" width="13" style="1" customWidth="1"/>
    <col min="15365" max="15366" width="12.77734375" style="1" customWidth="1"/>
    <col min="15367" max="15369" width="0" style="1" hidden="1" customWidth="1"/>
    <col min="15370" max="15378" width="12.77734375" style="1" customWidth="1"/>
    <col min="15379" max="15379" width="0" style="1" hidden="1" customWidth="1"/>
    <col min="15380" max="15383" width="12.77734375" style="1" customWidth="1"/>
    <col min="15384" max="15384" width="1.77734375" style="1" customWidth="1"/>
    <col min="15385" max="15385" width="12.77734375" style="1" customWidth="1"/>
    <col min="15386" max="15386" width="1.77734375" style="1" customWidth="1"/>
    <col min="15387" max="15388" width="0" style="1" hidden="1" customWidth="1"/>
    <col min="15389" max="15389" width="12.77734375" style="1" customWidth="1"/>
    <col min="15390" max="15390" width="17.88671875" style="1" customWidth="1"/>
    <col min="15391" max="15391" width="11.77734375" style="1" customWidth="1"/>
    <col min="15392" max="15392" width="12" style="1" customWidth="1"/>
    <col min="15393" max="15616" width="27.5546875" style="1"/>
    <col min="15617" max="15617" width="19.44140625" style="1" customWidth="1"/>
    <col min="15618" max="15619" width="12.77734375" style="1" customWidth="1"/>
    <col min="15620" max="15620" width="13" style="1" customWidth="1"/>
    <col min="15621" max="15622" width="12.77734375" style="1" customWidth="1"/>
    <col min="15623" max="15625" width="0" style="1" hidden="1" customWidth="1"/>
    <col min="15626" max="15634" width="12.77734375" style="1" customWidth="1"/>
    <col min="15635" max="15635" width="0" style="1" hidden="1" customWidth="1"/>
    <col min="15636" max="15639" width="12.77734375" style="1" customWidth="1"/>
    <col min="15640" max="15640" width="1.77734375" style="1" customWidth="1"/>
    <col min="15641" max="15641" width="12.77734375" style="1" customWidth="1"/>
    <col min="15642" max="15642" width="1.77734375" style="1" customWidth="1"/>
    <col min="15643" max="15644" width="0" style="1" hidden="1" customWidth="1"/>
    <col min="15645" max="15645" width="12.77734375" style="1" customWidth="1"/>
    <col min="15646" max="15646" width="17.88671875" style="1" customWidth="1"/>
    <col min="15647" max="15647" width="11.77734375" style="1" customWidth="1"/>
    <col min="15648" max="15648" width="12" style="1" customWidth="1"/>
    <col min="15649" max="15872" width="27.5546875" style="1"/>
    <col min="15873" max="15873" width="19.44140625" style="1" customWidth="1"/>
    <col min="15874" max="15875" width="12.77734375" style="1" customWidth="1"/>
    <col min="15876" max="15876" width="13" style="1" customWidth="1"/>
    <col min="15877" max="15878" width="12.77734375" style="1" customWidth="1"/>
    <col min="15879" max="15881" width="0" style="1" hidden="1" customWidth="1"/>
    <col min="15882" max="15890" width="12.77734375" style="1" customWidth="1"/>
    <col min="15891" max="15891" width="0" style="1" hidden="1" customWidth="1"/>
    <col min="15892" max="15895" width="12.77734375" style="1" customWidth="1"/>
    <col min="15896" max="15896" width="1.77734375" style="1" customWidth="1"/>
    <col min="15897" max="15897" width="12.77734375" style="1" customWidth="1"/>
    <col min="15898" max="15898" width="1.77734375" style="1" customWidth="1"/>
    <col min="15899" max="15900" width="0" style="1" hidden="1" customWidth="1"/>
    <col min="15901" max="15901" width="12.77734375" style="1" customWidth="1"/>
    <col min="15902" max="15902" width="17.88671875" style="1" customWidth="1"/>
    <col min="15903" max="15903" width="11.77734375" style="1" customWidth="1"/>
    <col min="15904" max="15904" width="12" style="1" customWidth="1"/>
    <col min="15905" max="16128" width="27.5546875" style="1"/>
    <col min="16129" max="16129" width="19.44140625" style="1" customWidth="1"/>
    <col min="16130" max="16131" width="12.77734375" style="1" customWidth="1"/>
    <col min="16132" max="16132" width="13" style="1" customWidth="1"/>
    <col min="16133" max="16134" width="12.77734375" style="1" customWidth="1"/>
    <col min="16135" max="16137" width="0" style="1" hidden="1" customWidth="1"/>
    <col min="16138" max="16146" width="12.77734375" style="1" customWidth="1"/>
    <col min="16147" max="16147" width="0" style="1" hidden="1" customWidth="1"/>
    <col min="16148" max="16151" width="12.77734375" style="1" customWidth="1"/>
    <col min="16152" max="16152" width="1.77734375" style="1" customWidth="1"/>
    <col min="16153" max="16153" width="12.77734375" style="1" customWidth="1"/>
    <col min="16154" max="16154" width="1.77734375" style="1" customWidth="1"/>
    <col min="16155" max="16156" width="0" style="1" hidden="1" customWidth="1"/>
    <col min="16157" max="16157" width="12.77734375" style="1" customWidth="1"/>
    <col min="16158" max="16158" width="17.88671875" style="1" customWidth="1"/>
    <col min="16159" max="16159" width="11.77734375" style="1" customWidth="1"/>
    <col min="16160" max="16160" width="12" style="1" customWidth="1"/>
    <col min="16161" max="16384" width="27.5546875" style="1"/>
  </cols>
  <sheetData>
    <row r="1" spans="1:52" ht="36.75" customHeight="1" x14ac:dyDescent="0.25">
      <c r="A1" s="65"/>
      <c r="B1" s="50"/>
      <c r="C1" s="64"/>
      <c r="D1" s="50"/>
      <c r="E1" s="50"/>
      <c r="F1" s="50"/>
      <c r="G1" s="50"/>
      <c r="H1" s="50"/>
      <c r="I1" s="50"/>
      <c r="J1" s="50"/>
      <c r="K1" s="50"/>
      <c r="M1" s="63"/>
      <c r="O1" s="50"/>
      <c r="P1" s="50"/>
      <c r="Q1" s="50"/>
      <c r="R1" s="50"/>
      <c r="S1" s="50"/>
      <c r="T1" s="50"/>
      <c r="U1" s="50"/>
      <c r="V1" s="50"/>
      <c r="W1" s="62" t="s">
        <v>94</v>
      </c>
      <c r="Y1" s="61"/>
      <c r="AA1" s="61"/>
      <c r="AC1" s="61"/>
    </row>
    <row r="2" spans="1:52" s="57" customFormat="1" ht="18" customHeight="1" x14ac:dyDescent="0.2">
      <c r="A2" s="60"/>
      <c r="B2" s="27"/>
      <c r="C2" s="27"/>
      <c r="D2" s="28"/>
      <c r="E2" s="27"/>
      <c r="F2" s="27"/>
      <c r="G2" s="27"/>
      <c r="H2" s="27"/>
      <c r="I2" s="27"/>
      <c r="J2" s="27"/>
      <c r="K2" s="27"/>
      <c r="M2" s="59"/>
      <c r="N2" s="58"/>
      <c r="O2" s="27"/>
      <c r="P2" s="27"/>
      <c r="Q2" s="27"/>
      <c r="R2" s="27"/>
      <c r="S2" s="27"/>
      <c r="T2" s="27"/>
      <c r="U2" s="27"/>
      <c r="V2" s="27"/>
      <c r="W2" s="5"/>
      <c r="Y2" s="5"/>
      <c r="AA2" s="5"/>
      <c r="AC2" s="5"/>
    </row>
    <row r="3" spans="1:52" ht="21" customHeight="1" x14ac:dyDescent="0.2">
      <c r="A3" s="56"/>
      <c r="B3" s="50"/>
      <c r="C3" s="50"/>
      <c r="D3" s="56"/>
      <c r="E3" s="50"/>
      <c r="F3" s="51"/>
      <c r="G3" s="50"/>
      <c r="H3" s="50"/>
      <c r="I3" s="51"/>
      <c r="J3" s="50"/>
      <c r="K3" s="50"/>
      <c r="M3" s="55"/>
      <c r="N3" s="54"/>
      <c r="O3" s="50"/>
      <c r="P3" s="50"/>
      <c r="Q3" s="50"/>
      <c r="R3" s="50"/>
      <c r="S3" s="50"/>
      <c r="T3" s="50"/>
      <c r="U3" s="50"/>
      <c r="V3" s="50"/>
      <c r="W3" s="5"/>
      <c r="Y3" s="5"/>
      <c r="AA3" s="5"/>
      <c r="AC3" s="5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50"/>
      <c r="B5" s="50"/>
      <c r="C5" s="50"/>
      <c r="D5" s="50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49"/>
      <c r="Y5" s="48"/>
      <c r="AA5" s="48"/>
      <c r="AC5" s="48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84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84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89"/>
      <c r="T8" s="245" t="s">
        <v>62</v>
      </c>
      <c r="U8" s="83" t="s">
        <v>61</v>
      </c>
      <c r="V8" s="84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13"/>
      <c r="AE8" s="13"/>
      <c r="AF8" s="24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84" t="s">
        <v>51</v>
      </c>
      <c r="O9" s="83" t="s">
        <v>50</v>
      </c>
      <c r="P9" s="251"/>
      <c r="Q9" s="83"/>
      <c r="R9" s="83" t="s">
        <v>49</v>
      </c>
      <c r="S9" s="84"/>
      <c r="T9" s="246"/>
      <c r="U9" s="83" t="s">
        <v>48</v>
      </c>
      <c r="V9" s="84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24"/>
      <c r="AE9" s="24"/>
      <c r="AF9" s="24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766810.52439999999</v>
      </c>
      <c r="C10" s="40">
        <v>226725.34567779885</v>
      </c>
      <c r="D10" s="76">
        <f>B10+C10</f>
        <v>993535.87007779884</v>
      </c>
      <c r="E10" s="40">
        <v>35.008399999999995</v>
      </c>
      <c r="F10" s="76">
        <f>D10+E10</f>
        <v>993570.87847779889</v>
      </c>
      <c r="G10" s="40">
        <v>0</v>
      </c>
      <c r="H10" s="40">
        <v>0</v>
      </c>
      <c r="I10" s="40">
        <v>0</v>
      </c>
      <c r="J10" s="40">
        <v>12518.142400000001</v>
      </c>
      <c r="K10" s="40">
        <v>2980.2037999999998</v>
      </c>
      <c r="L10" s="40">
        <v>1.0403860999999999</v>
      </c>
      <c r="M10" s="40">
        <v>15629.8416</v>
      </c>
      <c r="N10" s="40">
        <v>2589.0120999999999</v>
      </c>
      <c r="O10" s="40">
        <v>5328.0832</v>
      </c>
      <c r="P10" s="40">
        <v>116.54650086873703</v>
      </c>
      <c r="Q10" s="40">
        <v>8344.8973000000005</v>
      </c>
      <c r="R10" s="40">
        <v>314.32690987624335</v>
      </c>
      <c r="S10" s="40">
        <v>0</v>
      </c>
      <c r="T10" s="40">
        <v>154.63916248330381</v>
      </c>
      <c r="U10" s="40">
        <v>0</v>
      </c>
      <c r="V10" s="40">
        <v>4624.3541999999998</v>
      </c>
      <c r="W10" s="76">
        <f t="shared" ref="W10:W32" si="0">SUM(F10:V10)</f>
        <v>1046171.9660371271</v>
      </c>
      <c r="X10" s="36"/>
      <c r="Y10" s="42">
        <v>119160.06221999999</v>
      </c>
      <c r="Z10" s="38"/>
      <c r="AA10" s="109">
        <v>0</v>
      </c>
      <c r="AB10" s="36"/>
      <c r="AC10" s="76">
        <f>+W10+Y10+AA10</f>
        <v>1165332.0282571272</v>
      </c>
      <c r="AD10" s="29"/>
      <c r="AE10" s="25"/>
      <c r="AF10" s="163"/>
      <c r="AG10" s="2"/>
      <c r="AH10" s="3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114025.90820000001</v>
      </c>
      <c r="C11" s="40">
        <v>10588.25808380005</v>
      </c>
      <c r="D11" s="76">
        <f t="shared" ref="D11:D32" si="1">B11+C11</f>
        <v>124614.16628380006</v>
      </c>
      <c r="E11" s="40">
        <v>1.7832999999999999</v>
      </c>
      <c r="F11" s="76">
        <f t="shared" ref="F11:F32" si="2">D11+E11</f>
        <v>124615.94958380006</v>
      </c>
      <c r="G11" s="40">
        <v>0</v>
      </c>
      <c r="H11" s="40">
        <v>0</v>
      </c>
      <c r="I11" s="40">
        <v>0</v>
      </c>
      <c r="J11" s="40">
        <v>1570.0871000000002</v>
      </c>
      <c r="K11" s="40">
        <v>0</v>
      </c>
      <c r="L11" s="40">
        <v>7.7864879999999997E-2</v>
      </c>
      <c r="M11" s="40">
        <v>0</v>
      </c>
      <c r="N11" s="40">
        <v>324.73159999999996</v>
      </c>
      <c r="O11" s="40">
        <v>558.80269999999996</v>
      </c>
      <c r="P11" s="40">
        <v>175.65252643439578</v>
      </c>
      <c r="Q11" s="40">
        <v>1208.5713000000001</v>
      </c>
      <c r="R11" s="40">
        <v>322.60822247143471</v>
      </c>
      <c r="S11" s="40">
        <v>0</v>
      </c>
      <c r="T11" s="40">
        <v>233.06370738026362</v>
      </c>
      <c r="U11" s="40">
        <v>2.2000000000000002</v>
      </c>
      <c r="V11" s="40">
        <v>580.01819999999998</v>
      </c>
      <c r="W11" s="76">
        <f t="shared" si="0"/>
        <v>129591.76280496616</v>
      </c>
      <c r="X11" s="36"/>
      <c r="Y11" s="42">
        <v>1030.70598</v>
      </c>
      <c r="Z11" s="38"/>
      <c r="AA11" s="43">
        <v>0</v>
      </c>
      <c r="AB11" s="36"/>
      <c r="AC11" s="76">
        <f t="shared" ref="AC11:AC38" si="3">+W11+Y11+AA11</f>
        <v>130622.46878496616</v>
      </c>
      <c r="AD11" s="29"/>
      <c r="AE11" s="25"/>
      <c r="AF11" s="163"/>
      <c r="AG11" s="2"/>
      <c r="AH11" s="34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353022.19910000003</v>
      </c>
      <c r="C12" s="40">
        <v>48705.987185399776</v>
      </c>
      <c r="D12" s="76">
        <f t="shared" si="1"/>
        <v>401728.18628539983</v>
      </c>
      <c r="E12" s="40">
        <v>10.441700000000001</v>
      </c>
      <c r="F12" s="76">
        <f>D12+E12</f>
        <v>401738.62798539986</v>
      </c>
      <c r="G12" s="40">
        <v>0</v>
      </c>
      <c r="H12" s="40">
        <v>0</v>
      </c>
      <c r="I12" s="40">
        <v>0</v>
      </c>
      <c r="J12" s="40">
        <v>5061.6094999999996</v>
      </c>
      <c r="K12" s="40">
        <v>1017.7524000000001</v>
      </c>
      <c r="L12" s="40">
        <v>0.28798949000000001</v>
      </c>
      <c r="M12" s="40">
        <v>5337.6580000000004</v>
      </c>
      <c r="N12" s="40">
        <v>1046.8525999999999</v>
      </c>
      <c r="O12" s="40">
        <v>2921.8708999999999</v>
      </c>
      <c r="P12" s="40">
        <v>116.54650086873703</v>
      </c>
      <c r="Q12" s="40">
        <v>3251.6324</v>
      </c>
      <c r="R12" s="40">
        <v>201.0404018810224</v>
      </c>
      <c r="S12" s="40">
        <v>0</v>
      </c>
      <c r="T12" s="40">
        <v>154.63916248330381</v>
      </c>
      <c r="U12" s="40">
        <v>0.5</v>
      </c>
      <c r="V12" s="40">
        <v>1869.8318000000002</v>
      </c>
      <c r="W12" s="76">
        <f t="shared" si="0"/>
        <v>422718.84964012291</v>
      </c>
      <c r="X12" s="36"/>
      <c r="Y12" s="42">
        <v>5478.4241199999997</v>
      </c>
      <c r="Z12" s="38"/>
      <c r="AA12" s="43">
        <v>0</v>
      </c>
      <c r="AB12" s="36"/>
      <c r="AC12" s="76">
        <f t="shared" si="3"/>
        <v>428197.27376012289</v>
      </c>
      <c r="AD12" s="29"/>
      <c r="AE12" s="25"/>
      <c r="AF12" s="163"/>
      <c r="AG12" s="2"/>
      <c r="AH12" s="34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145984.36680000002</v>
      </c>
      <c r="C13" s="40">
        <v>22201.186304599916</v>
      </c>
      <c r="D13" s="76">
        <f t="shared" si="1"/>
        <v>168185.55310459994</v>
      </c>
      <c r="E13" s="40">
        <v>3.2166999999999999</v>
      </c>
      <c r="F13" s="76">
        <f t="shared" si="2"/>
        <v>168188.76980459993</v>
      </c>
      <c r="G13" s="40">
        <v>0</v>
      </c>
      <c r="H13" s="40">
        <v>0</v>
      </c>
      <c r="I13" s="40">
        <v>0</v>
      </c>
      <c r="J13" s="40">
        <v>2119.0686000000001</v>
      </c>
      <c r="K13" s="40">
        <v>325.43009999999998</v>
      </c>
      <c r="L13" s="40">
        <v>0.12915654000000001</v>
      </c>
      <c r="M13" s="40">
        <v>1706.7357</v>
      </c>
      <c r="N13" s="40">
        <v>438.2697</v>
      </c>
      <c r="O13" s="40">
        <v>712.28319999999997</v>
      </c>
      <c r="P13" s="40">
        <v>147.54724825299786</v>
      </c>
      <c r="Q13" s="40">
        <v>2848.7752999999998</v>
      </c>
      <c r="R13" s="40">
        <v>281.67349419051192</v>
      </c>
      <c r="S13" s="40">
        <v>0</v>
      </c>
      <c r="T13" s="40">
        <v>195.77235460055337</v>
      </c>
      <c r="U13" s="40">
        <v>1.5</v>
      </c>
      <c r="V13" s="40">
        <v>782.81380000000001</v>
      </c>
      <c r="W13" s="76">
        <f t="shared" si="0"/>
        <v>177748.76845818397</v>
      </c>
      <c r="X13" s="36"/>
      <c r="Y13" s="42">
        <v>6261.8553200000006</v>
      </c>
      <c r="Z13" s="38"/>
      <c r="AA13" s="43">
        <v>0</v>
      </c>
      <c r="AB13" s="36"/>
      <c r="AC13" s="76">
        <f t="shared" si="3"/>
        <v>184010.62377818397</v>
      </c>
      <c r="AD13" s="29"/>
      <c r="AE13" s="25"/>
      <c r="AF13" s="163"/>
      <c r="AG13" s="2"/>
      <c r="AH13" s="3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200902.76630000002</v>
      </c>
      <c r="C14" s="40">
        <v>24797.017318800048</v>
      </c>
      <c r="D14" s="76">
        <f t="shared" si="1"/>
        <v>225699.78361880005</v>
      </c>
      <c r="E14" s="40">
        <v>2.8</v>
      </c>
      <c r="F14" s="76">
        <f t="shared" si="2"/>
        <v>225702.58361880004</v>
      </c>
      <c r="G14" s="40">
        <v>0</v>
      </c>
      <c r="H14" s="40">
        <v>0</v>
      </c>
      <c r="I14" s="40">
        <v>0</v>
      </c>
      <c r="J14" s="40">
        <v>2843.7242000000001</v>
      </c>
      <c r="K14" s="40">
        <v>255.8433</v>
      </c>
      <c r="L14" s="40">
        <v>0.16874885999999997</v>
      </c>
      <c r="M14" s="40">
        <v>1341.7841000000001</v>
      </c>
      <c r="N14" s="40">
        <v>588.14859999999999</v>
      </c>
      <c r="O14" s="40">
        <v>738.12709999999993</v>
      </c>
      <c r="P14" s="40">
        <v>156.70794271683999</v>
      </c>
      <c r="Q14" s="40">
        <v>2647.3467000000001</v>
      </c>
      <c r="R14" s="40">
        <v>293.79591936025042</v>
      </c>
      <c r="S14" s="40">
        <v>0</v>
      </c>
      <c r="T14" s="40">
        <v>207.92717787327462</v>
      </c>
      <c r="U14" s="40">
        <v>0.5</v>
      </c>
      <c r="V14" s="40">
        <v>1050.5193999999999</v>
      </c>
      <c r="W14" s="76">
        <f t="shared" si="0"/>
        <v>235827.17680761035</v>
      </c>
      <c r="X14" s="36"/>
      <c r="Y14" s="42">
        <v>7670.4774000000007</v>
      </c>
      <c r="Z14" s="38"/>
      <c r="AA14" s="43">
        <v>0</v>
      </c>
      <c r="AB14" s="36"/>
      <c r="AC14" s="76">
        <f t="shared" si="3"/>
        <v>243497.65420761035</v>
      </c>
      <c r="AD14" s="29"/>
      <c r="AE14" s="25"/>
      <c r="AF14" s="163"/>
      <c r="AG14" s="2"/>
      <c r="AH14" s="3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61373.0651</v>
      </c>
      <c r="C15" s="40">
        <v>10178.39002899994</v>
      </c>
      <c r="D15" s="76">
        <f t="shared" si="1"/>
        <v>71551.455128999936</v>
      </c>
      <c r="E15" s="40">
        <v>2.0167000000000002</v>
      </c>
      <c r="F15" s="76">
        <f t="shared" si="2"/>
        <v>71553.471828999929</v>
      </c>
      <c r="G15" s="40">
        <v>0</v>
      </c>
      <c r="H15" s="40">
        <v>0</v>
      </c>
      <c r="I15" s="40">
        <v>0</v>
      </c>
      <c r="J15" s="40">
        <v>901.51880000000006</v>
      </c>
      <c r="K15" s="40">
        <v>100.08110000000001</v>
      </c>
      <c r="L15" s="40">
        <v>7.7900550000000013E-2</v>
      </c>
      <c r="M15" s="40">
        <v>524.88080000000002</v>
      </c>
      <c r="N15" s="40">
        <v>186.458</v>
      </c>
      <c r="O15" s="40">
        <v>627.5696999999999</v>
      </c>
      <c r="P15" s="40">
        <v>164.30560818124977</v>
      </c>
      <c r="Q15" s="40">
        <v>1841.6324999999999</v>
      </c>
      <c r="R15" s="40">
        <v>389.92246965607217</v>
      </c>
      <c r="S15" s="40">
        <v>0</v>
      </c>
      <c r="T15" s="40">
        <v>218.00810363910415</v>
      </c>
      <c r="U15" s="40">
        <v>3</v>
      </c>
      <c r="V15" s="40">
        <v>333.0412</v>
      </c>
      <c r="W15" s="76">
        <f t="shared" si="0"/>
        <v>76843.968011026358</v>
      </c>
      <c r="X15" s="36"/>
      <c r="Y15" s="42">
        <v>1503.59376</v>
      </c>
      <c r="Z15" s="38"/>
      <c r="AA15" s="43">
        <v>0</v>
      </c>
      <c r="AB15" s="36"/>
      <c r="AC15" s="76">
        <f t="shared" si="3"/>
        <v>78347.561771026361</v>
      </c>
      <c r="AD15" s="29"/>
      <c r="AE15" s="25"/>
      <c r="AF15" s="163"/>
      <c r="AG15" s="2"/>
      <c r="AH15" s="34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199525.4809</v>
      </c>
      <c r="C16" s="40">
        <v>21381.450195000001</v>
      </c>
      <c r="D16" s="76">
        <f t="shared" si="1"/>
        <v>220906.93109500001</v>
      </c>
      <c r="E16" s="40">
        <v>5.6249000000000002</v>
      </c>
      <c r="F16" s="76">
        <f t="shared" si="2"/>
        <v>220912.555995</v>
      </c>
      <c r="G16" s="40">
        <v>0</v>
      </c>
      <c r="H16" s="40">
        <v>0</v>
      </c>
      <c r="I16" s="40">
        <v>0</v>
      </c>
      <c r="J16" s="40">
        <v>2783.3362999999999</v>
      </c>
      <c r="K16" s="40">
        <v>441.68210000000005</v>
      </c>
      <c r="L16" s="40">
        <v>0.13368648000000002</v>
      </c>
      <c r="M16" s="40">
        <v>2316.4260999999997</v>
      </c>
      <c r="N16" s="40">
        <v>575.64980000000003</v>
      </c>
      <c r="O16" s="40">
        <v>974.18730000000005</v>
      </c>
      <c r="P16" s="40">
        <v>134.86251163622154</v>
      </c>
      <c r="Q16" s="40">
        <v>2244.4895999999999</v>
      </c>
      <c r="R16" s="40">
        <v>280.73281728048943</v>
      </c>
      <c r="S16" s="40">
        <v>0</v>
      </c>
      <c r="T16" s="40">
        <v>178.94167301269758</v>
      </c>
      <c r="U16" s="40">
        <v>1.8</v>
      </c>
      <c r="V16" s="40">
        <v>1028.1947</v>
      </c>
      <c r="W16" s="76">
        <f t="shared" si="0"/>
        <v>231872.99258340939</v>
      </c>
      <c r="X16" s="36"/>
      <c r="Y16" s="42">
        <v>3719.29268</v>
      </c>
      <c r="Z16" s="38"/>
      <c r="AA16" s="43">
        <v>0</v>
      </c>
      <c r="AB16" s="36"/>
      <c r="AC16" s="76">
        <f t="shared" si="3"/>
        <v>235592.2852634094</v>
      </c>
      <c r="AD16" s="29"/>
      <c r="AE16" s="25"/>
      <c r="AF16" s="163"/>
      <c r="AG16" s="2"/>
      <c r="AH16" s="34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150217.83749999999</v>
      </c>
      <c r="C17" s="40">
        <v>14482.004605</v>
      </c>
      <c r="D17" s="76">
        <f t="shared" si="1"/>
        <v>164699.84210499999</v>
      </c>
      <c r="E17" s="40">
        <v>1.7251000000000001</v>
      </c>
      <c r="F17" s="76">
        <f t="shared" si="2"/>
        <v>164701.567205</v>
      </c>
      <c r="G17" s="40">
        <v>0</v>
      </c>
      <c r="H17" s="40">
        <v>0</v>
      </c>
      <c r="I17" s="40">
        <v>0</v>
      </c>
      <c r="J17" s="40">
        <v>2075.1501000000003</v>
      </c>
      <c r="K17" s="40">
        <v>119.1768</v>
      </c>
      <c r="L17" s="40">
        <v>9.0955309999999998E-2</v>
      </c>
      <c r="M17" s="40">
        <v>625.02919999999995</v>
      </c>
      <c r="N17" s="40">
        <v>429.19049999999999</v>
      </c>
      <c r="O17" s="40">
        <v>506.86559999999997</v>
      </c>
      <c r="P17" s="40">
        <v>181.08413623173973</v>
      </c>
      <c r="Q17" s="40">
        <v>2302.0406000000003</v>
      </c>
      <c r="R17" s="40">
        <v>306.43701845691936</v>
      </c>
      <c r="S17" s="40">
        <v>0</v>
      </c>
      <c r="T17" s="40">
        <v>240.27061265053135</v>
      </c>
      <c r="U17" s="40">
        <v>2.2000000000000002</v>
      </c>
      <c r="V17" s="40">
        <v>766.59699999999998</v>
      </c>
      <c r="W17" s="76">
        <f t="shared" si="0"/>
        <v>172255.69972764919</v>
      </c>
      <c r="X17" s="36"/>
      <c r="Y17" s="42">
        <v>3863.1387999999997</v>
      </c>
      <c r="Z17" s="38"/>
      <c r="AA17" s="43">
        <v>0</v>
      </c>
      <c r="AB17" s="36"/>
      <c r="AC17" s="76">
        <f t="shared" si="3"/>
        <v>176118.83852764918</v>
      </c>
      <c r="AD17" s="29"/>
      <c r="AE17" s="25"/>
      <c r="AF17" s="163"/>
      <c r="AG17" s="2"/>
      <c r="AH17" s="34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114668.3885</v>
      </c>
      <c r="C18" s="40">
        <v>13867.202522600006</v>
      </c>
      <c r="D18" s="76">
        <f t="shared" si="1"/>
        <v>128535.59102260001</v>
      </c>
      <c r="E18" s="40">
        <v>2.7749999999999999</v>
      </c>
      <c r="F18" s="76">
        <f t="shared" si="2"/>
        <v>128538.36602260001</v>
      </c>
      <c r="G18" s="40">
        <v>0</v>
      </c>
      <c r="H18" s="40">
        <v>0</v>
      </c>
      <c r="I18" s="40">
        <v>0</v>
      </c>
      <c r="J18" s="40">
        <v>1619.4955</v>
      </c>
      <c r="K18" s="40">
        <v>0</v>
      </c>
      <c r="L18" s="40">
        <v>8.2858509999999996E-2</v>
      </c>
      <c r="M18" s="40">
        <v>0</v>
      </c>
      <c r="N18" s="40">
        <v>334.94279999999998</v>
      </c>
      <c r="O18" s="40">
        <v>518.68409999999994</v>
      </c>
      <c r="P18" s="40">
        <v>146.12842129248284</v>
      </c>
      <c r="Q18" s="40">
        <v>1726.5305000000001</v>
      </c>
      <c r="R18" s="40">
        <v>298.27021415123892</v>
      </c>
      <c r="S18" s="40">
        <v>0</v>
      </c>
      <c r="T18" s="40">
        <v>193.88979089458621</v>
      </c>
      <c r="U18" s="40">
        <v>2.2000000000000002</v>
      </c>
      <c r="V18" s="40">
        <v>598.2568</v>
      </c>
      <c r="W18" s="76">
        <f t="shared" si="0"/>
        <v>133976.84700744832</v>
      </c>
      <c r="X18" s="36"/>
      <c r="Y18" s="42">
        <v>3690.0391600000003</v>
      </c>
      <c r="Z18" s="38"/>
      <c r="AA18" s="43">
        <v>0</v>
      </c>
      <c r="AB18" s="36"/>
      <c r="AC18" s="76">
        <f t="shared" si="3"/>
        <v>137666.88616744831</v>
      </c>
      <c r="AD18" s="29"/>
      <c r="AE18" s="25"/>
      <c r="AF18" s="163"/>
      <c r="AG18" s="2"/>
      <c r="AH18" s="3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79373.592900000003</v>
      </c>
      <c r="C19" s="40">
        <v>7241.002302400032</v>
      </c>
      <c r="D19" s="76">
        <f t="shared" si="1"/>
        <v>86614.595202400029</v>
      </c>
      <c r="E19" s="40">
        <v>1.6</v>
      </c>
      <c r="F19" s="76">
        <f t="shared" si="2"/>
        <v>86616.195202400035</v>
      </c>
      <c r="G19" s="40">
        <v>0</v>
      </c>
      <c r="H19" s="40">
        <v>0</v>
      </c>
      <c r="I19" s="40">
        <v>0</v>
      </c>
      <c r="J19" s="40">
        <v>1091.2488000000001</v>
      </c>
      <c r="K19" s="40">
        <v>87.884500000000003</v>
      </c>
      <c r="L19" s="40">
        <v>7.0034559999999996E-2</v>
      </c>
      <c r="M19" s="40">
        <v>461.03409999999997</v>
      </c>
      <c r="N19" s="40">
        <v>225.8758</v>
      </c>
      <c r="O19" s="40">
        <v>654.35090000000002</v>
      </c>
      <c r="P19" s="40">
        <v>129.72132270753178</v>
      </c>
      <c r="Q19" s="40">
        <v>1174.2646000000002</v>
      </c>
      <c r="R19" s="40">
        <v>387.01613798448477</v>
      </c>
      <c r="S19" s="40">
        <v>0</v>
      </c>
      <c r="T19" s="40">
        <v>172.12011129177324</v>
      </c>
      <c r="U19" s="40">
        <v>2.5</v>
      </c>
      <c r="V19" s="40">
        <v>403.12040000000002</v>
      </c>
      <c r="W19" s="76">
        <f t="shared" si="0"/>
        <v>91405.401908943822</v>
      </c>
      <c r="X19" s="36"/>
      <c r="Y19" s="42">
        <v>0</v>
      </c>
      <c r="Z19" s="38"/>
      <c r="AA19" s="43">
        <v>0</v>
      </c>
      <c r="AB19" s="36"/>
      <c r="AC19" s="76">
        <f t="shared" si="3"/>
        <v>91405.401908943822</v>
      </c>
      <c r="AD19" s="29"/>
      <c r="AE19" s="25"/>
      <c r="AF19" s="163"/>
      <c r="AG19" s="2"/>
      <c r="AH19" s="34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85412.809200000003</v>
      </c>
      <c r="C20" s="40">
        <v>8265.6724396000664</v>
      </c>
      <c r="D20" s="76">
        <f t="shared" si="1"/>
        <v>93678.481639600068</v>
      </c>
      <c r="E20" s="40">
        <v>1.6916</v>
      </c>
      <c r="F20" s="76">
        <f t="shared" si="2"/>
        <v>93680.173239600073</v>
      </c>
      <c r="G20" s="40">
        <v>0</v>
      </c>
      <c r="H20" s="40">
        <v>0</v>
      </c>
      <c r="I20" s="40">
        <v>0</v>
      </c>
      <c r="J20" s="40">
        <v>1180.3103000000001</v>
      </c>
      <c r="K20" s="40">
        <v>0</v>
      </c>
      <c r="L20" s="40">
        <v>6.6843240000000012E-2</v>
      </c>
      <c r="M20" s="40">
        <v>0</v>
      </c>
      <c r="N20" s="40">
        <v>244.1147</v>
      </c>
      <c r="O20" s="40">
        <v>506.86159999999995</v>
      </c>
      <c r="P20" s="40">
        <v>170.91066621243468</v>
      </c>
      <c r="Q20" s="40">
        <v>1151.0203000000001</v>
      </c>
      <c r="R20" s="40">
        <v>346.25621789125108</v>
      </c>
      <c r="S20" s="40">
        <v>0</v>
      </c>
      <c r="T20" s="40">
        <v>226.77199301200886</v>
      </c>
      <c r="U20" s="40">
        <v>2.2000000000000002</v>
      </c>
      <c r="V20" s="40">
        <v>436.02449999999999</v>
      </c>
      <c r="W20" s="76">
        <f t="shared" si="0"/>
        <v>97944.710359955774</v>
      </c>
      <c r="X20" s="36"/>
      <c r="Y20" s="42">
        <v>1235.6980800000001</v>
      </c>
      <c r="Z20" s="38"/>
      <c r="AA20" s="43">
        <v>0</v>
      </c>
      <c r="AB20" s="36"/>
      <c r="AC20" s="76">
        <f t="shared" si="3"/>
        <v>99180.408439955776</v>
      </c>
      <c r="AD20" s="29"/>
      <c r="AE20" s="25"/>
      <c r="AF20" s="163"/>
      <c r="AG20" s="2"/>
      <c r="AH20" s="34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157445.82140000002</v>
      </c>
      <c r="C21" s="40">
        <v>31218.28351159973</v>
      </c>
      <c r="D21" s="76">
        <f t="shared" si="1"/>
        <v>188664.10491159974</v>
      </c>
      <c r="E21" s="40">
        <v>5.1416000000000004</v>
      </c>
      <c r="F21" s="76">
        <f t="shared" si="2"/>
        <v>188669.24651159975</v>
      </c>
      <c r="G21" s="40">
        <v>0</v>
      </c>
      <c r="H21" s="40">
        <v>0</v>
      </c>
      <c r="I21" s="40">
        <v>0</v>
      </c>
      <c r="J21" s="40">
        <v>2377.0898999999999</v>
      </c>
      <c r="K21" s="40">
        <v>0</v>
      </c>
      <c r="L21" s="40">
        <v>0.14196163000000001</v>
      </c>
      <c r="M21" s="40">
        <v>0</v>
      </c>
      <c r="N21" s="40">
        <v>491.63709999999998</v>
      </c>
      <c r="O21" s="40">
        <v>1026.6823999999999</v>
      </c>
      <c r="P21" s="40">
        <v>132.65981722155533</v>
      </c>
      <c r="Q21" s="40">
        <v>2302.0406000000003</v>
      </c>
      <c r="R21" s="40">
        <v>226.441535314178</v>
      </c>
      <c r="S21" s="40">
        <v>0</v>
      </c>
      <c r="T21" s="40">
        <v>176.01903855808979</v>
      </c>
      <c r="U21" s="40">
        <v>2.2000000000000002</v>
      </c>
      <c r="V21" s="40">
        <v>878.13569999999993</v>
      </c>
      <c r="W21" s="76">
        <f t="shared" si="0"/>
        <v>196282.29456432356</v>
      </c>
      <c r="X21" s="36"/>
      <c r="Y21" s="42">
        <v>5409.2382800000005</v>
      </c>
      <c r="Z21" s="38"/>
      <c r="AA21" s="43">
        <v>0</v>
      </c>
      <c r="AB21" s="36"/>
      <c r="AC21" s="76">
        <f t="shared" si="3"/>
        <v>201691.53284432355</v>
      </c>
      <c r="AD21" s="29"/>
      <c r="AE21" s="25"/>
      <c r="AF21" s="163"/>
      <c r="AG21" s="2"/>
      <c r="AH21" s="34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123149.9899</v>
      </c>
      <c r="C22" s="40">
        <v>26299.866853200059</v>
      </c>
      <c r="D22" s="76">
        <f t="shared" si="1"/>
        <v>149449.85675320006</v>
      </c>
      <c r="E22" s="40">
        <v>2.8416999999999999</v>
      </c>
      <c r="F22" s="76">
        <f t="shared" si="2"/>
        <v>149452.69845320005</v>
      </c>
      <c r="G22" s="40">
        <v>0</v>
      </c>
      <c r="H22" s="40">
        <v>0</v>
      </c>
      <c r="I22" s="40">
        <v>0</v>
      </c>
      <c r="J22" s="40">
        <v>1883.0066000000002</v>
      </c>
      <c r="K22" s="40">
        <v>139.7218</v>
      </c>
      <c r="L22" s="40">
        <v>0.10579350999999999</v>
      </c>
      <c r="M22" s="40">
        <v>732.77880000000005</v>
      </c>
      <c r="N22" s="40">
        <v>389.44200000000001</v>
      </c>
      <c r="O22" s="40">
        <v>728.08990000000006</v>
      </c>
      <c r="P22" s="40">
        <v>171.59402921152494</v>
      </c>
      <c r="Q22" s="40">
        <v>2704.8977</v>
      </c>
      <c r="R22" s="40">
        <v>252.58061414205051</v>
      </c>
      <c r="S22" s="40">
        <v>0</v>
      </c>
      <c r="T22" s="40">
        <v>227.67870991429052</v>
      </c>
      <c r="U22" s="40">
        <v>2.2000000000000002</v>
      </c>
      <c r="V22" s="40">
        <v>695.60040000000004</v>
      </c>
      <c r="W22" s="76">
        <f t="shared" si="0"/>
        <v>157380.39479997795</v>
      </c>
      <c r="X22" s="36"/>
      <c r="Y22" s="42">
        <v>6993.2663000000002</v>
      </c>
      <c r="Z22" s="38"/>
      <c r="AA22" s="43">
        <v>0</v>
      </c>
      <c r="AB22" s="36"/>
      <c r="AC22" s="76">
        <f t="shared" si="3"/>
        <v>164373.66109997794</v>
      </c>
      <c r="AD22" s="29"/>
      <c r="AE22" s="25"/>
      <c r="AF22" s="163"/>
      <c r="AG22" s="2"/>
      <c r="AH22" s="34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66978.2601</v>
      </c>
      <c r="C23" s="40">
        <v>11544.616878399962</v>
      </c>
      <c r="D23" s="76">
        <f t="shared" si="1"/>
        <v>78522.87697839996</v>
      </c>
      <c r="E23" s="40">
        <v>1.4499</v>
      </c>
      <c r="F23" s="76">
        <f t="shared" si="2"/>
        <v>78524.326878399967</v>
      </c>
      <c r="G23" s="40">
        <v>0</v>
      </c>
      <c r="H23" s="40">
        <v>0</v>
      </c>
      <c r="I23" s="40">
        <v>0</v>
      </c>
      <c r="J23" s="40">
        <v>989.35590000000002</v>
      </c>
      <c r="K23" s="40">
        <v>62.836799999999997</v>
      </c>
      <c r="L23" s="40">
        <v>9.3630470000000007E-2</v>
      </c>
      <c r="M23" s="40">
        <v>329.55109999999996</v>
      </c>
      <c r="N23" s="40">
        <v>204.6164</v>
      </c>
      <c r="O23" s="40">
        <v>781.37119999999993</v>
      </c>
      <c r="P23" s="40">
        <v>152.37885659552214</v>
      </c>
      <c r="Q23" s="40">
        <v>2474.6937000000003</v>
      </c>
      <c r="R23" s="40">
        <v>281.10719626351414</v>
      </c>
      <c r="S23" s="40">
        <v>0</v>
      </c>
      <c r="T23" s="40">
        <v>202.18315083306959</v>
      </c>
      <c r="U23" s="40">
        <v>2.5</v>
      </c>
      <c r="V23" s="40">
        <v>365.47490000000005</v>
      </c>
      <c r="W23" s="76">
        <f t="shared" si="0"/>
        <v>84370.489712562063</v>
      </c>
      <c r="X23" s="36"/>
      <c r="Y23" s="42">
        <v>1995.7401399999999</v>
      </c>
      <c r="Z23" s="38"/>
      <c r="AA23" s="43">
        <v>0</v>
      </c>
      <c r="AB23" s="36"/>
      <c r="AC23" s="76">
        <f t="shared" si="3"/>
        <v>86366.229852562057</v>
      </c>
      <c r="AD23" s="29"/>
      <c r="AE23" s="25"/>
      <c r="AF23" s="163"/>
      <c r="AG23" s="2"/>
      <c r="AH23" s="34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101656.0578</v>
      </c>
      <c r="C24" s="40">
        <v>12500.975673200073</v>
      </c>
      <c r="D24" s="76">
        <f t="shared" si="1"/>
        <v>114157.03347320006</v>
      </c>
      <c r="E24" s="40">
        <v>1.2167000000000001</v>
      </c>
      <c r="F24" s="76">
        <f t="shared" si="2"/>
        <v>114158.25017320007</v>
      </c>
      <c r="G24" s="40">
        <v>0</v>
      </c>
      <c r="H24" s="40">
        <v>0</v>
      </c>
      <c r="I24" s="40">
        <v>0</v>
      </c>
      <c r="J24" s="40">
        <v>1438.3316</v>
      </c>
      <c r="K24" s="40">
        <v>0</v>
      </c>
      <c r="L24" s="40">
        <v>0.10850434</v>
      </c>
      <c r="M24" s="40">
        <v>0</v>
      </c>
      <c r="N24" s="40">
        <v>297.48200000000003</v>
      </c>
      <c r="O24" s="40">
        <v>620.94419999999991</v>
      </c>
      <c r="P24" s="40">
        <v>141.58723380861272</v>
      </c>
      <c r="Q24" s="40">
        <v>2589.7957000000001</v>
      </c>
      <c r="R24" s="40">
        <v>302.37013675647989</v>
      </c>
      <c r="S24" s="40">
        <v>0</v>
      </c>
      <c r="T24" s="40">
        <v>187.86433819128428</v>
      </c>
      <c r="U24" s="40">
        <v>2.5</v>
      </c>
      <c r="V24" s="40">
        <v>531.34640000000002</v>
      </c>
      <c r="W24" s="76">
        <f t="shared" si="0"/>
        <v>120270.58028629645</v>
      </c>
      <c r="X24" s="36"/>
      <c r="Y24" s="42">
        <v>1928.6341</v>
      </c>
      <c r="Z24" s="38"/>
      <c r="AA24" s="43">
        <v>0</v>
      </c>
      <c r="AB24" s="36"/>
      <c r="AC24" s="76">
        <f t="shared" si="3"/>
        <v>122199.21438629644</v>
      </c>
      <c r="AD24" s="29"/>
      <c r="AE24" s="25"/>
      <c r="AF24" s="163"/>
      <c r="AG24" s="2"/>
      <c r="AH24" s="34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147182.56400000001</v>
      </c>
      <c r="C25" s="40">
        <v>26231.555510799924</v>
      </c>
      <c r="D25" s="76">
        <f t="shared" si="1"/>
        <v>173414.11951079994</v>
      </c>
      <c r="E25" s="40">
        <v>3.3167</v>
      </c>
      <c r="F25" s="76">
        <f t="shared" si="2"/>
        <v>173417.43621079993</v>
      </c>
      <c r="G25" s="40">
        <v>0</v>
      </c>
      <c r="H25" s="40">
        <v>0</v>
      </c>
      <c r="I25" s="40">
        <v>0</v>
      </c>
      <c r="J25" s="40">
        <v>2184.9463999999998</v>
      </c>
      <c r="K25" s="40">
        <v>0</v>
      </c>
      <c r="L25" s="40">
        <v>0.14395907999999999</v>
      </c>
      <c r="M25" s="40">
        <v>0</v>
      </c>
      <c r="N25" s="40">
        <v>451.90050000000002</v>
      </c>
      <c r="O25" s="40">
        <v>764.58839999999998</v>
      </c>
      <c r="P25" s="40">
        <v>144.84976272744305</v>
      </c>
      <c r="Q25" s="40">
        <v>2302.0406000000003</v>
      </c>
      <c r="R25" s="40">
        <v>348.19323816386907</v>
      </c>
      <c r="S25" s="40">
        <v>0</v>
      </c>
      <c r="T25" s="40">
        <v>192.19320894494251</v>
      </c>
      <c r="U25" s="40">
        <v>2.5</v>
      </c>
      <c r="V25" s="40">
        <v>807.16039999999998</v>
      </c>
      <c r="W25" s="76">
        <f t="shared" si="0"/>
        <v>180615.95267971617</v>
      </c>
      <c r="X25" s="36"/>
      <c r="Y25" s="42">
        <v>9795.8422200000005</v>
      </c>
      <c r="Z25" s="38"/>
      <c r="AA25" s="43">
        <v>0</v>
      </c>
      <c r="AB25" s="36"/>
      <c r="AC25" s="76">
        <f t="shared" si="3"/>
        <v>190411.79489971616</v>
      </c>
      <c r="AD25" s="29"/>
      <c r="AE25" s="25"/>
      <c r="AF25" s="163"/>
      <c r="AG25" s="2"/>
      <c r="AH25" s="34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135789.42069999999</v>
      </c>
      <c r="C26" s="40">
        <v>17146.146961400147</v>
      </c>
      <c r="D26" s="76">
        <f t="shared" si="1"/>
        <v>152935.56766140013</v>
      </c>
      <c r="E26" s="40">
        <v>2.5083000000000002</v>
      </c>
      <c r="F26" s="76">
        <f t="shared" si="2"/>
        <v>152938.07596140011</v>
      </c>
      <c r="G26" s="40">
        <v>0</v>
      </c>
      <c r="H26" s="40">
        <v>0</v>
      </c>
      <c r="I26" s="40">
        <v>0</v>
      </c>
      <c r="J26" s="40">
        <v>1926.9251000000002</v>
      </c>
      <c r="K26" s="40">
        <v>0</v>
      </c>
      <c r="L26" s="40">
        <v>8.1360420000000003E-2</v>
      </c>
      <c r="M26" s="40">
        <v>0</v>
      </c>
      <c r="N26" s="40">
        <v>398.53320000000002</v>
      </c>
      <c r="O26" s="40">
        <v>560.34519999999998</v>
      </c>
      <c r="P26" s="40">
        <v>134.19225790901498</v>
      </c>
      <c r="Q26" s="40">
        <v>2100.6121000000003</v>
      </c>
      <c r="R26" s="40">
        <v>225.15601210153258</v>
      </c>
      <c r="S26" s="40">
        <v>0</v>
      </c>
      <c r="T26" s="40">
        <v>178.0523500879018</v>
      </c>
      <c r="U26" s="40">
        <v>2.2000000000000002</v>
      </c>
      <c r="V26" s="40">
        <v>711.83849999999995</v>
      </c>
      <c r="W26" s="76">
        <f t="shared" si="0"/>
        <v>159176.01204191861</v>
      </c>
      <c r="X26" s="36"/>
      <c r="Y26" s="42">
        <v>2440.02394</v>
      </c>
      <c r="Z26" s="38"/>
      <c r="AA26" s="43">
        <v>0</v>
      </c>
      <c r="AB26" s="36"/>
      <c r="AC26" s="76">
        <f t="shared" si="3"/>
        <v>161616.03598191863</v>
      </c>
      <c r="AD26" s="29"/>
      <c r="AE26" s="25"/>
      <c r="AF26" s="163"/>
      <c r="AG26" s="2"/>
      <c r="AH26" s="3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93359.042099999991</v>
      </c>
      <c r="C27" s="40">
        <v>9905.1446589999377</v>
      </c>
      <c r="D27" s="76">
        <f t="shared" si="1"/>
        <v>103264.18675899993</v>
      </c>
      <c r="E27" s="40">
        <v>1.5751000000000002</v>
      </c>
      <c r="F27" s="76">
        <f t="shared" si="2"/>
        <v>103265.76185899993</v>
      </c>
      <c r="G27" s="40">
        <v>0</v>
      </c>
      <c r="H27" s="40">
        <v>0</v>
      </c>
      <c r="I27" s="40">
        <v>0</v>
      </c>
      <c r="J27" s="40">
        <v>1301.0862</v>
      </c>
      <c r="K27" s="40">
        <v>0</v>
      </c>
      <c r="L27" s="40">
        <v>6.7306930000000001E-2</v>
      </c>
      <c r="M27" s="40">
        <v>0</v>
      </c>
      <c r="N27" s="40">
        <v>269.08850000000001</v>
      </c>
      <c r="O27" s="40">
        <v>474.5376</v>
      </c>
      <c r="P27" s="40">
        <v>131.45779749519494</v>
      </c>
      <c r="Q27" s="40">
        <v>2100.6121000000003</v>
      </c>
      <c r="R27" s="40">
        <v>258.60815974890619</v>
      </c>
      <c r="S27" s="40">
        <v>0</v>
      </c>
      <c r="T27" s="40">
        <v>174.42414448535075</v>
      </c>
      <c r="U27" s="40">
        <v>2.2000000000000002</v>
      </c>
      <c r="V27" s="40">
        <v>480.63150000000002</v>
      </c>
      <c r="W27" s="76">
        <f t="shared" si="0"/>
        <v>108458.47516765939</v>
      </c>
      <c r="X27" s="36"/>
      <c r="Y27" s="42">
        <v>0</v>
      </c>
      <c r="Z27" s="38"/>
      <c r="AA27" s="43">
        <v>0</v>
      </c>
      <c r="AB27" s="36"/>
      <c r="AC27" s="76">
        <f t="shared" si="3"/>
        <v>108458.47516765939</v>
      </c>
      <c r="AD27" s="29"/>
      <c r="AE27" s="25"/>
      <c r="AF27" s="163"/>
      <c r="AG27" s="2"/>
      <c r="AH27" s="34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66223.170400000003</v>
      </c>
      <c r="C28" s="40">
        <v>5328.284713199997</v>
      </c>
      <c r="D28" s="76">
        <f t="shared" si="1"/>
        <v>71551.455113200005</v>
      </c>
      <c r="E28" s="40">
        <v>0.70829999999999993</v>
      </c>
      <c r="F28" s="76">
        <f t="shared" si="2"/>
        <v>71552.163413200004</v>
      </c>
      <c r="G28" s="40">
        <v>0</v>
      </c>
      <c r="H28" s="40">
        <v>0</v>
      </c>
      <c r="I28" s="40">
        <v>0</v>
      </c>
      <c r="J28" s="40">
        <v>901.51880000000006</v>
      </c>
      <c r="K28" s="40">
        <v>81.474999999999994</v>
      </c>
      <c r="L28" s="40">
        <v>6.7378270000000004E-2</v>
      </c>
      <c r="M28" s="40">
        <v>427.3</v>
      </c>
      <c r="N28" s="40">
        <v>186.458</v>
      </c>
      <c r="O28" s="40">
        <v>501.55770000000001</v>
      </c>
      <c r="P28" s="40">
        <v>184.96851539368404</v>
      </c>
      <c r="Q28" s="40">
        <v>1841.6324999999999</v>
      </c>
      <c r="R28" s="40">
        <v>475.11755722771812</v>
      </c>
      <c r="S28" s="40">
        <v>0</v>
      </c>
      <c r="T28" s="40">
        <v>245.42458240415934</v>
      </c>
      <c r="U28" s="40">
        <v>3</v>
      </c>
      <c r="V28" s="40">
        <v>333.0412</v>
      </c>
      <c r="W28" s="76">
        <f t="shared" si="0"/>
        <v>76733.724646495597</v>
      </c>
      <c r="X28" s="36"/>
      <c r="Y28" s="42">
        <v>412.34090000000003</v>
      </c>
      <c r="Z28" s="38"/>
      <c r="AA28" s="43">
        <v>0</v>
      </c>
      <c r="AB28" s="36"/>
      <c r="AC28" s="76">
        <f t="shared" si="3"/>
        <v>77146.065546495593</v>
      </c>
      <c r="AD28" s="29"/>
      <c r="AE28" s="25"/>
      <c r="AF28" s="163"/>
      <c r="AG28" s="2"/>
      <c r="AH28" s="34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366632.97200000001</v>
      </c>
      <c r="C29" s="40">
        <v>45563.66543140015</v>
      </c>
      <c r="D29" s="76">
        <f t="shared" si="1"/>
        <v>412196.63743140013</v>
      </c>
      <c r="E29" s="40">
        <v>11.290799999999999</v>
      </c>
      <c r="F29" s="76">
        <f t="shared" si="2"/>
        <v>412207.92823140015</v>
      </c>
      <c r="G29" s="40">
        <v>0</v>
      </c>
      <c r="H29" s="40">
        <v>0</v>
      </c>
      <c r="I29" s="40">
        <v>0</v>
      </c>
      <c r="J29" s="40">
        <v>5193.2251999999999</v>
      </c>
      <c r="K29" s="40">
        <v>1120.1220000000001</v>
      </c>
      <c r="L29" s="40">
        <v>0.27842920000000004</v>
      </c>
      <c r="M29" s="40">
        <v>5876.0551999999989</v>
      </c>
      <c r="N29" s="40">
        <v>1074.9463000000001</v>
      </c>
      <c r="O29" s="40">
        <v>2227.1208999999999</v>
      </c>
      <c r="P29" s="40">
        <v>116.54650086873703</v>
      </c>
      <c r="Q29" s="40">
        <v>3317.2975000000001</v>
      </c>
      <c r="R29" s="40">
        <v>185.38396665997595</v>
      </c>
      <c r="S29" s="40">
        <v>0</v>
      </c>
      <c r="T29" s="40">
        <v>154.63916248330381</v>
      </c>
      <c r="U29" s="40">
        <v>0.5</v>
      </c>
      <c r="V29" s="40">
        <v>1918.4558</v>
      </c>
      <c r="W29" s="76">
        <f t="shared" si="0"/>
        <v>433392.49919061206</v>
      </c>
      <c r="X29" s="36"/>
      <c r="Y29" s="42">
        <v>6153.37878</v>
      </c>
      <c r="Z29" s="38"/>
      <c r="AA29" s="43">
        <v>0</v>
      </c>
      <c r="AB29" s="36"/>
      <c r="AC29" s="76">
        <f t="shared" si="3"/>
        <v>439545.87797061208</v>
      </c>
      <c r="AD29" s="29"/>
      <c r="AE29" s="25"/>
      <c r="AF29" s="163"/>
      <c r="AG29" s="2"/>
      <c r="AH29" s="34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164310.19500000001</v>
      </c>
      <c r="C30" s="40">
        <v>22611.054359599915</v>
      </c>
      <c r="D30" s="76">
        <f t="shared" si="1"/>
        <v>186921.24935959993</v>
      </c>
      <c r="E30" s="40">
        <v>2.6333000000000002</v>
      </c>
      <c r="F30" s="76">
        <f t="shared" si="2"/>
        <v>186923.88265959991</v>
      </c>
      <c r="G30" s="40">
        <v>0</v>
      </c>
      <c r="H30" s="40">
        <v>0</v>
      </c>
      <c r="I30" s="40">
        <v>0</v>
      </c>
      <c r="J30" s="40">
        <v>2355.1307000000002</v>
      </c>
      <c r="K30" s="40">
        <v>0</v>
      </c>
      <c r="L30" s="40">
        <v>0.13564826000000002</v>
      </c>
      <c r="M30" s="40">
        <v>0</v>
      </c>
      <c r="N30" s="40">
        <v>487.09740000000005</v>
      </c>
      <c r="O30" s="40">
        <v>1000.691</v>
      </c>
      <c r="P30" s="40">
        <v>155.39331767689552</v>
      </c>
      <c r="Q30" s="40">
        <v>2474.6937000000003</v>
      </c>
      <c r="R30" s="40">
        <v>286.58514234141307</v>
      </c>
      <c r="S30" s="40">
        <v>0</v>
      </c>
      <c r="T30" s="40">
        <v>206.18287398050242</v>
      </c>
      <c r="U30" s="40">
        <v>2.2000000000000002</v>
      </c>
      <c r="V30" s="40">
        <v>870.02730000000008</v>
      </c>
      <c r="W30" s="76">
        <f t="shared" si="0"/>
        <v>194762.01974185873</v>
      </c>
      <c r="X30" s="36"/>
      <c r="Y30" s="42">
        <v>6212.6223399999999</v>
      </c>
      <c r="Z30" s="38"/>
      <c r="AA30" s="43">
        <v>0</v>
      </c>
      <c r="AB30" s="36"/>
      <c r="AC30" s="76">
        <f t="shared" si="3"/>
        <v>200974.64208185874</v>
      </c>
      <c r="AD30" s="29"/>
      <c r="AE30" s="25"/>
      <c r="AF30" s="163"/>
      <c r="AG30" s="2"/>
      <c r="AH30" s="3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186961.755</v>
      </c>
      <c r="C31" s="40">
        <v>28280.895785000001</v>
      </c>
      <c r="D31" s="76">
        <f t="shared" si="1"/>
        <v>215242.65078500001</v>
      </c>
      <c r="E31" s="40">
        <v>4.6500000000000004</v>
      </c>
      <c r="F31" s="76">
        <f t="shared" si="2"/>
        <v>215247.300785</v>
      </c>
      <c r="G31" s="40">
        <v>0</v>
      </c>
      <c r="H31" s="40">
        <v>0</v>
      </c>
      <c r="I31" s="40">
        <v>0</v>
      </c>
      <c r="J31" s="40">
        <v>2711.9687000000004</v>
      </c>
      <c r="K31" s="40">
        <v>0</v>
      </c>
      <c r="L31" s="40">
        <v>0.12312853</v>
      </c>
      <c r="M31" s="40">
        <v>0</v>
      </c>
      <c r="N31" s="40">
        <v>560.899</v>
      </c>
      <c r="O31" s="40">
        <v>743.78909999999996</v>
      </c>
      <c r="P31" s="40">
        <v>119.68667655557823</v>
      </c>
      <c r="Q31" s="40">
        <v>2417.1427000000003</v>
      </c>
      <c r="R31" s="40">
        <v>244.39826283973909</v>
      </c>
      <c r="S31" s="40">
        <v>0</v>
      </c>
      <c r="T31" s="40">
        <v>158.80568942812664</v>
      </c>
      <c r="U31" s="40">
        <v>2.2000000000000002</v>
      </c>
      <c r="V31" s="40">
        <v>1001.8475999999999</v>
      </c>
      <c r="W31" s="76">
        <f t="shared" si="0"/>
        <v>223208.16164235343</v>
      </c>
      <c r="X31" s="36"/>
      <c r="Y31" s="42">
        <v>9844.6720000000005</v>
      </c>
      <c r="Z31" s="38"/>
      <c r="AA31" s="43">
        <v>0</v>
      </c>
      <c r="AB31" s="36"/>
      <c r="AC31" s="76">
        <f t="shared" si="3"/>
        <v>233052.83364235342</v>
      </c>
      <c r="AD31" s="29"/>
      <c r="AE31" s="25"/>
      <c r="AF31" s="163"/>
      <c r="AG31" s="2"/>
      <c r="AH31" s="34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53203.913</v>
      </c>
      <c r="C32" s="40">
        <v>2595.8310140000153</v>
      </c>
      <c r="D32" s="76">
        <f t="shared" si="1"/>
        <v>55799.744014000018</v>
      </c>
      <c r="E32" s="40">
        <v>1</v>
      </c>
      <c r="F32" s="76">
        <f t="shared" si="2"/>
        <v>55800.744014000018</v>
      </c>
      <c r="G32" s="40">
        <v>0</v>
      </c>
      <c r="H32" s="40">
        <v>0</v>
      </c>
      <c r="I32" s="40">
        <v>0</v>
      </c>
      <c r="J32" s="40">
        <v>703.04989999999998</v>
      </c>
      <c r="K32" s="40">
        <v>7.2270000000000003</v>
      </c>
      <c r="L32" s="40">
        <v>3.2156750000000005E-2</v>
      </c>
      <c r="M32" s="40">
        <v>37.902300000000004</v>
      </c>
      <c r="N32" s="40">
        <v>145.41079999999999</v>
      </c>
      <c r="O32" s="40">
        <v>409.6499</v>
      </c>
      <c r="P32" s="40">
        <v>136.02453126286898</v>
      </c>
      <c r="Q32" s="40">
        <v>1525.1018999999999</v>
      </c>
      <c r="R32" s="40">
        <v>180.57910301070447</v>
      </c>
      <c r="S32" s="40">
        <v>0</v>
      </c>
      <c r="T32" s="40">
        <v>180.48349313757791</v>
      </c>
      <c r="U32" s="40">
        <v>3</v>
      </c>
      <c r="V32" s="40">
        <v>259.72489999999999</v>
      </c>
      <c r="W32" s="76">
        <f t="shared" si="0"/>
        <v>59388.929998161169</v>
      </c>
      <c r="X32" s="36"/>
      <c r="Y32" s="42">
        <v>157.09415124999998</v>
      </c>
      <c r="Z32" s="38"/>
      <c r="AA32" s="37">
        <v>0</v>
      </c>
      <c r="AB32" s="36"/>
      <c r="AC32" s="76">
        <f t="shared" si="3"/>
        <v>59546.024149411169</v>
      </c>
      <c r="AD32" s="29"/>
      <c r="AE32" s="25"/>
      <c r="AF32" s="163"/>
      <c r="AG32" s="2"/>
      <c r="AH32" s="34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>SUM(B10:B32)</f>
        <v>3934210.1003000005</v>
      </c>
      <c r="C33" s="79">
        <f>SUM(C10:C32)</f>
        <v>647659.83801479859</v>
      </c>
      <c r="D33" s="79">
        <f>SUM(D10:D32)</f>
        <v>4581869.9383147983</v>
      </c>
      <c r="E33" s="79">
        <f t="shared" ref="E33:W33" si="4">SUM(E10:E32)</f>
        <v>107.0158</v>
      </c>
      <c r="F33" s="79">
        <f>SUM(F10:F32)</f>
        <v>4581976.9541147985</v>
      </c>
      <c r="G33" s="79">
        <f t="shared" si="4"/>
        <v>0</v>
      </c>
      <c r="H33" s="79">
        <f t="shared" si="4"/>
        <v>0</v>
      </c>
      <c r="I33" s="79">
        <f t="shared" si="4"/>
        <v>0</v>
      </c>
      <c r="J33" s="79">
        <f t="shared" si="4"/>
        <v>57729.326599999993</v>
      </c>
      <c r="K33" s="79">
        <f t="shared" si="4"/>
        <v>6739.4367000000002</v>
      </c>
      <c r="L33" s="79">
        <f t="shared" si="4"/>
        <v>3.605681909999999</v>
      </c>
      <c r="M33" s="79">
        <f t="shared" si="4"/>
        <v>35346.976999999999</v>
      </c>
      <c r="N33" s="79">
        <f t="shared" si="4"/>
        <v>11940.757399999999</v>
      </c>
      <c r="O33" s="79">
        <f t="shared" si="4"/>
        <v>23887.053799999998</v>
      </c>
      <c r="P33" s="79">
        <f t="shared" si="4"/>
        <v>3361.3526821300002</v>
      </c>
      <c r="Q33" s="79">
        <f t="shared" si="4"/>
        <v>56891.761900000005</v>
      </c>
      <c r="R33" s="79">
        <f>SUM(R10:R32)</f>
        <v>6688.6007477700005</v>
      </c>
      <c r="S33" s="79">
        <f t="shared" si="4"/>
        <v>0</v>
      </c>
      <c r="T33" s="79">
        <f t="shared" si="4"/>
        <v>4459.9945917699997</v>
      </c>
      <c r="U33" s="79">
        <f t="shared" si="4"/>
        <v>45.800000000000004</v>
      </c>
      <c r="V33" s="79">
        <f t="shared" si="4"/>
        <v>21326.0566</v>
      </c>
      <c r="W33" s="79">
        <f t="shared" si="4"/>
        <v>4810397.6778183775</v>
      </c>
      <c r="X33" s="47"/>
      <c r="Y33" s="78">
        <f>SUM(Y10:Y32)</f>
        <v>204956.14067124994</v>
      </c>
      <c r="Z33" s="38"/>
      <c r="AA33" s="110">
        <f>SUM(AA10:AA32)</f>
        <v>0</v>
      </c>
      <c r="AB33" s="46"/>
      <c r="AC33" s="77">
        <f>SUM(AC10:AC32)</f>
        <v>5015353.8184896279</v>
      </c>
      <c r="AD33" s="29"/>
      <c r="AE33" s="25"/>
      <c r="AF33" s="163"/>
      <c r="AG33" s="46"/>
      <c r="AH33" s="34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76092.419500000004</v>
      </c>
      <c r="C34" s="40">
        <v>35509.068542710003</v>
      </c>
      <c r="D34" s="76">
        <f>B34+C34</f>
        <v>111601.48804271</v>
      </c>
      <c r="E34" s="40">
        <v>0</v>
      </c>
      <c r="F34" s="76">
        <f>D34+E34</f>
        <v>111601.48804271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0.11715813</v>
      </c>
      <c r="M34" s="40">
        <v>0</v>
      </c>
      <c r="N34" s="40">
        <v>0</v>
      </c>
      <c r="O34" s="40">
        <v>0</v>
      </c>
      <c r="P34" s="40">
        <v>0</v>
      </c>
      <c r="Q34" s="40">
        <v>748.16319999999996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112349.76840084</v>
      </c>
      <c r="X34" s="36"/>
      <c r="Y34" s="42"/>
      <c r="Z34" s="38"/>
      <c r="AA34" s="109">
        <v>0</v>
      </c>
      <c r="AB34" s="36"/>
      <c r="AC34" s="76">
        <f>+W34+Y34+AA34</f>
        <v>112349.76840084</v>
      </c>
      <c r="AD34" s="29"/>
      <c r="AE34" s="25"/>
      <c r="AF34" s="163"/>
      <c r="AG34" s="2"/>
      <c r="AH34" s="34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 t="shared" si="3"/>
        <v>0</v>
      </c>
      <c r="AD35" s="29"/>
      <c r="AF35" s="163"/>
      <c r="AG35" s="2"/>
      <c r="AH35" s="34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3207745.6273000003</v>
      </c>
      <c r="C36" s="40">
        <v>0</v>
      </c>
      <c r="D36" s="76">
        <f>B36+C36</f>
        <v>3207745.6273000003</v>
      </c>
      <c r="E36" s="40">
        <v>0</v>
      </c>
      <c r="F36" s="76">
        <f>D36+E36</f>
        <v>3207745.6273000003</v>
      </c>
      <c r="G36" s="40">
        <v>0</v>
      </c>
      <c r="H36" s="40">
        <v>0</v>
      </c>
      <c r="I36" s="40">
        <v>0</v>
      </c>
      <c r="J36" s="40">
        <v>41821.423600000002</v>
      </c>
      <c r="K36" s="40">
        <v>0</v>
      </c>
      <c r="L36" s="40">
        <v>1.8057697000000001</v>
      </c>
      <c r="M36" s="40">
        <v>0</v>
      </c>
      <c r="N36" s="40">
        <v>0</v>
      </c>
      <c r="O36" s="40">
        <v>39716.693100000004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3289285.5497697</v>
      </c>
      <c r="X36" s="36"/>
      <c r="Y36" s="42">
        <f>-SUM(Y33)</f>
        <v>-204956.14067124994</v>
      </c>
      <c r="Z36" s="38"/>
      <c r="AA36" s="43">
        <f>-(AA33+AA34)</f>
        <v>0</v>
      </c>
      <c r="AB36" s="36"/>
      <c r="AC36" s="76">
        <f>+W36+Y36+AA36</f>
        <v>3084329.4090984501</v>
      </c>
      <c r="AD36" s="29"/>
      <c r="AE36" s="25"/>
      <c r="AF36" s="163"/>
      <c r="AG36" s="2"/>
      <c r="AH36" s="3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526740.48470000003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49657.875399999997</v>
      </c>
      <c r="W37" s="76">
        <f>SUM(F37:V37)</f>
        <v>576398.36010000005</v>
      </c>
      <c r="X37" s="36"/>
      <c r="Y37" s="42"/>
      <c r="Z37" s="38"/>
      <c r="AA37" s="43"/>
      <c r="AB37" s="36"/>
      <c r="AC37" s="76">
        <f t="shared" si="3"/>
        <v>576398.36010000005</v>
      </c>
      <c r="AD37" s="29"/>
      <c r="AE37" s="25"/>
      <c r="AF37" s="163"/>
      <c r="AG37" s="2"/>
      <c r="AH37" s="34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79715.348599999998</v>
      </c>
      <c r="C38" s="39">
        <v>0</v>
      </c>
      <c r="D38" s="76">
        <f>B38+C38</f>
        <v>79715.348599999998</v>
      </c>
      <c r="E38" s="39">
        <v>0</v>
      </c>
      <c r="F38" s="76">
        <f>D38+E38</f>
        <v>79715.348599999998</v>
      </c>
      <c r="G38" s="39">
        <v>0</v>
      </c>
      <c r="H38" s="39">
        <v>0</v>
      </c>
      <c r="I38" s="39">
        <v>0</v>
      </c>
      <c r="J38" s="39">
        <v>1004.357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80719.705600000001</v>
      </c>
      <c r="X38" s="36"/>
      <c r="Y38" s="35"/>
      <c r="Z38" s="38"/>
      <c r="AA38" s="37"/>
      <c r="AB38" s="36"/>
      <c r="AC38" s="75">
        <f t="shared" si="3"/>
        <v>80719.705600000001</v>
      </c>
      <c r="AD38" s="29"/>
      <c r="AE38" s="25"/>
      <c r="AF38" s="163"/>
      <c r="AG38" s="2"/>
      <c r="AH38" s="3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27" customFormat="1" ht="20.100000000000001" customHeight="1" x14ac:dyDescent="0.2">
      <c r="A39" s="74" t="s">
        <v>15</v>
      </c>
      <c r="B39" s="73">
        <f>+SUM(B33:B38)</f>
        <v>7297809.2957000006</v>
      </c>
      <c r="C39" s="73">
        <f>+SUM(C33:C38)</f>
        <v>683168.90655750863</v>
      </c>
      <c r="D39" s="73">
        <f>+SUM(D33:D38)</f>
        <v>7980978.2022575084</v>
      </c>
      <c r="E39" s="73">
        <f t="shared" ref="E39:V39" si="5">+SUM(E33:E38)</f>
        <v>107.0158</v>
      </c>
      <c r="F39" s="73">
        <f>SUM(F33:F38)</f>
        <v>7981085.2180575095</v>
      </c>
      <c r="G39" s="73">
        <f t="shared" si="5"/>
        <v>0</v>
      </c>
      <c r="H39" s="73">
        <f t="shared" si="5"/>
        <v>0</v>
      </c>
      <c r="I39" s="73">
        <f t="shared" si="5"/>
        <v>0</v>
      </c>
      <c r="J39" s="73">
        <f t="shared" si="5"/>
        <v>100555.1072</v>
      </c>
      <c r="K39" s="73">
        <f t="shared" si="5"/>
        <v>6739.4367000000002</v>
      </c>
      <c r="L39" s="73">
        <f t="shared" si="5"/>
        <v>5.5286097399999994</v>
      </c>
      <c r="M39" s="73">
        <f t="shared" si="5"/>
        <v>562087.46169999999</v>
      </c>
      <c r="N39" s="73">
        <f t="shared" si="5"/>
        <v>11940.757399999999</v>
      </c>
      <c r="O39" s="73">
        <f t="shared" si="5"/>
        <v>63603.746899999998</v>
      </c>
      <c r="P39" s="73">
        <f t="shared" si="5"/>
        <v>3361.3526821300002</v>
      </c>
      <c r="Q39" s="73">
        <f t="shared" si="5"/>
        <v>57639.925100000008</v>
      </c>
      <c r="R39" s="73">
        <f t="shared" si="5"/>
        <v>6688.6007477700005</v>
      </c>
      <c r="S39" s="73">
        <f t="shared" si="5"/>
        <v>0</v>
      </c>
      <c r="T39" s="73">
        <f t="shared" si="5"/>
        <v>4459.9945917699997</v>
      </c>
      <c r="U39" s="73">
        <f t="shared" si="5"/>
        <v>45.800000000000004</v>
      </c>
      <c r="V39" s="73">
        <f t="shared" si="5"/>
        <v>70983.932000000001</v>
      </c>
      <c r="W39" s="73">
        <f>+SUM(W33:W38)</f>
        <v>8869151.0616889168</v>
      </c>
      <c r="X39" s="33"/>
      <c r="Y39" s="32">
        <f>+SUM(Y33:Y38)</f>
        <v>0</v>
      </c>
      <c r="Z39" s="31"/>
      <c r="AA39" s="111"/>
      <c r="AB39" s="30"/>
      <c r="AC39" s="72">
        <f>+SUM(AC33:AC38)</f>
        <v>8869151.0616889186</v>
      </c>
      <c r="AD39" s="29"/>
      <c r="AE39" s="25"/>
      <c r="AF39" s="163"/>
      <c r="AG39" s="28"/>
      <c r="AH39" s="20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1:52" ht="15" customHeight="1" x14ac:dyDescent="0.2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5"/>
      <c r="S40" s="164"/>
      <c r="T40" s="165"/>
      <c r="U40" s="164"/>
      <c r="V40" s="164"/>
      <c r="W40" s="164"/>
      <c r="X40" s="166"/>
      <c r="Y40" s="166"/>
      <c r="Z40" s="166"/>
      <c r="AA40" s="166"/>
      <c r="AB40" s="166"/>
      <c r="AC40" s="166"/>
      <c r="AD40" s="164"/>
      <c r="AF40" s="164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A41" s="164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4"/>
      <c r="AF41" s="164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64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3"/>
      <c r="Y42" s="163"/>
      <c r="Z42" s="163"/>
      <c r="AA42" s="163"/>
      <c r="AB42" s="163"/>
      <c r="AC42" s="163"/>
      <c r="AD42" s="164"/>
      <c r="AF42" s="164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2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F43" s="164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6" customFormat="1" ht="15" customHeight="1" x14ac:dyDescent="0.2">
      <c r="A44" s="23" t="s">
        <v>14</v>
      </c>
      <c r="B44" s="22"/>
      <c r="C44" s="22"/>
      <c r="D44" s="21"/>
      <c r="E44" s="17">
        <v>3127656.6430000002</v>
      </c>
      <c r="F44" s="170"/>
      <c r="J44" s="4" t="s">
        <v>13</v>
      </c>
      <c r="K44" s="7" t="s">
        <v>12</v>
      </c>
      <c r="W44" s="20"/>
      <c r="AD44" s="7"/>
      <c r="AE44" s="7"/>
      <c r="AF44" s="171"/>
    </row>
    <row r="45" spans="1:52" s="6" customFormat="1" ht="15" customHeight="1" x14ac:dyDescent="0.2">
      <c r="A45" s="187" t="s">
        <v>11</v>
      </c>
      <c r="B45" s="188"/>
      <c r="C45" s="188"/>
      <c r="D45" s="18"/>
      <c r="E45" s="17">
        <v>4546811.3556000004</v>
      </c>
      <c r="F45" s="170"/>
      <c r="K45" s="7" t="s">
        <v>10</v>
      </c>
      <c r="W45" s="4"/>
      <c r="Y45" s="4"/>
      <c r="AA45" s="4"/>
      <c r="AC45" s="4"/>
      <c r="AD45" s="7"/>
      <c r="AE45" s="7"/>
      <c r="AF45" s="171"/>
    </row>
    <row r="46" spans="1:52" s="6" customFormat="1" ht="15" hidden="1" customHeight="1" x14ac:dyDescent="0.2">
      <c r="A46" s="233"/>
      <c r="B46" s="234"/>
      <c r="C46" s="234"/>
      <c r="D46" s="18"/>
      <c r="E46" s="17"/>
      <c r="F46" s="170"/>
      <c r="K46" s="6" t="s">
        <v>9</v>
      </c>
      <c r="AD46" s="7"/>
      <c r="AE46" s="7"/>
      <c r="AF46" s="171"/>
    </row>
    <row r="47" spans="1:52" s="6" customFormat="1" ht="15" customHeight="1" x14ac:dyDescent="0.2">
      <c r="A47" s="19" t="s">
        <v>8</v>
      </c>
      <c r="B47" s="188"/>
      <c r="C47" s="188"/>
      <c r="D47" s="18"/>
      <c r="E47" s="17">
        <v>271707.27600000001</v>
      </c>
      <c r="F47" s="170"/>
      <c r="K47" s="7" t="s">
        <v>7</v>
      </c>
      <c r="AD47" s="7"/>
      <c r="AE47" s="7"/>
      <c r="AF47" s="171"/>
    </row>
    <row r="48" spans="1:52" s="6" customFormat="1" ht="15" customHeight="1" x14ac:dyDescent="0.2">
      <c r="A48" s="19" t="s">
        <v>6</v>
      </c>
      <c r="B48" s="188"/>
      <c r="C48" s="188"/>
      <c r="D48" s="18"/>
      <c r="E48" s="17">
        <v>290.24700000000001</v>
      </c>
      <c r="F48" s="170"/>
      <c r="K48" s="7" t="s">
        <v>118</v>
      </c>
      <c r="AD48" s="7"/>
      <c r="AE48" s="7"/>
      <c r="AF48" s="171"/>
    </row>
    <row r="49" spans="1:52" s="6" customFormat="1" ht="15" customHeight="1" x14ac:dyDescent="0.2">
      <c r="A49" s="187" t="s">
        <v>5</v>
      </c>
      <c r="B49" s="188"/>
      <c r="C49" s="188"/>
      <c r="D49" s="18"/>
      <c r="E49" s="17">
        <v>8124.6404000000002</v>
      </c>
      <c r="F49" s="170"/>
      <c r="AD49" s="7"/>
      <c r="AE49" s="7"/>
      <c r="AF49" s="171"/>
    </row>
    <row r="50" spans="1:52" s="6" customFormat="1" ht="15" customHeight="1" x14ac:dyDescent="0.2">
      <c r="A50" s="187" t="s">
        <v>4</v>
      </c>
      <c r="B50" s="188"/>
      <c r="C50" s="188"/>
      <c r="D50" s="18"/>
      <c r="E50" s="17">
        <v>16990.497199999998</v>
      </c>
      <c r="F50" s="170"/>
      <c r="AF50" s="172"/>
    </row>
    <row r="51" spans="1:52" s="6" customFormat="1" ht="15" customHeight="1" x14ac:dyDescent="0.2">
      <c r="A51" s="19" t="s">
        <v>3</v>
      </c>
      <c r="B51" s="188"/>
      <c r="C51" s="188"/>
      <c r="D51" s="18"/>
      <c r="E51" s="17">
        <v>9504.5588575086585</v>
      </c>
      <c r="F51" s="170"/>
      <c r="AF51" s="172"/>
    </row>
    <row r="52" spans="1:52" s="70" customFormat="1" ht="20.100000000000001" customHeight="1" x14ac:dyDescent="0.2">
      <c r="A52" s="237" t="s">
        <v>100</v>
      </c>
      <c r="B52" s="238"/>
      <c r="C52" s="238"/>
      <c r="D52" s="112"/>
      <c r="E52" s="71">
        <f>SUM(E44:E51)</f>
        <v>7981085.2180575095</v>
      </c>
      <c r="F52" s="173"/>
      <c r="AF52" s="174"/>
    </row>
    <row r="53" spans="1:52" s="6" customFormat="1" ht="15" customHeight="1" x14ac:dyDescent="0.2">
      <c r="A53" s="233"/>
      <c r="B53" s="234"/>
      <c r="C53" s="234"/>
      <c r="D53" s="18"/>
      <c r="E53" s="17">
        <v>0</v>
      </c>
      <c r="F53" s="170"/>
      <c r="AF53" s="172"/>
    </row>
    <row r="54" spans="1:52" s="6" customFormat="1" ht="15" customHeight="1" x14ac:dyDescent="0.2">
      <c r="A54" s="233" t="s">
        <v>2</v>
      </c>
      <c r="B54" s="234"/>
      <c r="C54" s="234"/>
      <c r="D54" s="18"/>
      <c r="E54" s="17">
        <v>45.8</v>
      </c>
      <c r="F54" s="170"/>
      <c r="P54" s="190"/>
      <c r="R54" s="190"/>
      <c r="T54" s="190"/>
      <c r="AF54" s="172"/>
    </row>
    <row r="55" spans="1:52" s="6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7981039.4180575097</v>
      </c>
      <c r="F55" s="170"/>
      <c r="AF55" s="172"/>
    </row>
    <row r="56" spans="1:52" x14ac:dyDescent="0.2">
      <c r="A56" s="6"/>
      <c r="B56" s="6"/>
      <c r="C56" s="6"/>
      <c r="D56" s="6"/>
      <c r="E56" s="2"/>
      <c r="F56" s="16"/>
      <c r="G56" s="14"/>
      <c r="H56" s="14"/>
      <c r="I56" s="14"/>
      <c r="J56" s="15"/>
      <c r="K56" s="6"/>
      <c r="L56" s="14"/>
      <c r="M56" s="14"/>
      <c r="N56" s="14"/>
      <c r="O56" s="7"/>
      <c r="P56" s="7"/>
      <c r="Q56" s="7"/>
      <c r="R56" s="7"/>
      <c r="S56" s="7"/>
      <c r="T56" s="7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17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6"/>
      <c r="C57" s="6"/>
      <c r="D57" s="6"/>
      <c r="E57" s="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17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67" t="s">
        <v>111</v>
      </c>
      <c r="B58" s="6"/>
      <c r="C58" s="6"/>
      <c r="D58" s="6"/>
      <c r="E58" s="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17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D59" s="7"/>
      <c r="AE59" s="2"/>
      <c r="AF59" s="17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66" t="s">
        <v>96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V60" s="2"/>
      <c r="W60" s="4"/>
      <c r="X60" s="6"/>
      <c r="Y60" s="5"/>
      <c r="Z60" s="2"/>
      <c r="AA60" s="4"/>
      <c r="AB60" s="2"/>
      <c r="AC60" s="4"/>
      <c r="AD60" s="2"/>
      <c r="AE60" s="2"/>
      <c r="AF60" s="17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17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17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17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17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4"/>
      <c r="X65" s="2"/>
      <c r="Y65" s="2"/>
      <c r="Z65" s="2"/>
      <c r="AA65" s="2"/>
      <c r="AB65" s="2"/>
      <c r="AC65" s="2"/>
      <c r="AD65" s="2"/>
      <c r="AE65" s="2"/>
      <c r="AF65" s="17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:F33 W33" formula="1"/>
    <ignoredError sqref="W9:Y9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9E11-05A0-4129-8C10-471D60AA8221}">
  <sheetPr>
    <pageSetUpPr fitToPage="1"/>
  </sheetPr>
  <dimension ref="A1:AZ77"/>
  <sheetViews>
    <sheetView showGridLines="0" showZeros="0" topLeftCell="F13" zoomScaleNormal="100" workbookViewId="0">
      <selection activeCell="L48" sqref="L48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256" width="27.5546875" style="1"/>
    <col min="257" max="257" width="19.44140625" style="1" customWidth="1"/>
    <col min="258" max="259" width="12.77734375" style="1" customWidth="1"/>
    <col min="260" max="260" width="13" style="1" customWidth="1"/>
    <col min="261" max="262" width="12.77734375" style="1" customWidth="1"/>
    <col min="263" max="265" width="0" style="1" hidden="1" customWidth="1"/>
    <col min="266" max="274" width="12.77734375" style="1" customWidth="1"/>
    <col min="275" max="275" width="0" style="1" hidden="1" customWidth="1"/>
    <col min="276" max="279" width="12.77734375" style="1" customWidth="1"/>
    <col min="280" max="280" width="1.77734375" style="1" customWidth="1"/>
    <col min="281" max="281" width="12.77734375" style="1" customWidth="1"/>
    <col min="282" max="282" width="1.77734375" style="1" customWidth="1"/>
    <col min="283" max="284" width="0" style="1" hidden="1" customWidth="1"/>
    <col min="285" max="285" width="12.77734375" style="1" customWidth="1"/>
    <col min="286" max="286" width="17.88671875" style="1" customWidth="1"/>
    <col min="287" max="287" width="11.77734375" style="1" customWidth="1"/>
    <col min="288" max="288" width="12" style="1" customWidth="1"/>
    <col min="289" max="512" width="27.5546875" style="1"/>
    <col min="513" max="513" width="19.44140625" style="1" customWidth="1"/>
    <col min="514" max="515" width="12.77734375" style="1" customWidth="1"/>
    <col min="516" max="516" width="13" style="1" customWidth="1"/>
    <col min="517" max="518" width="12.77734375" style="1" customWidth="1"/>
    <col min="519" max="521" width="0" style="1" hidden="1" customWidth="1"/>
    <col min="522" max="530" width="12.77734375" style="1" customWidth="1"/>
    <col min="531" max="531" width="0" style="1" hidden="1" customWidth="1"/>
    <col min="532" max="535" width="12.77734375" style="1" customWidth="1"/>
    <col min="536" max="536" width="1.77734375" style="1" customWidth="1"/>
    <col min="537" max="537" width="12.77734375" style="1" customWidth="1"/>
    <col min="538" max="538" width="1.77734375" style="1" customWidth="1"/>
    <col min="539" max="540" width="0" style="1" hidden="1" customWidth="1"/>
    <col min="541" max="541" width="12.77734375" style="1" customWidth="1"/>
    <col min="542" max="542" width="17.88671875" style="1" customWidth="1"/>
    <col min="543" max="543" width="11.77734375" style="1" customWidth="1"/>
    <col min="544" max="544" width="12" style="1" customWidth="1"/>
    <col min="545" max="768" width="27.5546875" style="1"/>
    <col min="769" max="769" width="19.44140625" style="1" customWidth="1"/>
    <col min="770" max="771" width="12.77734375" style="1" customWidth="1"/>
    <col min="772" max="772" width="13" style="1" customWidth="1"/>
    <col min="773" max="774" width="12.77734375" style="1" customWidth="1"/>
    <col min="775" max="777" width="0" style="1" hidden="1" customWidth="1"/>
    <col min="778" max="786" width="12.77734375" style="1" customWidth="1"/>
    <col min="787" max="787" width="0" style="1" hidden="1" customWidth="1"/>
    <col min="788" max="791" width="12.77734375" style="1" customWidth="1"/>
    <col min="792" max="792" width="1.77734375" style="1" customWidth="1"/>
    <col min="793" max="793" width="12.77734375" style="1" customWidth="1"/>
    <col min="794" max="794" width="1.77734375" style="1" customWidth="1"/>
    <col min="795" max="796" width="0" style="1" hidden="1" customWidth="1"/>
    <col min="797" max="797" width="12.77734375" style="1" customWidth="1"/>
    <col min="798" max="798" width="17.88671875" style="1" customWidth="1"/>
    <col min="799" max="799" width="11.77734375" style="1" customWidth="1"/>
    <col min="800" max="800" width="12" style="1" customWidth="1"/>
    <col min="801" max="1024" width="27.5546875" style="1"/>
    <col min="1025" max="1025" width="19.44140625" style="1" customWidth="1"/>
    <col min="1026" max="1027" width="12.77734375" style="1" customWidth="1"/>
    <col min="1028" max="1028" width="13" style="1" customWidth="1"/>
    <col min="1029" max="1030" width="12.77734375" style="1" customWidth="1"/>
    <col min="1031" max="1033" width="0" style="1" hidden="1" customWidth="1"/>
    <col min="1034" max="1042" width="12.77734375" style="1" customWidth="1"/>
    <col min="1043" max="1043" width="0" style="1" hidden="1" customWidth="1"/>
    <col min="1044" max="1047" width="12.77734375" style="1" customWidth="1"/>
    <col min="1048" max="1048" width="1.77734375" style="1" customWidth="1"/>
    <col min="1049" max="1049" width="12.77734375" style="1" customWidth="1"/>
    <col min="1050" max="1050" width="1.77734375" style="1" customWidth="1"/>
    <col min="1051" max="1052" width="0" style="1" hidden="1" customWidth="1"/>
    <col min="1053" max="1053" width="12.77734375" style="1" customWidth="1"/>
    <col min="1054" max="1054" width="17.88671875" style="1" customWidth="1"/>
    <col min="1055" max="1055" width="11.77734375" style="1" customWidth="1"/>
    <col min="1056" max="1056" width="12" style="1" customWidth="1"/>
    <col min="1057" max="1280" width="27.5546875" style="1"/>
    <col min="1281" max="1281" width="19.44140625" style="1" customWidth="1"/>
    <col min="1282" max="1283" width="12.77734375" style="1" customWidth="1"/>
    <col min="1284" max="1284" width="13" style="1" customWidth="1"/>
    <col min="1285" max="1286" width="12.77734375" style="1" customWidth="1"/>
    <col min="1287" max="1289" width="0" style="1" hidden="1" customWidth="1"/>
    <col min="1290" max="1298" width="12.77734375" style="1" customWidth="1"/>
    <col min="1299" max="1299" width="0" style="1" hidden="1" customWidth="1"/>
    <col min="1300" max="1303" width="12.77734375" style="1" customWidth="1"/>
    <col min="1304" max="1304" width="1.77734375" style="1" customWidth="1"/>
    <col min="1305" max="1305" width="12.77734375" style="1" customWidth="1"/>
    <col min="1306" max="1306" width="1.77734375" style="1" customWidth="1"/>
    <col min="1307" max="1308" width="0" style="1" hidden="1" customWidth="1"/>
    <col min="1309" max="1309" width="12.77734375" style="1" customWidth="1"/>
    <col min="1310" max="1310" width="17.88671875" style="1" customWidth="1"/>
    <col min="1311" max="1311" width="11.77734375" style="1" customWidth="1"/>
    <col min="1312" max="1312" width="12" style="1" customWidth="1"/>
    <col min="1313" max="1536" width="27.5546875" style="1"/>
    <col min="1537" max="1537" width="19.44140625" style="1" customWidth="1"/>
    <col min="1538" max="1539" width="12.77734375" style="1" customWidth="1"/>
    <col min="1540" max="1540" width="13" style="1" customWidth="1"/>
    <col min="1541" max="1542" width="12.77734375" style="1" customWidth="1"/>
    <col min="1543" max="1545" width="0" style="1" hidden="1" customWidth="1"/>
    <col min="1546" max="1554" width="12.77734375" style="1" customWidth="1"/>
    <col min="1555" max="1555" width="0" style="1" hidden="1" customWidth="1"/>
    <col min="1556" max="1559" width="12.77734375" style="1" customWidth="1"/>
    <col min="1560" max="1560" width="1.77734375" style="1" customWidth="1"/>
    <col min="1561" max="1561" width="12.77734375" style="1" customWidth="1"/>
    <col min="1562" max="1562" width="1.77734375" style="1" customWidth="1"/>
    <col min="1563" max="1564" width="0" style="1" hidden="1" customWidth="1"/>
    <col min="1565" max="1565" width="12.77734375" style="1" customWidth="1"/>
    <col min="1566" max="1566" width="17.88671875" style="1" customWidth="1"/>
    <col min="1567" max="1567" width="11.77734375" style="1" customWidth="1"/>
    <col min="1568" max="1568" width="12" style="1" customWidth="1"/>
    <col min="1569" max="1792" width="27.5546875" style="1"/>
    <col min="1793" max="1793" width="19.44140625" style="1" customWidth="1"/>
    <col min="1794" max="1795" width="12.77734375" style="1" customWidth="1"/>
    <col min="1796" max="1796" width="13" style="1" customWidth="1"/>
    <col min="1797" max="1798" width="12.77734375" style="1" customWidth="1"/>
    <col min="1799" max="1801" width="0" style="1" hidden="1" customWidth="1"/>
    <col min="1802" max="1810" width="12.77734375" style="1" customWidth="1"/>
    <col min="1811" max="1811" width="0" style="1" hidden="1" customWidth="1"/>
    <col min="1812" max="1815" width="12.77734375" style="1" customWidth="1"/>
    <col min="1816" max="1816" width="1.77734375" style="1" customWidth="1"/>
    <col min="1817" max="1817" width="12.77734375" style="1" customWidth="1"/>
    <col min="1818" max="1818" width="1.77734375" style="1" customWidth="1"/>
    <col min="1819" max="1820" width="0" style="1" hidden="1" customWidth="1"/>
    <col min="1821" max="1821" width="12.77734375" style="1" customWidth="1"/>
    <col min="1822" max="1822" width="17.88671875" style="1" customWidth="1"/>
    <col min="1823" max="1823" width="11.77734375" style="1" customWidth="1"/>
    <col min="1824" max="1824" width="12" style="1" customWidth="1"/>
    <col min="1825" max="2048" width="27.5546875" style="1"/>
    <col min="2049" max="2049" width="19.44140625" style="1" customWidth="1"/>
    <col min="2050" max="2051" width="12.77734375" style="1" customWidth="1"/>
    <col min="2052" max="2052" width="13" style="1" customWidth="1"/>
    <col min="2053" max="2054" width="12.77734375" style="1" customWidth="1"/>
    <col min="2055" max="2057" width="0" style="1" hidden="1" customWidth="1"/>
    <col min="2058" max="2066" width="12.77734375" style="1" customWidth="1"/>
    <col min="2067" max="2067" width="0" style="1" hidden="1" customWidth="1"/>
    <col min="2068" max="2071" width="12.77734375" style="1" customWidth="1"/>
    <col min="2072" max="2072" width="1.77734375" style="1" customWidth="1"/>
    <col min="2073" max="2073" width="12.77734375" style="1" customWidth="1"/>
    <col min="2074" max="2074" width="1.77734375" style="1" customWidth="1"/>
    <col min="2075" max="2076" width="0" style="1" hidden="1" customWidth="1"/>
    <col min="2077" max="2077" width="12.77734375" style="1" customWidth="1"/>
    <col min="2078" max="2078" width="17.88671875" style="1" customWidth="1"/>
    <col min="2079" max="2079" width="11.77734375" style="1" customWidth="1"/>
    <col min="2080" max="2080" width="12" style="1" customWidth="1"/>
    <col min="2081" max="2304" width="27.5546875" style="1"/>
    <col min="2305" max="2305" width="19.44140625" style="1" customWidth="1"/>
    <col min="2306" max="2307" width="12.77734375" style="1" customWidth="1"/>
    <col min="2308" max="2308" width="13" style="1" customWidth="1"/>
    <col min="2309" max="2310" width="12.77734375" style="1" customWidth="1"/>
    <col min="2311" max="2313" width="0" style="1" hidden="1" customWidth="1"/>
    <col min="2314" max="2322" width="12.77734375" style="1" customWidth="1"/>
    <col min="2323" max="2323" width="0" style="1" hidden="1" customWidth="1"/>
    <col min="2324" max="2327" width="12.77734375" style="1" customWidth="1"/>
    <col min="2328" max="2328" width="1.77734375" style="1" customWidth="1"/>
    <col min="2329" max="2329" width="12.77734375" style="1" customWidth="1"/>
    <col min="2330" max="2330" width="1.77734375" style="1" customWidth="1"/>
    <col min="2331" max="2332" width="0" style="1" hidden="1" customWidth="1"/>
    <col min="2333" max="2333" width="12.77734375" style="1" customWidth="1"/>
    <col min="2334" max="2334" width="17.88671875" style="1" customWidth="1"/>
    <col min="2335" max="2335" width="11.77734375" style="1" customWidth="1"/>
    <col min="2336" max="2336" width="12" style="1" customWidth="1"/>
    <col min="2337" max="2560" width="27.5546875" style="1"/>
    <col min="2561" max="2561" width="19.44140625" style="1" customWidth="1"/>
    <col min="2562" max="2563" width="12.77734375" style="1" customWidth="1"/>
    <col min="2564" max="2564" width="13" style="1" customWidth="1"/>
    <col min="2565" max="2566" width="12.77734375" style="1" customWidth="1"/>
    <col min="2567" max="2569" width="0" style="1" hidden="1" customWidth="1"/>
    <col min="2570" max="2578" width="12.77734375" style="1" customWidth="1"/>
    <col min="2579" max="2579" width="0" style="1" hidden="1" customWidth="1"/>
    <col min="2580" max="2583" width="12.77734375" style="1" customWidth="1"/>
    <col min="2584" max="2584" width="1.77734375" style="1" customWidth="1"/>
    <col min="2585" max="2585" width="12.77734375" style="1" customWidth="1"/>
    <col min="2586" max="2586" width="1.77734375" style="1" customWidth="1"/>
    <col min="2587" max="2588" width="0" style="1" hidden="1" customWidth="1"/>
    <col min="2589" max="2589" width="12.77734375" style="1" customWidth="1"/>
    <col min="2590" max="2590" width="17.88671875" style="1" customWidth="1"/>
    <col min="2591" max="2591" width="11.77734375" style="1" customWidth="1"/>
    <col min="2592" max="2592" width="12" style="1" customWidth="1"/>
    <col min="2593" max="2816" width="27.5546875" style="1"/>
    <col min="2817" max="2817" width="19.44140625" style="1" customWidth="1"/>
    <col min="2818" max="2819" width="12.77734375" style="1" customWidth="1"/>
    <col min="2820" max="2820" width="13" style="1" customWidth="1"/>
    <col min="2821" max="2822" width="12.77734375" style="1" customWidth="1"/>
    <col min="2823" max="2825" width="0" style="1" hidden="1" customWidth="1"/>
    <col min="2826" max="2834" width="12.77734375" style="1" customWidth="1"/>
    <col min="2835" max="2835" width="0" style="1" hidden="1" customWidth="1"/>
    <col min="2836" max="2839" width="12.77734375" style="1" customWidth="1"/>
    <col min="2840" max="2840" width="1.77734375" style="1" customWidth="1"/>
    <col min="2841" max="2841" width="12.77734375" style="1" customWidth="1"/>
    <col min="2842" max="2842" width="1.77734375" style="1" customWidth="1"/>
    <col min="2843" max="2844" width="0" style="1" hidden="1" customWidth="1"/>
    <col min="2845" max="2845" width="12.77734375" style="1" customWidth="1"/>
    <col min="2846" max="2846" width="17.88671875" style="1" customWidth="1"/>
    <col min="2847" max="2847" width="11.77734375" style="1" customWidth="1"/>
    <col min="2848" max="2848" width="12" style="1" customWidth="1"/>
    <col min="2849" max="3072" width="27.5546875" style="1"/>
    <col min="3073" max="3073" width="19.44140625" style="1" customWidth="1"/>
    <col min="3074" max="3075" width="12.77734375" style="1" customWidth="1"/>
    <col min="3076" max="3076" width="13" style="1" customWidth="1"/>
    <col min="3077" max="3078" width="12.77734375" style="1" customWidth="1"/>
    <col min="3079" max="3081" width="0" style="1" hidden="1" customWidth="1"/>
    <col min="3082" max="3090" width="12.77734375" style="1" customWidth="1"/>
    <col min="3091" max="3091" width="0" style="1" hidden="1" customWidth="1"/>
    <col min="3092" max="3095" width="12.77734375" style="1" customWidth="1"/>
    <col min="3096" max="3096" width="1.77734375" style="1" customWidth="1"/>
    <col min="3097" max="3097" width="12.77734375" style="1" customWidth="1"/>
    <col min="3098" max="3098" width="1.77734375" style="1" customWidth="1"/>
    <col min="3099" max="3100" width="0" style="1" hidden="1" customWidth="1"/>
    <col min="3101" max="3101" width="12.77734375" style="1" customWidth="1"/>
    <col min="3102" max="3102" width="17.88671875" style="1" customWidth="1"/>
    <col min="3103" max="3103" width="11.77734375" style="1" customWidth="1"/>
    <col min="3104" max="3104" width="12" style="1" customWidth="1"/>
    <col min="3105" max="3328" width="27.5546875" style="1"/>
    <col min="3329" max="3329" width="19.44140625" style="1" customWidth="1"/>
    <col min="3330" max="3331" width="12.77734375" style="1" customWidth="1"/>
    <col min="3332" max="3332" width="13" style="1" customWidth="1"/>
    <col min="3333" max="3334" width="12.77734375" style="1" customWidth="1"/>
    <col min="3335" max="3337" width="0" style="1" hidden="1" customWidth="1"/>
    <col min="3338" max="3346" width="12.77734375" style="1" customWidth="1"/>
    <col min="3347" max="3347" width="0" style="1" hidden="1" customWidth="1"/>
    <col min="3348" max="3351" width="12.77734375" style="1" customWidth="1"/>
    <col min="3352" max="3352" width="1.77734375" style="1" customWidth="1"/>
    <col min="3353" max="3353" width="12.77734375" style="1" customWidth="1"/>
    <col min="3354" max="3354" width="1.77734375" style="1" customWidth="1"/>
    <col min="3355" max="3356" width="0" style="1" hidden="1" customWidth="1"/>
    <col min="3357" max="3357" width="12.77734375" style="1" customWidth="1"/>
    <col min="3358" max="3358" width="17.88671875" style="1" customWidth="1"/>
    <col min="3359" max="3359" width="11.77734375" style="1" customWidth="1"/>
    <col min="3360" max="3360" width="12" style="1" customWidth="1"/>
    <col min="3361" max="3584" width="27.5546875" style="1"/>
    <col min="3585" max="3585" width="19.44140625" style="1" customWidth="1"/>
    <col min="3586" max="3587" width="12.77734375" style="1" customWidth="1"/>
    <col min="3588" max="3588" width="13" style="1" customWidth="1"/>
    <col min="3589" max="3590" width="12.77734375" style="1" customWidth="1"/>
    <col min="3591" max="3593" width="0" style="1" hidden="1" customWidth="1"/>
    <col min="3594" max="3602" width="12.77734375" style="1" customWidth="1"/>
    <col min="3603" max="3603" width="0" style="1" hidden="1" customWidth="1"/>
    <col min="3604" max="3607" width="12.77734375" style="1" customWidth="1"/>
    <col min="3608" max="3608" width="1.77734375" style="1" customWidth="1"/>
    <col min="3609" max="3609" width="12.77734375" style="1" customWidth="1"/>
    <col min="3610" max="3610" width="1.77734375" style="1" customWidth="1"/>
    <col min="3611" max="3612" width="0" style="1" hidden="1" customWidth="1"/>
    <col min="3613" max="3613" width="12.77734375" style="1" customWidth="1"/>
    <col min="3614" max="3614" width="17.88671875" style="1" customWidth="1"/>
    <col min="3615" max="3615" width="11.77734375" style="1" customWidth="1"/>
    <col min="3616" max="3616" width="12" style="1" customWidth="1"/>
    <col min="3617" max="3840" width="27.5546875" style="1"/>
    <col min="3841" max="3841" width="19.44140625" style="1" customWidth="1"/>
    <col min="3842" max="3843" width="12.77734375" style="1" customWidth="1"/>
    <col min="3844" max="3844" width="13" style="1" customWidth="1"/>
    <col min="3845" max="3846" width="12.77734375" style="1" customWidth="1"/>
    <col min="3847" max="3849" width="0" style="1" hidden="1" customWidth="1"/>
    <col min="3850" max="3858" width="12.77734375" style="1" customWidth="1"/>
    <col min="3859" max="3859" width="0" style="1" hidden="1" customWidth="1"/>
    <col min="3860" max="3863" width="12.77734375" style="1" customWidth="1"/>
    <col min="3864" max="3864" width="1.77734375" style="1" customWidth="1"/>
    <col min="3865" max="3865" width="12.77734375" style="1" customWidth="1"/>
    <col min="3866" max="3866" width="1.77734375" style="1" customWidth="1"/>
    <col min="3867" max="3868" width="0" style="1" hidden="1" customWidth="1"/>
    <col min="3869" max="3869" width="12.77734375" style="1" customWidth="1"/>
    <col min="3870" max="3870" width="17.88671875" style="1" customWidth="1"/>
    <col min="3871" max="3871" width="11.77734375" style="1" customWidth="1"/>
    <col min="3872" max="3872" width="12" style="1" customWidth="1"/>
    <col min="3873" max="4096" width="27.5546875" style="1"/>
    <col min="4097" max="4097" width="19.44140625" style="1" customWidth="1"/>
    <col min="4098" max="4099" width="12.77734375" style="1" customWidth="1"/>
    <col min="4100" max="4100" width="13" style="1" customWidth="1"/>
    <col min="4101" max="4102" width="12.77734375" style="1" customWidth="1"/>
    <col min="4103" max="4105" width="0" style="1" hidden="1" customWidth="1"/>
    <col min="4106" max="4114" width="12.77734375" style="1" customWidth="1"/>
    <col min="4115" max="4115" width="0" style="1" hidden="1" customWidth="1"/>
    <col min="4116" max="4119" width="12.77734375" style="1" customWidth="1"/>
    <col min="4120" max="4120" width="1.77734375" style="1" customWidth="1"/>
    <col min="4121" max="4121" width="12.77734375" style="1" customWidth="1"/>
    <col min="4122" max="4122" width="1.77734375" style="1" customWidth="1"/>
    <col min="4123" max="4124" width="0" style="1" hidden="1" customWidth="1"/>
    <col min="4125" max="4125" width="12.77734375" style="1" customWidth="1"/>
    <col min="4126" max="4126" width="17.88671875" style="1" customWidth="1"/>
    <col min="4127" max="4127" width="11.77734375" style="1" customWidth="1"/>
    <col min="4128" max="4128" width="12" style="1" customWidth="1"/>
    <col min="4129" max="4352" width="27.5546875" style="1"/>
    <col min="4353" max="4353" width="19.44140625" style="1" customWidth="1"/>
    <col min="4354" max="4355" width="12.77734375" style="1" customWidth="1"/>
    <col min="4356" max="4356" width="13" style="1" customWidth="1"/>
    <col min="4357" max="4358" width="12.77734375" style="1" customWidth="1"/>
    <col min="4359" max="4361" width="0" style="1" hidden="1" customWidth="1"/>
    <col min="4362" max="4370" width="12.77734375" style="1" customWidth="1"/>
    <col min="4371" max="4371" width="0" style="1" hidden="1" customWidth="1"/>
    <col min="4372" max="4375" width="12.77734375" style="1" customWidth="1"/>
    <col min="4376" max="4376" width="1.77734375" style="1" customWidth="1"/>
    <col min="4377" max="4377" width="12.77734375" style="1" customWidth="1"/>
    <col min="4378" max="4378" width="1.77734375" style="1" customWidth="1"/>
    <col min="4379" max="4380" width="0" style="1" hidden="1" customWidth="1"/>
    <col min="4381" max="4381" width="12.77734375" style="1" customWidth="1"/>
    <col min="4382" max="4382" width="17.88671875" style="1" customWidth="1"/>
    <col min="4383" max="4383" width="11.77734375" style="1" customWidth="1"/>
    <col min="4384" max="4384" width="12" style="1" customWidth="1"/>
    <col min="4385" max="4608" width="27.5546875" style="1"/>
    <col min="4609" max="4609" width="19.44140625" style="1" customWidth="1"/>
    <col min="4610" max="4611" width="12.77734375" style="1" customWidth="1"/>
    <col min="4612" max="4612" width="13" style="1" customWidth="1"/>
    <col min="4613" max="4614" width="12.77734375" style="1" customWidth="1"/>
    <col min="4615" max="4617" width="0" style="1" hidden="1" customWidth="1"/>
    <col min="4618" max="4626" width="12.77734375" style="1" customWidth="1"/>
    <col min="4627" max="4627" width="0" style="1" hidden="1" customWidth="1"/>
    <col min="4628" max="4631" width="12.77734375" style="1" customWidth="1"/>
    <col min="4632" max="4632" width="1.77734375" style="1" customWidth="1"/>
    <col min="4633" max="4633" width="12.77734375" style="1" customWidth="1"/>
    <col min="4634" max="4634" width="1.77734375" style="1" customWidth="1"/>
    <col min="4635" max="4636" width="0" style="1" hidden="1" customWidth="1"/>
    <col min="4637" max="4637" width="12.77734375" style="1" customWidth="1"/>
    <col min="4638" max="4638" width="17.88671875" style="1" customWidth="1"/>
    <col min="4639" max="4639" width="11.77734375" style="1" customWidth="1"/>
    <col min="4640" max="4640" width="12" style="1" customWidth="1"/>
    <col min="4641" max="4864" width="27.5546875" style="1"/>
    <col min="4865" max="4865" width="19.44140625" style="1" customWidth="1"/>
    <col min="4866" max="4867" width="12.77734375" style="1" customWidth="1"/>
    <col min="4868" max="4868" width="13" style="1" customWidth="1"/>
    <col min="4869" max="4870" width="12.77734375" style="1" customWidth="1"/>
    <col min="4871" max="4873" width="0" style="1" hidden="1" customWidth="1"/>
    <col min="4874" max="4882" width="12.77734375" style="1" customWidth="1"/>
    <col min="4883" max="4883" width="0" style="1" hidden="1" customWidth="1"/>
    <col min="4884" max="4887" width="12.77734375" style="1" customWidth="1"/>
    <col min="4888" max="4888" width="1.77734375" style="1" customWidth="1"/>
    <col min="4889" max="4889" width="12.77734375" style="1" customWidth="1"/>
    <col min="4890" max="4890" width="1.77734375" style="1" customWidth="1"/>
    <col min="4891" max="4892" width="0" style="1" hidden="1" customWidth="1"/>
    <col min="4893" max="4893" width="12.77734375" style="1" customWidth="1"/>
    <col min="4894" max="4894" width="17.88671875" style="1" customWidth="1"/>
    <col min="4895" max="4895" width="11.77734375" style="1" customWidth="1"/>
    <col min="4896" max="4896" width="12" style="1" customWidth="1"/>
    <col min="4897" max="5120" width="27.5546875" style="1"/>
    <col min="5121" max="5121" width="19.44140625" style="1" customWidth="1"/>
    <col min="5122" max="5123" width="12.77734375" style="1" customWidth="1"/>
    <col min="5124" max="5124" width="13" style="1" customWidth="1"/>
    <col min="5125" max="5126" width="12.77734375" style="1" customWidth="1"/>
    <col min="5127" max="5129" width="0" style="1" hidden="1" customWidth="1"/>
    <col min="5130" max="5138" width="12.77734375" style="1" customWidth="1"/>
    <col min="5139" max="5139" width="0" style="1" hidden="1" customWidth="1"/>
    <col min="5140" max="5143" width="12.77734375" style="1" customWidth="1"/>
    <col min="5144" max="5144" width="1.77734375" style="1" customWidth="1"/>
    <col min="5145" max="5145" width="12.77734375" style="1" customWidth="1"/>
    <col min="5146" max="5146" width="1.77734375" style="1" customWidth="1"/>
    <col min="5147" max="5148" width="0" style="1" hidden="1" customWidth="1"/>
    <col min="5149" max="5149" width="12.77734375" style="1" customWidth="1"/>
    <col min="5150" max="5150" width="17.88671875" style="1" customWidth="1"/>
    <col min="5151" max="5151" width="11.77734375" style="1" customWidth="1"/>
    <col min="5152" max="5152" width="12" style="1" customWidth="1"/>
    <col min="5153" max="5376" width="27.5546875" style="1"/>
    <col min="5377" max="5377" width="19.44140625" style="1" customWidth="1"/>
    <col min="5378" max="5379" width="12.77734375" style="1" customWidth="1"/>
    <col min="5380" max="5380" width="13" style="1" customWidth="1"/>
    <col min="5381" max="5382" width="12.77734375" style="1" customWidth="1"/>
    <col min="5383" max="5385" width="0" style="1" hidden="1" customWidth="1"/>
    <col min="5386" max="5394" width="12.77734375" style="1" customWidth="1"/>
    <col min="5395" max="5395" width="0" style="1" hidden="1" customWidth="1"/>
    <col min="5396" max="5399" width="12.77734375" style="1" customWidth="1"/>
    <col min="5400" max="5400" width="1.77734375" style="1" customWidth="1"/>
    <col min="5401" max="5401" width="12.77734375" style="1" customWidth="1"/>
    <col min="5402" max="5402" width="1.77734375" style="1" customWidth="1"/>
    <col min="5403" max="5404" width="0" style="1" hidden="1" customWidth="1"/>
    <col min="5405" max="5405" width="12.77734375" style="1" customWidth="1"/>
    <col min="5406" max="5406" width="17.88671875" style="1" customWidth="1"/>
    <col min="5407" max="5407" width="11.77734375" style="1" customWidth="1"/>
    <col min="5408" max="5408" width="12" style="1" customWidth="1"/>
    <col min="5409" max="5632" width="27.5546875" style="1"/>
    <col min="5633" max="5633" width="19.44140625" style="1" customWidth="1"/>
    <col min="5634" max="5635" width="12.77734375" style="1" customWidth="1"/>
    <col min="5636" max="5636" width="13" style="1" customWidth="1"/>
    <col min="5637" max="5638" width="12.77734375" style="1" customWidth="1"/>
    <col min="5639" max="5641" width="0" style="1" hidden="1" customWidth="1"/>
    <col min="5642" max="5650" width="12.77734375" style="1" customWidth="1"/>
    <col min="5651" max="5651" width="0" style="1" hidden="1" customWidth="1"/>
    <col min="5652" max="5655" width="12.77734375" style="1" customWidth="1"/>
    <col min="5656" max="5656" width="1.77734375" style="1" customWidth="1"/>
    <col min="5657" max="5657" width="12.77734375" style="1" customWidth="1"/>
    <col min="5658" max="5658" width="1.77734375" style="1" customWidth="1"/>
    <col min="5659" max="5660" width="0" style="1" hidden="1" customWidth="1"/>
    <col min="5661" max="5661" width="12.77734375" style="1" customWidth="1"/>
    <col min="5662" max="5662" width="17.88671875" style="1" customWidth="1"/>
    <col min="5663" max="5663" width="11.77734375" style="1" customWidth="1"/>
    <col min="5664" max="5664" width="12" style="1" customWidth="1"/>
    <col min="5665" max="5888" width="27.5546875" style="1"/>
    <col min="5889" max="5889" width="19.44140625" style="1" customWidth="1"/>
    <col min="5890" max="5891" width="12.77734375" style="1" customWidth="1"/>
    <col min="5892" max="5892" width="13" style="1" customWidth="1"/>
    <col min="5893" max="5894" width="12.77734375" style="1" customWidth="1"/>
    <col min="5895" max="5897" width="0" style="1" hidden="1" customWidth="1"/>
    <col min="5898" max="5906" width="12.77734375" style="1" customWidth="1"/>
    <col min="5907" max="5907" width="0" style="1" hidden="1" customWidth="1"/>
    <col min="5908" max="5911" width="12.77734375" style="1" customWidth="1"/>
    <col min="5912" max="5912" width="1.77734375" style="1" customWidth="1"/>
    <col min="5913" max="5913" width="12.77734375" style="1" customWidth="1"/>
    <col min="5914" max="5914" width="1.77734375" style="1" customWidth="1"/>
    <col min="5915" max="5916" width="0" style="1" hidden="1" customWidth="1"/>
    <col min="5917" max="5917" width="12.77734375" style="1" customWidth="1"/>
    <col min="5918" max="5918" width="17.88671875" style="1" customWidth="1"/>
    <col min="5919" max="5919" width="11.77734375" style="1" customWidth="1"/>
    <col min="5920" max="5920" width="12" style="1" customWidth="1"/>
    <col min="5921" max="6144" width="27.5546875" style="1"/>
    <col min="6145" max="6145" width="19.44140625" style="1" customWidth="1"/>
    <col min="6146" max="6147" width="12.77734375" style="1" customWidth="1"/>
    <col min="6148" max="6148" width="13" style="1" customWidth="1"/>
    <col min="6149" max="6150" width="12.77734375" style="1" customWidth="1"/>
    <col min="6151" max="6153" width="0" style="1" hidden="1" customWidth="1"/>
    <col min="6154" max="6162" width="12.77734375" style="1" customWidth="1"/>
    <col min="6163" max="6163" width="0" style="1" hidden="1" customWidth="1"/>
    <col min="6164" max="6167" width="12.77734375" style="1" customWidth="1"/>
    <col min="6168" max="6168" width="1.77734375" style="1" customWidth="1"/>
    <col min="6169" max="6169" width="12.77734375" style="1" customWidth="1"/>
    <col min="6170" max="6170" width="1.77734375" style="1" customWidth="1"/>
    <col min="6171" max="6172" width="0" style="1" hidden="1" customWidth="1"/>
    <col min="6173" max="6173" width="12.77734375" style="1" customWidth="1"/>
    <col min="6174" max="6174" width="17.88671875" style="1" customWidth="1"/>
    <col min="6175" max="6175" width="11.77734375" style="1" customWidth="1"/>
    <col min="6176" max="6176" width="12" style="1" customWidth="1"/>
    <col min="6177" max="6400" width="27.5546875" style="1"/>
    <col min="6401" max="6401" width="19.44140625" style="1" customWidth="1"/>
    <col min="6402" max="6403" width="12.77734375" style="1" customWidth="1"/>
    <col min="6404" max="6404" width="13" style="1" customWidth="1"/>
    <col min="6405" max="6406" width="12.77734375" style="1" customWidth="1"/>
    <col min="6407" max="6409" width="0" style="1" hidden="1" customWidth="1"/>
    <col min="6410" max="6418" width="12.77734375" style="1" customWidth="1"/>
    <col min="6419" max="6419" width="0" style="1" hidden="1" customWidth="1"/>
    <col min="6420" max="6423" width="12.77734375" style="1" customWidth="1"/>
    <col min="6424" max="6424" width="1.77734375" style="1" customWidth="1"/>
    <col min="6425" max="6425" width="12.77734375" style="1" customWidth="1"/>
    <col min="6426" max="6426" width="1.77734375" style="1" customWidth="1"/>
    <col min="6427" max="6428" width="0" style="1" hidden="1" customWidth="1"/>
    <col min="6429" max="6429" width="12.77734375" style="1" customWidth="1"/>
    <col min="6430" max="6430" width="17.88671875" style="1" customWidth="1"/>
    <col min="6431" max="6431" width="11.77734375" style="1" customWidth="1"/>
    <col min="6432" max="6432" width="12" style="1" customWidth="1"/>
    <col min="6433" max="6656" width="27.5546875" style="1"/>
    <col min="6657" max="6657" width="19.44140625" style="1" customWidth="1"/>
    <col min="6658" max="6659" width="12.77734375" style="1" customWidth="1"/>
    <col min="6660" max="6660" width="13" style="1" customWidth="1"/>
    <col min="6661" max="6662" width="12.77734375" style="1" customWidth="1"/>
    <col min="6663" max="6665" width="0" style="1" hidden="1" customWidth="1"/>
    <col min="6666" max="6674" width="12.77734375" style="1" customWidth="1"/>
    <col min="6675" max="6675" width="0" style="1" hidden="1" customWidth="1"/>
    <col min="6676" max="6679" width="12.77734375" style="1" customWidth="1"/>
    <col min="6680" max="6680" width="1.77734375" style="1" customWidth="1"/>
    <col min="6681" max="6681" width="12.77734375" style="1" customWidth="1"/>
    <col min="6682" max="6682" width="1.77734375" style="1" customWidth="1"/>
    <col min="6683" max="6684" width="0" style="1" hidden="1" customWidth="1"/>
    <col min="6685" max="6685" width="12.77734375" style="1" customWidth="1"/>
    <col min="6686" max="6686" width="17.88671875" style="1" customWidth="1"/>
    <col min="6687" max="6687" width="11.77734375" style="1" customWidth="1"/>
    <col min="6688" max="6688" width="12" style="1" customWidth="1"/>
    <col min="6689" max="6912" width="27.5546875" style="1"/>
    <col min="6913" max="6913" width="19.44140625" style="1" customWidth="1"/>
    <col min="6914" max="6915" width="12.77734375" style="1" customWidth="1"/>
    <col min="6916" max="6916" width="13" style="1" customWidth="1"/>
    <col min="6917" max="6918" width="12.77734375" style="1" customWidth="1"/>
    <col min="6919" max="6921" width="0" style="1" hidden="1" customWidth="1"/>
    <col min="6922" max="6930" width="12.77734375" style="1" customWidth="1"/>
    <col min="6931" max="6931" width="0" style="1" hidden="1" customWidth="1"/>
    <col min="6932" max="6935" width="12.77734375" style="1" customWidth="1"/>
    <col min="6936" max="6936" width="1.77734375" style="1" customWidth="1"/>
    <col min="6937" max="6937" width="12.77734375" style="1" customWidth="1"/>
    <col min="6938" max="6938" width="1.77734375" style="1" customWidth="1"/>
    <col min="6939" max="6940" width="0" style="1" hidden="1" customWidth="1"/>
    <col min="6941" max="6941" width="12.77734375" style="1" customWidth="1"/>
    <col min="6942" max="6942" width="17.88671875" style="1" customWidth="1"/>
    <col min="6943" max="6943" width="11.77734375" style="1" customWidth="1"/>
    <col min="6944" max="6944" width="12" style="1" customWidth="1"/>
    <col min="6945" max="7168" width="27.5546875" style="1"/>
    <col min="7169" max="7169" width="19.44140625" style="1" customWidth="1"/>
    <col min="7170" max="7171" width="12.77734375" style="1" customWidth="1"/>
    <col min="7172" max="7172" width="13" style="1" customWidth="1"/>
    <col min="7173" max="7174" width="12.77734375" style="1" customWidth="1"/>
    <col min="7175" max="7177" width="0" style="1" hidden="1" customWidth="1"/>
    <col min="7178" max="7186" width="12.77734375" style="1" customWidth="1"/>
    <col min="7187" max="7187" width="0" style="1" hidden="1" customWidth="1"/>
    <col min="7188" max="7191" width="12.77734375" style="1" customWidth="1"/>
    <col min="7192" max="7192" width="1.77734375" style="1" customWidth="1"/>
    <col min="7193" max="7193" width="12.77734375" style="1" customWidth="1"/>
    <col min="7194" max="7194" width="1.77734375" style="1" customWidth="1"/>
    <col min="7195" max="7196" width="0" style="1" hidden="1" customWidth="1"/>
    <col min="7197" max="7197" width="12.77734375" style="1" customWidth="1"/>
    <col min="7198" max="7198" width="17.88671875" style="1" customWidth="1"/>
    <col min="7199" max="7199" width="11.77734375" style="1" customWidth="1"/>
    <col min="7200" max="7200" width="12" style="1" customWidth="1"/>
    <col min="7201" max="7424" width="27.5546875" style="1"/>
    <col min="7425" max="7425" width="19.44140625" style="1" customWidth="1"/>
    <col min="7426" max="7427" width="12.77734375" style="1" customWidth="1"/>
    <col min="7428" max="7428" width="13" style="1" customWidth="1"/>
    <col min="7429" max="7430" width="12.77734375" style="1" customWidth="1"/>
    <col min="7431" max="7433" width="0" style="1" hidden="1" customWidth="1"/>
    <col min="7434" max="7442" width="12.77734375" style="1" customWidth="1"/>
    <col min="7443" max="7443" width="0" style="1" hidden="1" customWidth="1"/>
    <col min="7444" max="7447" width="12.77734375" style="1" customWidth="1"/>
    <col min="7448" max="7448" width="1.77734375" style="1" customWidth="1"/>
    <col min="7449" max="7449" width="12.77734375" style="1" customWidth="1"/>
    <col min="7450" max="7450" width="1.77734375" style="1" customWidth="1"/>
    <col min="7451" max="7452" width="0" style="1" hidden="1" customWidth="1"/>
    <col min="7453" max="7453" width="12.77734375" style="1" customWidth="1"/>
    <col min="7454" max="7454" width="17.88671875" style="1" customWidth="1"/>
    <col min="7455" max="7455" width="11.77734375" style="1" customWidth="1"/>
    <col min="7456" max="7456" width="12" style="1" customWidth="1"/>
    <col min="7457" max="7680" width="27.5546875" style="1"/>
    <col min="7681" max="7681" width="19.44140625" style="1" customWidth="1"/>
    <col min="7682" max="7683" width="12.77734375" style="1" customWidth="1"/>
    <col min="7684" max="7684" width="13" style="1" customWidth="1"/>
    <col min="7685" max="7686" width="12.77734375" style="1" customWidth="1"/>
    <col min="7687" max="7689" width="0" style="1" hidden="1" customWidth="1"/>
    <col min="7690" max="7698" width="12.77734375" style="1" customWidth="1"/>
    <col min="7699" max="7699" width="0" style="1" hidden="1" customWidth="1"/>
    <col min="7700" max="7703" width="12.77734375" style="1" customWidth="1"/>
    <col min="7704" max="7704" width="1.77734375" style="1" customWidth="1"/>
    <col min="7705" max="7705" width="12.77734375" style="1" customWidth="1"/>
    <col min="7706" max="7706" width="1.77734375" style="1" customWidth="1"/>
    <col min="7707" max="7708" width="0" style="1" hidden="1" customWidth="1"/>
    <col min="7709" max="7709" width="12.77734375" style="1" customWidth="1"/>
    <col min="7710" max="7710" width="17.88671875" style="1" customWidth="1"/>
    <col min="7711" max="7711" width="11.77734375" style="1" customWidth="1"/>
    <col min="7712" max="7712" width="12" style="1" customWidth="1"/>
    <col min="7713" max="7936" width="27.5546875" style="1"/>
    <col min="7937" max="7937" width="19.44140625" style="1" customWidth="1"/>
    <col min="7938" max="7939" width="12.77734375" style="1" customWidth="1"/>
    <col min="7940" max="7940" width="13" style="1" customWidth="1"/>
    <col min="7941" max="7942" width="12.77734375" style="1" customWidth="1"/>
    <col min="7943" max="7945" width="0" style="1" hidden="1" customWidth="1"/>
    <col min="7946" max="7954" width="12.77734375" style="1" customWidth="1"/>
    <col min="7955" max="7955" width="0" style="1" hidden="1" customWidth="1"/>
    <col min="7956" max="7959" width="12.77734375" style="1" customWidth="1"/>
    <col min="7960" max="7960" width="1.77734375" style="1" customWidth="1"/>
    <col min="7961" max="7961" width="12.77734375" style="1" customWidth="1"/>
    <col min="7962" max="7962" width="1.77734375" style="1" customWidth="1"/>
    <col min="7963" max="7964" width="0" style="1" hidden="1" customWidth="1"/>
    <col min="7965" max="7965" width="12.77734375" style="1" customWidth="1"/>
    <col min="7966" max="7966" width="17.88671875" style="1" customWidth="1"/>
    <col min="7967" max="7967" width="11.77734375" style="1" customWidth="1"/>
    <col min="7968" max="7968" width="12" style="1" customWidth="1"/>
    <col min="7969" max="8192" width="27.5546875" style="1"/>
    <col min="8193" max="8193" width="19.44140625" style="1" customWidth="1"/>
    <col min="8194" max="8195" width="12.77734375" style="1" customWidth="1"/>
    <col min="8196" max="8196" width="13" style="1" customWidth="1"/>
    <col min="8197" max="8198" width="12.77734375" style="1" customWidth="1"/>
    <col min="8199" max="8201" width="0" style="1" hidden="1" customWidth="1"/>
    <col min="8202" max="8210" width="12.77734375" style="1" customWidth="1"/>
    <col min="8211" max="8211" width="0" style="1" hidden="1" customWidth="1"/>
    <col min="8212" max="8215" width="12.77734375" style="1" customWidth="1"/>
    <col min="8216" max="8216" width="1.77734375" style="1" customWidth="1"/>
    <col min="8217" max="8217" width="12.77734375" style="1" customWidth="1"/>
    <col min="8218" max="8218" width="1.77734375" style="1" customWidth="1"/>
    <col min="8219" max="8220" width="0" style="1" hidden="1" customWidth="1"/>
    <col min="8221" max="8221" width="12.77734375" style="1" customWidth="1"/>
    <col min="8222" max="8222" width="17.88671875" style="1" customWidth="1"/>
    <col min="8223" max="8223" width="11.77734375" style="1" customWidth="1"/>
    <col min="8224" max="8224" width="12" style="1" customWidth="1"/>
    <col min="8225" max="8448" width="27.5546875" style="1"/>
    <col min="8449" max="8449" width="19.44140625" style="1" customWidth="1"/>
    <col min="8450" max="8451" width="12.77734375" style="1" customWidth="1"/>
    <col min="8452" max="8452" width="13" style="1" customWidth="1"/>
    <col min="8453" max="8454" width="12.77734375" style="1" customWidth="1"/>
    <col min="8455" max="8457" width="0" style="1" hidden="1" customWidth="1"/>
    <col min="8458" max="8466" width="12.77734375" style="1" customWidth="1"/>
    <col min="8467" max="8467" width="0" style="1" hidden="1" customWidth="1"/>
    <col min="8468" max="8471" width="12.77734375" style="1" customWidth="1"/>
    <col min="8472" max="8472" width="1.77734375" style="1" customWidth="1"/>
    <col min="8473" max="8473" width="12.77734375" style="1" customWidth="1"/>
    <col min="8474" max="8474" width="1.77734375" style="1" customWidth="1"/>
    <col min="8475" max="8476" width="0" style="1" hidden="1" customWidth="1"/>
    <col min="8477" max="8477" width="12.77734375" style="1" customWidth="1"/>
    <col min="8478" max="8478" width="17.88671875" style="1" customWidth="1"/>
    <col min="8479" max="8479" width="11.77734375" style="1" customWidth="1"/>
    <col min="8480" max="8480" width="12" style="1" customWidth="1"/>
    <col min="8481" max="8704" width="27.5546875" style="1"/>
    <col min="8705" max="8705" width="19.44140625" style="1" customWidth="1"/>
    <col min="8706" max="8707" width="12.77734375" style="1" customWidth="1"/>
    <col min="8708" max="8708" width="13" style="1" customWidth="1"/>
    <col min="8709" max="8710" width="12.77734375" style="1" customWidth="1"/>
    <col min="8711" max="8713" width="0" style="1" hidden="1" customWidth="1"/>
    <col min="8714" max="8722" width="12.77734375" style="1" customWidth="1"/>
    <col min="8723" max="8723" width="0" style="1" hidden="1" customWidth="1"/>
    <col min="8724" max="8727" width="12.77734375" style="1" customWidth="1"/>
    <col min="8728" max="8728" width="1.77734375" style="1" customWidth="1"/>
    <col min="8729" max="8729" width="12.77734375" style="1" customWidth="1"/>
    <col min="8730" max="8730" width="1.77734375" style="1" customWidth="1"/>
    <col min="8731" max="8732" width="0" style="1" hidden="1" customWidth="1"/>
    <col min="8733" max="8733" width="12.77734375" style="1" customWidth="1"/>
    <col min="8734" max="8734" width="17.88671875" style="1" customWidth="1"/>
    <col min="8735" max="8735" width="11.77734375" style="1" customWidth="1"/>
    <col min="8736" max="8736" width="12" style="1" customWidth="1"/>
    <col min="8737" max="8960" width="27.5546875" style="1"/>
    <col min="8961" max="8961" width="19.44140625" style="1" customWidth="1"/>
    <col min="8962" max="8963" width="12.77734375" style="1" customWidth="1"/>
    <col min="8964" max="8964" width="13" style="1" customWidth="1"/>
    <col min="8965" max="8966" width="12.77734375" style="1" customWidth="1"/>
    <col min="8967" max="8969" width="0" style="1" hidden="1" customWidth="1"/>
    <col min="8970" max="8978" width="12.77734375" style="1" customWidth="1"/>
    <col min="8979" max="8979" width="0" style="1" hidden="1" customWidth="1"/>
    <col min="8980" max="8983" width="12.77734375" style="1" customWidth="1"/>
    <col min="8984" max="8984" width="1.77734375" style="1" customWidth="1"/>
    <col min="8985" max="8985" width="12.77734375" style="1" customWidth="1"/>
    <col min="8986" max="8986" width="1.77734375" style="1" customWidth="1"/>
    <col min="8987" max="8988" width="0" style="1" hidden="1" customWidth="1"/>
    <col min="8989" max="8989" width="12.77734375" style="1" customWidth="1"/>
    <col min="8990" max="8990" width="17.88671875" style="1" customWidth="1"/>
    <col min="8991" max="8991" width="11.77734375" style="1" customWidth="1"/>
    <col min="8992" max="8992" width="12" style="1" customWidth="1"/>
    <col min="8993" max="9216" width="27.5546875" style="1"/>
    <col min="9217" max="9217" width="19.44140625" style="1" customWidth="1"/>
    <col min="9218" max="9219" width="12.77734375" style="1" customWidth="1"/>
    <col min="9220" max="9220" width="13" style="1" customWidth="1"/>
    <col min="9221" max="9222" width="12.77734375" style="1" customWidth="1"/>
    <col min="9223" max="9225" width="0" style="1" hidden="1" customWidth="1"/>
    <col min="9226" max="9234" width="12.77734375" style="1" customWidth="1"/>
    <col min="9235" max="9235" width="0" style="1" hidden="1" customWidth="1"/>
    <col min="9236" max="9239" width="12.77734375" style="1" customWidth="1"/>
    <col min="9240" max="9240" width="1.77734375" style="1" customWidth="1"/>
    <col min="9241" max="9241" width="12.77734375" style="1" customWidth="1"/>
    <col min="9242" max="9242" width="1.77734375" style="1" customWidth="1"/>
    <col min="9243" max="9244" width="0" style="1" hidden="1" customWidth="1"/>
    <col min="9245" max="9245" width="12.77734375" style="1" customWidth="1"/>
    <col min="9246" max="9246" width="17.88671875" style="1" customWidth="1"/>
    <col min="9247" max="9247" width="11.77734375" style="1" customWidth="1"/>
    <col min="9248" max="9248" width="12" style="1" customWidth="1"/>
    <col min="9249" max="9472" width="27.5546875" style="1"/>
    <col min="9473" max="9473" width="19.44140625" style="1" customWidth="1"/>
    <col min="9474" max="9475" width="12.77734375" style="1" customWidth="1"/>
    <col min="9476" max="9476" width="13" style="1" customWidth="1"/>
    <col min="9477" max="9478" width="12.77734375" style="1" customWidth="1"/>
    <col min="9479" max="9481" width="0" style="1" hidden="1" customWidth="1"/>
    <col min="9482" max="9490" width="12.77734375" style="1" customWidth="1"/>
    <col min="9491" max="9491" width="0" style="1" hidden="1" customWidth="1"/>
    <col min="9492" max="9495" width="12.77734375" style="1" customWidth="1"/>
    <col min="9496" max="9496" width="1.77734375" style="1" customWidth="1"/>
    <col min="9497" max="9497" width="12.77734375" style="1" customWidth="1"/>
    <col min="9498" max="9498" width="1.77734375" style="1" customWidth="1"/>
    <col min="9499" max="9500" width="0" style="1" hidden="1" customWidth="1"/>
    <col min="9501" max="9501" width="12.77734375" style="1" customWidth="1"/>
    <col min="9502" max="9502" width="17.88671875" style="1" customWidth="1"/>
    <col min="9503" max="9503" width="11.77734375" style="1" customWidth="1"/>
    <col min="9504" max="9504" width="12" style="1" customWidth="1"/>
    <col min="9505" max="9728" width="27.5546875" style="1"/>
    <col min="9729" max="9729" width="19.44140625" style="1" customWidth="1"/>
    <col min="9730" max="9731" width="12.77734375" style="1" customWidth="1"/>
    <col min="9732" max="9732" width="13" style="1" customWidth="1"/>
    <col min="9733" max="9734" width="12.77734375" style="1" customWidth="1"/>
    <col min="9735" max="9737" width="0" style="1" hidden="1" customWidth="1"/>
    <col min="9738" max="9746" width="12.77734375" style="1" customWidth="1"/>
    <col min="9747" max="9747" width="0" style="1" hidden="1" customWidth="1"/>
    <col min="9748" max="9751" width="12.77734375" style="1" customWidth="1"/>
    <col min="9752" max="9752" width="1.77734375" style="1" customWidth="1"/>
    <col min="9753" max="9753" width="12.77734375" style="1" customWidth="1"/>
    <col min="9754" max="9754" width="1.77734375" style="1" customWidth="1"/>
    <col min="9755" max="9756" width="0" style="1" hidden="1" customWidth="1"/>
    <col min="9757" max="9757" width="12.77734375" style="1" customWidth="1"/>
    <col min="9758" max="9758" width="17.88671875" style="1" customWidth="1"/>
    <col min="9759" max="9759" width="11.77734375" style="1" customWidth="1"/>
    <col min="9760" max="9760" width="12" style="1" customWidth="1"/>
    <col min="9761" max="9984" width="27.5546875" style="1"/>
    <col min="9985" max="9985" width="19.44140625" style="1" customWidth="1"/>
    <col min="9986" max="9987" width="12.77734375" style="1" customWidth="1"/>
    <col min="9988" max="9988" width="13" style="1" customWidth="1"/>
    <col min="9989" max="9990" width="12.77734375" style="1" customWidth="1"/>
    <col min="9991" max="9993" width="0" style="1" hidden="1" customWidth="1"/>
    <col min="9994" max="10002" width="12.77734375" style="1" customWidth="1"/>
    <col min="10003" max="10003" width="0" style="1" hidden="1" customWidth="1"/>
    <col min="10004" max="10007" width="12.77734375" style="1" customWidth="1"/>
    <col min="10008" max="10008" width="1.77734375" style="1" customWidth="1"/>
    <col min="10009" max="10009" width="12.77734375" style="1" customWidth="1"/>
    <col min="10010" max="10010" width="1.77734375" style="1" customWidth="1"/>
    <col min="10011" max="10012" width="0" style="1" hidden="1" customWidth="1"/>
    <col min="10013" max="10013" width="12.77734375" style="1" customWidth="1"/>
    <col min="10014" max="10014" width="17.88671875" style="1" customWidth="1"/>
    <col min="10015" max="10015" width="11.77734375" style="1" customWidth="1"/>
    <col min="10016" max="10016" width="12" style="1" customWidth="1"/>
    <col min="10017" max="10240" width="27.5546875" style="1"/>
    <col min="10241" max="10241" width="19.44140625" style="1" customWidth="1"/>
    <col min="10242" max="10243" width="12.77734375" style="1" customWidth="1"/>
    <col min="10244" max="10244" width="13" style="1" customWidth="1"/>
    <col min="10245" max="10246" width="12.77734375" style="1" customWidth="1"/>
    <col min="10247" max="10249" width="0" style="1" hidden="1" customWidth="1"/>
    <col min="10250" max="10258" width="12.77734375" style="1" customWidth="1"/>
    <col min="10259" max="10259" width="0" style="1" hidden="1" customWidth="1"/>
    <col min="10260" max="10263" width="12.77734375" style="1" customWidth="1"/>
    <col min="10264" max="10264" width="1.77734375" style="1" customWidth="1"/>
    <col min="10265" max="10265" width="12.77734375" style="1" customWidth="1"/>
    <col min="10266" max="10266" width="1.77734375" style="1" customWidth="1"/>
    <col min="10267" max="10268" width="0" style="1" hidden="1" customWidth="1"/>
    <col min="10269" max="10269" width="12.77734375" style="1" customWidth="1"/>
    <col min="10270" max="10270" width="17.88671875" style="1" customWidth="1"/>
    <col min="10271" max="10271" width="11.77734375" style="1" customWidth="1"/>
    <col min="10272" max="10272" width="12" style="1" customWidth="1"/>
    <col min="10273" max="10496" width="27.5546875" style="1"/>
    <col min="10497" max="10497" width="19.44140625" style="1" customWidth="1"/>
    <col min="10498" max="10499" width="12.77734375" style="1" customWidth="1"/>
    <col min="10500" max="10500" width="13" style="1" customWidth="1"/>
    <col min="10501" max="10502" width="12.77734375" style="1" customWidth="1"/>
    <col min="10503" max="10505" width="0" style="1" hidden="1" customWidth="1"/>
    <col min="10506" max="10514" width="12.77734375" style="1" customWidth="1"/>
    <col min="10515" max="10515" width="0" style="1" hidden="1" customWidth="1"/>
    <col min="10516" max="10519" width="12.77734375" style="1" customWidth="1"/>
    <col min="10520" max="10520" width="1.77734375" style="1" customWidth="1"/>
    <col min="10521" max="10521" width="12.77734375" style="1" customWidth="1"/>
    <col min="10522" max="10522" width="1.77734375" style="1" customWidth="1"/>
    <col min="10523" max="10524" width="0" style="1" hidden="1" customWidth="1"/>
    <col min="10525" max="10525" width="12.77734375" style="1" customWidth="1"/>
    <col min="10526" max="10526" width="17.88671875" style="1" customWidth="1"/>
    <col min="10527" max="10527" width="11.77734375" style="1" customWidth="1"/>
    <col min="10528" max="10528" width="12" style="1" customWidth="1"/>
    <col min="10529" max="10752" width="27.5546875" style="1"/>
    <col min="10753" max="10753" width="19.44140625" style="1" customWidth="1"/>
    <col min="10754" max="10755" width="12.77734375" style="1" customWidth="1"/>
    <col min="10756" max="10756" width="13" style="1" customWidth="1"/>
    <col min="10757" max="10758" width="12.77734375" style="1" customWidth="1"/>
    <col min="10759" max="10761" width="0" style="1" hidden="1" customWidth="1"/>
    <col min="10762" max="10770" width="12.77734375" style="1" customWidth="1"/>
    <col min="10771" max="10771" width="0" style="1" hidden="1" customWidth="1"/>
    <col min="10772" max="10775" width="12.77734375" style="1" customWidth="1"/>
    <col min="10776" max="10776" width="1.77734375" style="1" customWidth="1"/>
    <col min="10777" max="10777" width="12.77734375" style="1" customWidth="1"/>
    <col min="10778" max="10778" width="1.77734375" style="1" customWidth="1"/>
    <col min="10779" max="10780" width="0" style="1" hidden="1" customWidth="1"/>
    <col min="10781" max="10781" width="12.77734375" style="1" customWidth="1"/>
    <col min="10782" max="10782" width="17.88671875" style="1" customWidth="1"/>
    <col min="10783" max="10783" width="11.77734375" style="1" customWidth="1"/>
    <col min="10784" max="10784" width="12" style="1" customWidth="1"/>
    <col min="10785" max="11008" width="27.5546875" style="1"/>
    <col min="11009" max="11009" width="19.44140625" style="1" customWidth="1"/>
    <col min="11010" max="11011" width="12.77734375" style="1" customWidth="1"/>
    <col min="11012" max="11012" width="13" style="1" customWidth="1"/>
    <col min="11013" max="11014" width="12.77734375" style="1" customWidth="1"/>
    <col min="11015" max="11017" width="0" style="1" hidden="1" customWidth="1"/>
    <col min="11018" max="11026" width="12.77734375" style="1" customWidth="1"/>
    <col min="11027" max="11027" width="0" style="1" hidden="1" customWidth="1"/>
    <col min="11028" max="11031" width="12.77734375" style="1" customWidth="1"/>
    <col min="11032" max="11032" width="1.77734375" style="1" customWidth="1"/>
    <col min="11033" max="11033" width="12.77734375" style="1" customWidth="1"/>
    <col min="11034" max="11034" width="1.77734375" style="1" customWidth="1"/>
    <col min="11035" max="11036" width="0" style="1" hidden="1" customWidth="1"/>
    <col min="11037" max="11037" width="12.77734375" style="1" customWidth="1"/>
    <col min="11038" max="11038" width="17.88671875" style="1" customWidth="1"/>
    <col min="11039" max="11039" width="11.77734375" style="1" customWidth="1"/>
    <col min="11040" max="11040" width="12" style="1" customWidth="1"/>
    <col min="11041" max="11264" width="27.5546875" style="1"/>
    <col min="11265" max="11265" width="19.44140625" style="1" customWidth="1"/>
    <col min="11266" max="11267" width="12.77734375" style="1" customWidth="1"/>
    <col min="11268" max="11268" width="13" style="1" customWidth="1"/>
    <col min="11269" max="11270" width="12.77734375" style="1" customWidth="1"/>
    <col min="11271" max="11273" width="0" style="1" hidden="1" customWidth="1"/>
    <col min="11274" max="11282" width="12.77734375" style="1" customWidth="1"/>
    <col min="11283" max="11283" width="0" style="1" hidden="1" customWidth="1"/>
    <col min="11284" max="11287" width="12.77734375" style="1" customWidth="1"/>
    <col min="11288" max="11288" width="1.77734375" style="1" customWidth="1"/>
    <col min="11289" max="11289" width="12.77734375" style="1" customWidth="1"/>
    <col min="11290" max="11290" width="1.77734375" style="1" customWidth="1"/>
    <col min="11291" max="11292" width="0" style="1" hidden="1" customWidth="1"/>
    <col min="11293" max="11293" width="12.77734375" style="1" customWidth="1"/>
    <col min="11294" max="11294" width="17.88671875" style="1" customWidth="1"/>
    <col min="11295" max="11295" width="11.77734375" style="1" customWidth="1"/>
    <col min="11296" max="11296" width="12" style="1" customWidth="1"/>
    <col min="11297" max="11520" width="27.5546875" style="1"/>
    <col min="11521" max="11521" width="19.44140625" style="1" customWidth="1"/>
    <col min="11522" max="11523" width="12.77734375" style="1" customWidth="1"/>
    <col min="11524" max="11524" width="13" style="1" customWidth="1"/>
    <col min="11525" max="11526" width="12.77734375" style="1" customWidth="1"/>
    <col min="11527" max="11529" width="0" style="1" hidden="1" customWidth="1"/>
    <col min="11530" max="11538" width="12.77734375" style="1" customWidth="1"/>
    <col min="11539" max="11539" width="0" style="1" hidden="1" customWidth="1"/>
    <col min="11540" max="11543" width="12.77734375" style="1" customWidth="1"/>
    <col min="11544" max="11544" width="1.77734375" style="1" customWidth="1"/>
    <col min="11545" max="11545" width="12.77734375" style="1" customWidth="1"/>
    <col min="11546" max="11546" width="1.77734375" style="1" customWidth="1"/>
    <col min="11547" max="11548" width="0" style="1" hidden="1" customWidth="1"/>
    <col min="11549" max="11549" width="12.77734375" style="1" customWidth="1"/>
    <col min="11550" max="11550" width="17.88671875" style="1" customWidth="1"/>
    <col min="11551" max="11551" width="11.77734375" style="1" customWidth="1"/>
    <col min="11552" max="11552" width="12" style="1" customWidth="1"/>
    <col min="11553" max="11776" width="27.5546875" style="1"/>
    <col min="11777" max="11777" width="19.44140625" style="1" customWidth="1"/>
    <col min="11778" max="11779" width="12.77734375" style="1" customWidth="1"/>
    <col min="11780" max="11780" width="13" style="1" customWidth="1"/>
    <col min="11781" max="11782" width="12.77734375" style="1" customWidth="1"/>
    <col min="11783" max="11785" width="0" style="1" hidden="1" customWidth="1"/>
    <col min="11786" max="11794" width="12.77734375" style="1" customWidth="1"/>
    <col min="11795" max="11795" width="0" style="1" hidden="1" customWidth="1"/>
    <col min="11796" max="11799" width="12.77734375" style="1" customWidth="1"/>
    <col min="11800" max="11800" width="1.77734375" style="1" customWidth="1"/>
    <col min="11801" max="11801" width="12.77734375" style="1" customWidth="1"/>
    <col min="11802" max="11802" width="1.77734375" style="1" customWidth="1"/>
    <col min="11803" max="11804" width="0" style="1" hidden="1" customWidth="1"/>
    <col min="11805" max="11805" width="12.77734375" style="1" customWidth="1"/>
    <col min="11806" max="11806" width="17.88671875" style="1" customWidth="1"/>
    <col min="11807" max="11807" width="11.77734375" style="1" customWidth="1"/>
    <col min="11808" max="11808" width="12" style="1" customWidth="1"/>
    <col min="11809" max="12032" width="27.5546875" style="1"/>
    <col min="12033" max="12033" width="19.44140625" style="1" customWidth="1"/>
    <col min="12034" max="12035" width="12.77734375" style="1" customWidth="1"/>
    <col min="12036" max="12036" width="13" style="1" customWidth="1"/>
    <col min="12037" max="12038" width="12.77734375" style="1" customWidth="1"/>
    <col min="12039" max="12041" width="0" style="1" hidden="1" customWidth="1"/>
    <col min="12042" max="12050" width="12.77734375" style="1" customWidth="1"/>
    <col min="12051" max="12051" width="0" style="1" hidden="1" customWidth="1"/>
    <col min="12052" max="12055" width="12.77734375" style="1" customWidth="1"/>
    <col min="12056" max="12056" width="1.77734375" style="1" customWidth="1"/>
    <col min="12057" max="12057" width="12.77734375" style="1" customWidth="1"/>
    <col min="12058" max="12058" width="1.77734375" style="1" customWidth="1"/>
    <col min="12059" max="12060" width="0" style="1" hidden="1" customWidth="1"/>
    <col min="12061" max="12061" width="12.77734375" style="1" customWidth="1"/>
    <col min="12062" max="12062" width="17.88671875" style="1" customWidth="1"/>
    <col min="12063" max="12063" width="11.77734375" style="1" customWidth="1"/>
    <col min="12064" max="12064" width="12" style="1" customWidth="1"/>
    <col min="12065" max="12288" width="27.5546875" style="1"/>
    <col min="12289" max="12289" width="19.44140625" style="1" customWidth="1"/>
    <col min="12290" max="12291" width="12.77734375" style="1" customWidth="1"/>
    <col min="12292" max="12292" width="13" style="1" customWidth="1"/>
    <col min="12293" max="12294" width="12.77734375" style="1" customWidth="1"/>
    <col min="12295" max="12297" width="0" style="1" hidden="1" customWidth="1"/>
    <col min="12298" max="12306" width="12.77734375" style="1" customWidth="1"/>
    <col min="12307" max="12307" width="0" style="1" hidden="1" customWidth="1"/>
    <col min="12308" max="12311" width="12.77734375" style="1" customWidth="1"/>
    <col min="12312" max="12312" width="1.77734375" style="1" customWidth="1"/>
    <col min="12313" max="12313" width="12.77734375" style="1" customWidth="1"/>
    <col min="12314" max="12314" width="1.77734375" style="1" customWidth="1"/>
    <col min="12315" max="12316" width="0" style="1" hidden="1" customWidth="1"/>
    <col min="12317" max="12317" width="12.77734375" style="1" customWidth="1"/>
    <col min="12318" max="12318" width="17.88671875" style="1" customWidth="1"/>
    <col min="12319" max="12319" width="11.77734375" style="1" customWidth="1"/>
    <col min="12320" max="12320" width="12" style="1" customWidth="1"/>
    <col min="12321" max="12544" width="27.5546875" style="1"/>
    <col min="12545" max="12545" width="19.44140625" style="1" customWidth="1"/>
    <col min="12546" max="12547" width="12.77734375" style="1" customWidth="1"/>
    <col min="12548" max="12548" width="13" style="1" customWidth="1"/>
    <col min="12549" max="12550" width="12.77734375" style="1" customWidth="1"/>
    <col min="12551" max="12553" width="0" style="1" hidden="1" customWidth="1"/>
    <col min="12554" max="12562" width="12.77734375" style="1" customWidth="1"/>
    <col min="12563" max="12563" width="0" style="1" hidden="1" customWidth="1"/>
    <col min="12564" max="12567" width="12.77734375" style="1" customWidth="1"/>
    <col min="12568" max="12568" width="1.77734375" style="1" customWidth="1"/>
    <col min="12569" max="12569" width="12.77734375" style="1" customWidth="1"/>
    <col min="12570" max="12570" width="1.77734375" style="1" customWidth="1"/>
    <col min="12571" max="12572" width="0" style="1" hidden="1" customWidth="1"/>
    <col min="12573" max="12573" width="12.77734375" style="1" customWidth="1"/>
    <col min="12574" max="12574" width="17.88671875" style="1" customWidth="1"/>
    <col min="12575" max="12575" width="11.77734375" style="1" customWidth="1"/>
    <col min="12576" max="12576" width="12" style="1" customWidth="1"/>
    <col min="12577" max="12800" width="27.5546875" style="1"/>
    <col min="12801" max="12801" width="19.44140625" style="1" customWidth="1"/>
    <col min="12802" max="12803" width="12.77734375" style="1" customWidth="1"/>
    <col min="12804" max="12804" width="13" style="1" customWidth="1"/>
    <col min="12805" max="12806" width="12.77734375" style="1" customWidth="1"/>
    <col min="12807" max="12809" width="0" style="1" hidden="1" customWidth="1"/>
    <col min="12810" max="12818" width="12.77734375" style="1" customWidth="1"/>
    <col min="12819" max="12819" width="0" style="1" hidden="1" customWidth="1"/>
    <col min="12820" max="12823" width="12.77734375" style="1" customWidth="1"/>
    <col min="12824" max="12824" width="1.77734375" style="1" customWidth="1"/>
    <col min="12825" max="12825" width="12.77734375" style="1" customWidth="1"/>
    <col min="12826" max="12826" width="1.77734375" style="1" customWidth="1"/>
    <col min="12827" max="12828" width="0" style="1" hidden="1" customWidth="1"/>
    <col min="12829" max="12829" width="12.77734375" style="1" customWidth="1"/>
    <col min="12830" max="12830" width="17.88671875" style="1" customWidth="1"/>
    <col min="12831" max="12831" width="11.77734375" style="1" customWidth="1"/>
    <col min="12832" max="12832" width="12" style="1" customWidth="1"/>
    <col min="12833" max="13056" width="27.5546875" style="1"/>
    <col min="13057" max="13057" width="19.44140625" style="1" customWidth="1"/>
    <col min="13058" max="13059" width="12.77734375" style="1" customWidth="1"/>
    <col min="13060" max="13060" width="13" style="1" customWidth="1"/>
    <col min="13061" max="13062" width="12.77734375" style="1" customWidth="1"/>
    <col min="13063" max="13065" width="0" style="1" hidden="1" customWidth="1"/>
    <col min="13066" max="13074" width="12.77734375" style="1" customWidth="1"/>
    <col min="13075" max="13075" width="0" style="1" hidden="1" customWidth="1"/>
    <col min="13076" max="13079" width="12.77734375" style="1" customWidth="1"/>
    <col min="13080" max="13080" width="1.77734375" style="1" customWidth="1"/>
    <col min="13081" max="13081" width="12.77734375" style="1" customWidth="1"/>
    <col min="13082" max="13082" width="1.77734375" style="1" customWidth="1"/>
    <col min="13083" max="13084" width="0" style="1" hidden="1" customWidth="1"/>
    <col min="13085" max="13085" width="12.77734375" style="1" customWidth="1"/>
    <col min="13086" max="13086" width="17.88671875" style="1" customWidth="1"/>
    <col min="13087" max="13087" width="11.77734375" style="1" customWidth="1"/>
    <col min="13088" max="13088" width="12" style="1" customWidth="1"/>
    <col min="13089" max="13312" width="27.5546875" style="1"/>
    <col min="13313" max="13313" width="19.44140625" style="1" customWidth="1"/>
    <col min="13314" max="13315" width="12.77734375" style="1" customWidth="1"/>
    <col min="13316" max="13316" width="13" style="1" customWidth="1"/>
    <col min="13317" max="13318" width="12.77734375" style="1" customWidth="1"/>
    <col min="13319" max="13321" width="0" style="1" hidden="1" customWidth="1"/>
    <col min="13322" max="13330" width="12.77734375" style="1" customWidth="1"/>
    <col min="13331" max="13331" width="0" style="1" hidden="1" customWidth="1"/>
    <col min="13332" max="13335" width="12.77734375" style="1" customWidth="1"/>
    <col min="13336" max="13336" width="1.77734375" style="1" customWidth="1"/>
    <col min="13337" max="13337" width="12.77734375" style="1" customWidth="1"/>
    <col min="13338" max="13338" width="1.77734375" style="1" customWidth="1"/>
    <col min="13339" max="13340" width="0" style="1" hidden="1" customWidth="1"/>
    <col min="13341" max="13341" width="12.77734375" style="1" customWidth="1"/>
    <col min="13342" max="13342" width="17.88671875" style="1" customWidth="1"/>
    <col min="13343" max="13343" width="11.77734375" style="1" customWidth="1"/>
    <col min="13344" max="13344" width="12" style="1" customWidth="1"/>
    <col min="13345" max="13568" width="27.5546875" style="1"/>
    <col min="13569" max="13569" width="19.44140625" style="1" customWidth="1"/>
    <col min="13570" max="13571" width="12.77734375" style="1" customWidth="1"/>
    <col min="13572" max="13572" width="13" style="1" customWidth="1"/>
    <col min="13573" max="13574" width="12.77734375" style="1" customWidth="1"/>
    <col min="13575" max="13577" width="0" style="1" hidden="1" customWidth="1"/>
    <col min="13578" max="13586" width="12.77734375" style="1" customWidth="1"/>
    <col min="13587" max="13587" width="0" style="1" hidden="1" customWidth="1"/>
    <col min="13588" max="13591" width="12.77734375" style="1" customWidth="1"/>
    <col min="13592" max="13592" width="1.77734375" style="1" customWidth="1"/>
    <col min="13593" max="13593" width="12.77734375" style="1" customWidth="1"/>
    <col min="13594" max="13594" width="1.77734375" style="1" customWidth="1"/>
    <col min="13595" max="13596" width="0" style="1" hidden="1" customWidth="1"/>
    <col min="13597" max="13597" width="12.77734375" style="1" customWidth="1"/>
    <col min="13598" max="13598" width="17.88671875" style="1" customWidth="1"/>
    <col min="13599" max="13599" width="11.77734375" style="1" customWidth="1"/>
    <col min="13600" max="13600" width="12" style="1" customWidth="1"/>
    <col min="13601" max="13824" width="27.5546875" style="1"/>
    <col min="13825" max="13825" width="19.44140625" style="1" customWidth="1"/>
    <col min="13826" max="13827" width="12.77734375" style="1" customWidth="1"/>
    <col min="13828" max="13828" width="13" style="1" customWidth="1"/>
    <col min="13829" max="13830" width="12.77734375" style="1" customWidth="1"/>
    <col min="13831" max="13833" width="0" style="1" hidden="1" customWidth="1"/>
    <col min="13834" max="13842" width="12.77734375" style="1" customWidth="1"/>
    <col min="13843" max="13843" width="0" style="1" hidden="1" customWidth="1"/>
    <col min="13844" max="13847" width="12.77734375" style="1" customWidth="1"/>
    <col min="13848" max="13848" width="1.77734375" style="1" customWidth="1"/>
    <col min="13849" max="13849" width="12.77734375" style="1" customWidth="1"/>
    <col min="13850" max="13850" width="1.77734375" style="1" customWidth="1"/>
    <col min="13851" max="13852" width="0" style="1" hidden="1" customWidth="1"/>
    <col min="13853" max="13853" width="12.77734375" style="1" customWidth="1"/>
    <col min="13854" max="13854" width="17.88671875" style="1" customWidth="1"/>
    <col min="13855" max="13855" width="11.77734375" style="1" customWidth="1"/>
    <col min="13856" max="13856" width="12" style="1" customWidth="1"/>
    <col min="13857" max="14080" width="27.5546875" style="1"/>
    <col min="14081" max="14081" width="19.44140625" style="1" customWidth="1"/>
    <col min="14082" max="14083" width="12.77734375" style="1" customWidth="1"/>
    <col min="14084" max="14084" width="13" style="1" customWidth="1"/>
    <col min="14085" max="14086" width="12.77734375" style="1" customWidth="1"/>
    <col min="14087" max="14089" width="0" style="1" hidden="1" customWidth="1"/>
    <col min="14090" max="14098" width="12.77734375" style="1" customWidth="1"/>
    <col min="14099" max="14099" width="0" style="1" hidden="1" customWidth="1"/>
    <col min="14100" max="14103" width="12.77734375" style="1" customWidth="1"/>
    <col min="14104" max="14104" width="1.77734375" style="1" customWidth="1"/>
    <col min="14105" max="14105" width="12.77734375" style="1" customWidth="1"/>
    <col min="14106" max="14106" width="1.77734375" style="1" customWidth="1"/>
    <col min="14107" max="14108" width="0" style="1" hidden="1" customWidth="1"/>
    <col min="14109" max="14109" width="12.77734375" style="1" customWidth="1"/>
    <col min="14110" max="14110" width="17.88671875" style="1" customWidth="1"/>
    <col min="14111" max="14111" width="11.77734375" style="1" customWidth="1"/>
    <col min="14112" max="14112" width="12" style="1" customWidth="1"/>
    <col min="14113" max="14336" width="27.5546875" style="1"/>
    <col min="14337" max="14337" width="19.44140625" style="1" customWidth="1"/>
    <col min="14338" max="14339" width="12.77734375" style="1" customWidth="1"/>
    <col min="14340" max="14340" width="13" style="1" customWidth="1"/>
    <col min="14341" max="14342" width="12.77734375" style="1" customWidth="1"/>
    <col min="14343" max="14345" width="0" style="1" hidden="1" customWidth="1"/>
    <col min="14346" max="14354" width="12.77734375" style="1" customWidth="1"/>
    <col min="14355" max="14355" width="0" style="1" hidden="1" customWidth="1"/>
    <col min="14356" max="14359" width="12.77734375" style="1" customWidth="1"/>
    <col min="14360" max="14360" width="1.77734375" style="1" customWidth="1"/>
    <col min="14361" max="14361" width="12.77734375" style="1" customWidth="1"/>
    <col min="14362" max="14362" width="1.77734375" style="1" customWidth="1"/>
    <col min="14363" max="14364" width="0" style="1" hidden="1" customWidth="1"/>
    <col min="14365" max="14365" width="12.77734375" style="1" customWidth="1"/>
    <col min="14366" max="14366" width="17.88671875" style="1" customWidth="1"/>
    <col min="14367" max="14367" width="11.77734375" style="1" customWidth="1"/>
    <col min="14368" max="14368" width="12" style="1" customWidth="1"/>
    <col min="14369" max="14592" width="27.5546875" style="1"/>
    <col min="14593" max="14593" width="19.44140625" style="1" customWidth="1"/>
    <col min="14594" max="14595" width="12.77734375" style="1" customWidth="1"/>
    <col min="14596" max="14596" width="13" style="1" customWidth="1"/>
    <col min="14597" max="14598" width="12.77734375" style="1" customWidth="1"/>
    <col min="14599" max="14601" width="0" style="1" hidden="1" customWidth="1"/>
    <col min="14602" max="14610" width="12.77734375" style="1" customWidth="1"/>
    <col min="14611" max="14611" width="0" style="1" hidden="1" customWidth="1"/>
    <col min="14612" max="14615" width="12.77734375" style="1" customWidth="1"/>
    <col min="14616" max="14616" width="1.77734375" style="1" customWidth="1"/>
    <col min="14617" max="14617" width="12.77734375" style="1" customWidth="1"/>
    <col min="14618" max="14618" width="1.77734375" style="1" customWidth="1"/>
    <col min="14619" max="14620" width="0" style="1" hidden="1" customWidth="1"/>
    <col min="14621" max="14621" width="12.77734375" style="1" customWidth="1"/>
    <col min="14622" max="14622" width="17.88671875" style="1" customWidth="1"/>
    <col min="14623" max="14623" width="11.77734375" style="1" customWidth="1"/>
    <col min="14624" max="14624" width="12" style="1" customWidth="1"/>
    <col min="14625" max="14848" width="27.5546875" style="1"/>
    <col min="14849" max="14849" width="19.44140625" style="1" customWidth="1"/>
    <col min="14850" max="14851" width="12.77734375" style="1" customWidth="1"/>
    <col min="14852" max="14852" width="13" style="1" customWidth="1"/>
    <col min="14853" max="14854" width="12.77734375" style="1" customWidth="1"/>
    <col min="14855" max="14857" width="0" style="1" hidden="1" customWidth="1"/>
    <col min="14858" max="14866" width="12.77734375" style="1" customWidth="1"/>
    <col min="14867" max="14867" width="0" style="1" hidden="1" customWidth="1"/>
    <col min="14868" max="14871" width="12.77734375" style="1" customWidth="1"/>
    <col min="14872" max="14872" width="1.77734375" style="1" customWidth="1"/>
    <col min="14873" max="14873" width="12.77734375" style="1" customWidth="1"/>
    <col min="14874" max="14874" width="1.77734375" style="1" customWidth="1"/>
    <col min="14875" max="14876" width="0" style="1" hidden="1" customWidth="1"/>
    <col min="14877" max="14877" width="12.77734375" style="1" customWidth="1"/>
    <col min="14878" max="14878" width="17.88671875" style="1" customWidth="1"/>
    <col min="14879" max="14879" width="11.77734375" style="1" customWidth="1"/>
    <col min="14880" max="14880" width="12" style="1" customWidth="1"/>
    <col min="14881" max="15104" width="27.5546875" style="1"/>
    <col min="15105" max="15105" width="19.44140625" style="1" customWidth="1"/>
    <col min="15106" max="15107" width="12.77734375" style="1" customWidth="1"/>
    <col min="15108" max="15108" width="13" style="1" customWidth="1"/>
    <col min="15109" max="15110" width="12.77734375" style="1" customWidth="1"/>
    <col min="15111" max="15113" width="0" style="1" hidden="1" customWidth="1"/>
    <col min="15114" max="15122" width="12.77734375" style="1" customWidth="1"/>
    <col min="15123" max="15123" width="0" style="1" hidden="1" customWidth="1"/>
    <col min="15124" max="15127" width="12.77734375" style="1" customWidth="1"/>
    <col min="15128" max="15128" width="1.77734375" style="1" customWidth="1"/>
    <col min="15129" max="15129" width="12.77734375" style="1" customWidth="1"/>
    <col min="15130" max="15130" width="1.77734375" style="1" customWidth="1"/>
    <col min="15131" max="15132" width="0" style="1" hidden="1" customWidth="1"/>
    <col min="15133" max="15133" width="12.77734375" style="1" customWidth="1"/>
    <col min="15134" max="15134" width="17.88671875" style="1" customWidth="1"/>
    <col min="15135" max="15135" width="11.77734375" style="1" customWidth="1"/>
    <col min="15136" max="15136" width="12" style="1" customWidth="1"/>
    <col min="15137" max="15360" width="27.5546875" style="1"/>
    <col min="15361" max="15361" width="19.44140625" style="1" customWidth="1"/>
    <col min="15362" max="15363" width="12.77734375" style="1" customWidth="1"/>
    <col min="15364" max="15364" width="13" style="1" customWidth="1"/>
    <col min="15365" max="15366" width="12.77734375" style="1" customWidth="1"/>
    <col min="15367" max="15369" width="0" style="1" hidden="1" customWidth="1"/>
    <col min="15370" max="15378" width="12.77734375" style="1" customWidth="1"/>
    <col min="15379" max="15379" width="0" style="1" hidden="1" customWidth="1"/>
    <col min="15380" max="15383" width="12.77734375" style="1" customWidth="1"/>
    <col min="15384" max="15384" width="1.77734375" style="1" customWidth="1"/>
    <col min="15385" max="15385" width="12.77734375" style="1" customWidth="1"/>
    <col min="15386" max="15386" width="1.77734375" style="1" customWidth="1"/>
    <col min="15387" max="15388" width="0" style="1" hidden="1" customWidth="1"/>
    <col min="15389" max="15389" width="12.77734375" style="1" customWidth="1"/>
    <col min="15390" max="15390" width="17.88671875" style="1" customWidth="1"/>
    <col min="15391" max="15391" width="11.77734375" style="1" customWidth="1"/>
    <col min="15392" max="15392" width="12" style="1" customWidth="1"/>
    <col min="15393" max="15616" width="27.5546875" style="1"/>
    <col min="15617" max="15617" width="19.44140625" style="1" customWidth="1"/>
    <col min="15618" max="15619" width="12.77734375" style="1" customWidth="1"/>
    <col min="15620" max="15620" width="13" style="1" customWidth="1"/>
    <col min="15621" max="15622" width="12.77734375" style="1" customWidth="1"/>
    <col min="15623" max="15625" width="0" style="1" hidden="1" customWidth="1"/>
    <col min="15626" max="15634" width="12.77734375" style="1" customWidth="1"/>
    <col min="15635" max="15635" width="0" style="1" hidden="1" customWidth="1"/>
    <col min="15636" max="15639" width="12.77734375" style="1" customWidth="1"/>
    <col min="15640" max="15640" width="1.77734375" style="1" customWidth="1"/>
    <col min="15641" max="15641" width="12.77734375" style="1" customWidth="1"/>
    <col min="15642" max="15642" width="1.77734375" style="1" customWidth="1"/>
    <col min="15643" max="15644" width="0" style="1" hidden="1" customWidth="1"/>
    <col min="15645" max="15645" width="12.77734375" style="1" customWidth="1"/>
    <col min="15646" max="15646" width="17.88671875" style="1" customWidth="1"/>
    <col min="15647" max="15647" width="11.77734375" style="1" customWidth="1"/>
    <col min="15648" max="15648" width="12" style="1" customWidth="1"/>
    <col min="15649" max="15872" width="27.5546875" style="1"/>
    <col min="15873" max="15873" width="19.44140625" style="1" customWidth="1"/>
    <col min="15874" max="15875" width="12.77734375" style="1" customWidth="1"/>
    <col min="15876" max="15876" width="13" style="1" customWidth="1"/>
    <col min="15877" max="15878" width="12.77734375" style="1" customWidth="1"/>
    <col min="15879" max="15881" width="0" style="1" hidden="1" customWidth="1"/>
    <col min="15882" max="15890" width="12.77734375" style="1" customWidth="1"/>
    <col min="15891" max="15891" width="0" style="1" hidden="1" customWidth="1"/>
    <col min="15892" max="15895" width="12.77734375" style="1" customWidth="1"/>
    <col min="15896" max="15896" width="1.77734375" style="1" customWidth="1"/>
    <col min="15897" max="15897" width="12.77734375" style="1" customWidth="1"/>
    <col min="15898" max="15898" width="1.77734375" style="1" customWidth="1"/>
    <col min="15899" max="15900" width="0" style="1" hidden="1" customWidth="1"/>
    <col min="15901" max="15901" width="12.77734375" style="1" customWidth="1"/>
    <col min="15902" max="15902" width="17.88671875" style="1" customWidth="1"/>
    <col min="15903" max="15903" width="11.77734375" style="1" customWidth="1"/>
    <col min="15904" max="15904" width="12" style="1" customWidth="1"/>
    <col min="15905" max="16128" width="27.5546875" style="1"/>
    <col min="16129" max="16129" width="19.44140625" style="1" customWidth="1"/>
    <col min="16130" max="16131" width="12.77734375" style="1" customWidth="1"/>
    <col min="16132" max="16132" width="13" style="1" customWidth="1"/>
    <col min="16133" max="16134" width="12.77734375" style="1" customWidth="1"/>
    <col min="16135" max="16137" width="0" style="1" hidden="1" customWidth="1"/>
    <col min="16138" max="16146" width="12.77734375" style="1" customWidth="1"/>
    <col min="16147" max="16147" width="0" style="1" hidden="1" customWidth="1"/>
    <col min="16148" max="16151" width="12.77734375" style="1" customWidth="1"/>
    <col min="16152" max="16152" width="1.77734375" style="1" customWidth="1"/>
    <col min="16153" max="16153" width="12.77734375" style="1" customWidth="1"/>
    <col min="16154" max="16154" width="1.77734375" style="1" customWidth="1"/>
    <col min="16155" max="16156" width="0" style="1" hidden="1" customWidth="1"/>
    <col min="16157" max="16157" width="12.77734375" style="1" customWidth="1"/>
    <col min="16158" max="16158" width="17.88671875" style="1" customWidth="1"/>
    <col min="16159" max="16159" width="11.77734375" style="1" customWidth="1"/>
    <col min="16160" max="16160" width="12" style="1" customWidth="1"/>
    <col min="16161" max="16384" width="27.5546875" style="1"/>
  </cols>
  <sheetData>
    <row r="1" spans="1:52" ht="36.75" customHeight="1" x14ac:dyDescent="0.25">
      <c r="A1" s="191"/>
      <c r="B1" s="192"/>
      <c r="C1" s="193"/>
      <c r="D1" s="192"/>
      <c r="E1" s="192"/>
      <c r="F1" s="192"/>
      <c r="G1" s="192"/>
      <c r="H1" s="192"/>
      <c r="I1" s="192"/>
      <c r="J1" s="192"/>
      <c r="K1" s="192"/>
      <c r="M1" s="194"/>
      <c r="O1" s="192"/>
      <c r="P1" s="192"/>
      <c r="Q1" s="192"/>
      <c r="R1" s="192"/>
      <c r="S1" s="192"/>
      <c r="T1" s="192"/>
      <c r="U1" s="192"/>
      <c r="V1" s="192"/>
      <c r="W1" s="195" t="s">
        <v>94</v>
      </c>
      <c r="Y1" s="196"/>
      <c r="AA1" s="196"/>
      <c r="AC1" s="196"/>
    </row>
    <row r="2" spans="1:52" s="57" customFormat="1" ht="18" customHeight="1" x14ac:dyDescent="0.2">
      <c r="A2" s="197"/>
      <c r="B2" s="45"/>
      <c r="C2" s="45"/>
      <c r="D2" s="46"/>
      <c r="E2" s="45"/>
      <c r="F2" s="45"/>
      <c r="G2" s="45"/>
      <c r="H2" s="45"/>
      <c r="I2" s="45"/>
      <c r="J2" s="45"/>
      <c r="K2" s="45"/>
      <c r="M2" s="198"/>
      <c r="N2" s="58"/>
      <c r="O2" s="45"/>
      <c r="P2" s="45"/>
      <c r="Q2" s="45"/>
      <c r="R2" s="45"/>
      <c r="S2" s="45"/>
      <c r="T2" s="45"/>
      <c r="U2" s="45"/>
      <c r="V2" s="45"/>
      <c r="W2" s="199"/>
      <c r="Y2" s="199"/>
      <c r="AA2" s="199"/>
      <c r="AC2" s="199"/>
    </row>
    <row r="3" spans="1:52" ht="21" customHeight="1" x14ac:dyDescent="0.2">
      <c r="A3" s="200"/>
      <c r="B3" s="192"/>
      <c r="C3" s="192"/>
      <c r="D3" s="200"/>
      <c r="E3" s="192"/>
      <c r="F3" s="12"/>
      <c r="G3" s="192"/>
      <c r="H3" s="192"/>
      <c r="I3" s="12"/>
      <c r="J3" s="192"/>
      <c r="K3" s="192"/>
      <c r="M3" s="201"/>
      <c r="N3" s="54"/>
      <c r="O3" s="192"/>
      <c r="P3" s="192"/>
      <c r="Q3" s="192"/>
      <c r="R3" s="192"/>
      <c r="S3" s="192"/>
      <c r="T3" s="192"/>
      <c r="U3" s="192"/>
      <c r="V3" s="192"/>
      <c r="W3" s="199"/>
      <c r="Y3" s="199"/>
      <c r="AA3" s="199"/>
      <c r="AC3" s="199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192"/>
      <c r="B5" s="192"/>
      <c r="C5" s="192"/>
      <c r="D5" s="192"/>
      <c r="E5" s="1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49"/>
      <c r="Y5" s="13"/>
      <c r="AA5" s="13"/>
      <c r="AC5" s="13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202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202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203"/>
      <c r="T8" s="245" t="s">
        <v>62</v>
      </c>
      <c r="U8" s="83" t="s">
        <v>61</v>
      </c>
      <c r="V8" s="202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215"/>
      <c r="AE8" s="215"/>
      <c r="AF8" s="169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202" t="s">
        <v>51</v>
      </c>
      <c r="O9" s="83" t="s">
        <v>50</v>
      </c>
      <c r="P9" s="251"/>
      <c r="Q9" s="83"/>
      <c r="R9" s="83" t="s">
        <v>49</v>
      </c>
      <c r="S9" s="202"/>
      <c r="T9" s="246"/>
      <c r="U9" s="83" t="s">
        <v>48</v>
      </c>
      <c r="V9" s="202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169"/>
      <c r="AE9" s="169"/>
      <c r="AF9" s="169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731673.05589999992</v>
      </c>
      <c r="C10" s="40">
        <v>249397.88024557763</v>
      </c>
      <c r="D10" s="76">
        <f>B10+C10</f>
        <v>981070.93614557758</v>
      </c>
      <c r="E10" s="40">
        <v>35.008399999999995</v>
      </c>
      <c r="F10" s="76">
        <f>D10+E10</f>
        <v>981105.94454557763</v>
      </c>
      <c r="G10" s="40">
        <v>0</v>
      </c>
      <c r="H10" s="40">
        <v>0</v>
      </c>
      <c r="I10" s="40">
        <v>0</v>
      </c>
      <c r="J10" s="40">
        <v>11219.262500000001</v>
      </c>
      <c r="K10" s="40">
        <v>2670.9785000000002</v>
      </c>
      <c r="L10" s="40">
        <v>0</v>
      </c>
      <c r="M10" s="40">
        <v>16342.4041</v>
      </c>
      <c r="N10" s="40">
        <v>2677.9576000000002</v>
      </c>
      <c r="O10" s="40">
        <v>5511.1295999999993</v>
      </c>
      <c r="P10" s="40">
        <v>137.96832940401831</v>
      </c>
      <c r="Q10" s="40">
        <v>8631.5864000000001</v>
      </c>
      <c r="R10" s="40">
        <v>336.13460255898451</v>
      </c>
      <c r="S10" s="40">
        <v>0</v>
      </c>
      <c r="T10" s="40">
        <v>192.53846488687938</v>
      </c>
      <c r="U10" s="40">
        <v>0</v>
      </c>
      <c r="V10" s="40">
        <v>4880.1372000000001</v>
      </c>
      <c r="W10" s="76">
        <f t="shared" ref="W10:W32" si="0">SUM(F10:V10)</f>
        <v>1033706.0418424275</v>
      </c>
      <c r="X10" s="36"/>
      <c r="Y10" s="42">
        <v>131076.06844199999</v>
      </c>
      <c r="Z10" s="38"/>
      <c r="AA10" s="109">
        <v>0</v>
      </c>
      <c r="AB10" s="36"/>
      <c r="AC10" s="76">
        <f>+W10+Y10+AA10</f>
        <v>1164782.1102844274</v>
      </c>
      <c r="AD10" s="165"/>
      <c r="AE10" s="167"/>
      <c r="AF10" s="163"/>
      <c r="AG10" s="2"/>
      <c r="AH10" s="3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111403.6689</v>
      </c>
      <c r="C11" s="40">
        <v>11647.083892180053</v>
      </c>
      <c r="D11" s="76">
        <f t="shared" ref="D11:D32" si="1">B11+C11</f>
        <v>123050.75279218005</v>
      </c>
      <c r="E11" s="40">
        <v>1.7832999999999999</v>
      </c>
      <c r="F11" s="76">
        <f t="shared" ref="F11:F32" si="2">D11+E11</f>
        <v>123052.53609218005</v>
      </c>
      <c r="G11" s="40">
        <v>0</v>
      </c>
      <c r="H11" s="40">
        <v>0</v>
      </c>
      <c r="I11" s="40">
        <v>0</v>
      </c>
      <c r="J11" s="40">
        <v>1407.1751999999999</v>
      </c>
      <c r="K11" s="40">
        <v>0</v>
      </c>
      <c r="L11" s="40">
        <v>0</v>
      </c>
      <c r="M11" s="40">
        <v>0</v>
      </c>
      <c r="N11" s="40">
        <v>335.88779999999997</v>
      </c>
      <c r="O11" s="40">
        <v>578.00030000000004</v>
      </c>
      <c r="P11" s="40">
        <v>207.93833746456747</v>
      </c>
      <c r="Q11" s="40">
        <v>1250.0918000000001</v>
      </c>
      <c r="R11" s="40">
        <v>406.70282676811871</v>
      </c>
      <c r="S11" s="40">
        <v>0</v>
      </c>
      <c r="T11" s="40">
        <v>290.18346789956888</v>
      </c>
      <c r="U11" s="40">
        <v>2.2000000000000002</v>
      </c>
      <c r="V11" s="40">
        <v>612.10019999999997</v>
      </c>
      <c r="W11" s="76">
        <f t="shared" si="0"/>
        <v>128142.81602431228</v>
      </c>
      <c r="X11" s="36"/>
      <c r="Y11" s="42">
        <v>1133.776578</v>
      </c>
      <c r="Z11" s="38"/>
      <c r="AA11" s="43">
        <v>0</v>
      </c>
      <c r="AB11" s="36"/>
      <c r="AC11" s="76">
        <f t="shared" ref="AC11:AC38" si="3">+W11+Y11+AA11</f>
        <v>129276.59260231229</v>
      </c>
      <c r="AD11" s="165"/>
      <c r="AE11" s="167"/>
      <c r="AF11" s="163"/>
      <c r="AG11" s="2"/>
      <c r="AH11" s="34">
        <f t="shared" ref="AH11:AH34" si="4">AC11-AE11</f>
        <v>129276.59260231229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343111.50530000002</v>
      </c>
      <c r="C12" s="40">
        <v>53576.585903940279</v>
      </c>
      <c r="D12" s="76">
        <f t="shared" si="1"/>
        <v>396688.09120394028</v>
      </c>
      <c r="E12" s="40">
        <v>10.441700000000001</v>
      </c>
      <c r="F12" s="76">
        <f>D12+E12</f>
        <v>396698.5329039403</v>
      </c>
      <c r="G12" s="40">
        <v>0</v>
      </c>
      <c r="H12" s="40">
        <v>0</v>
      </c>
      <c r="I12" s="40">
        <v>0</v>
      </c>
      <c r="J12" s="40">
        <v>4536.4179999999997</v>
      </c>
      <c r="K12" s="40">
        <v>912.15059999999994</v>
      </c>
      <c r="L12" s="40">
        <v>0</v>
      </c>
      <c r="M12" s="40">
        <v>5581.0010999999995</v>
      </c>
      <c r="N12" s="40">
        <v>1082.8172</v>
      </c>
      <c r="O12" s="40">
        <v>3022.2518999999998</v>
      </c>
      <c r="P12" s="40">
        <v>137.96832940401831</v>
      </c>
      <c r="Q12" s="40">
        <v>3363.3422999999998</v>
      </c>
      <c r="R12" s="40">
        <v>250.31182100547878</v>
      </c>
      <c r="S12" s="40">
        <v>0</v>
      </c>
      <c r="T12" s="40">
        <v>192.53846488687938</v>
      </c>
      <c r="U12" s="40">
        <v>0.5</v>
      </c>
      <c r="V12" s="40">
        <v>1973.2563</v>
      </c>
      <c r="W12" s="76">
        <f t="shared" si="0"/>
        <v>417751.08891923667</v>
      </c>
      <c r="X12" s="36"/>
      <c r="Y12" s="42">
        <v>6026.2665319999996</v>
      </c>
      <c r="Z12" s="38"/>
      <c r="AA12" s="43">
        <v>0</v>
      </c>
      <c r="AB12" s="36"/>
      <c r="AC12" s="76">
        <f t="shared" si="3"/>
        <v>423777.35545123665</v>
      </c>
      <c r="AD12" s="165"/>
      <c r="AE12" s="167"/>
      <c r="AF12" s="163"/>
      <c r="AG12" s="2"/>
      <c r="AH12" s="34">
        <f t="shared" si="4"/>
        <v>423777.35545123665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141654.18659999999</v>
      </c>
      <c r="C13" s="40">
        <v>24421.304935060012</v>
      </c>
      <c r="D13" s="76">
        <f t="shared" si="1"/>
        <v>166075.49153505999</v>
      </c>
      <c r="E13" s="40">
        <v>3.2166999999999999</v>
      </c>
      <c r="F13" s="76">
        <f t="shared" si="2"/>
        <v>166078.70823505998</v>
      </c>
      <c r="G13" s="40">
        <v>0</v>
      </c>
      <c r="H13" s="40">
        <v>0</v>
      </c>
      <c r="I13" s="40">
        <v>0</v>
      </c>
      <c r="J13" s="40">
        <v>1899.1945000000001</v>
      </c>
      <c r="K13" s="40">
        <v>291.6635</v>
      </c>
      <c r="L13" s="40">
        <v>0</v>
      </c>
      <c r="M13" s="40">
        <v>1784.5456000000001</v>
      </c>
      <c r="N13" s="40">
        <v>453.32650000000001</v>
      </c>
      <c r="O13" s="40">
        <v>736.75369999999998</v>
      </c>
      <c r="P13" s="40">
        <v>174.6671688792529</v>
      </c>
      <c r="Q13" s="40">
        <v>2946.645</v>
      </c>
      <c r="R13" s="40">
        <v>350.70664703287457</v>
      </c>
      <c r="S13" s="40">
        <v>0</v>
      </c>
      <c r="T13" s="40">
        <v>243.75266923579167</v>
      </c>
      <c r="U13" s="40">
        <v>1.5</v>
      </c>
      <c r="V13" s="40">
        <v>826.11300000000006</v>
      </c>
      <c r="W13" s="76">
        <f t="shared" si="0"/>
        <v>175787.57652020789</v>
      </c>
      <c r="X13" s="36"/>
      <c r="Y13" s="42">
        <v>6888.0408520000001</v>
      </c>
      <c r="Z13" s="38"/>
      <c r="AA13" s="43">
        <v>0</v>
      </c>
      <c r="AB13" s="36"/>
      <c r="AC13" s="76">
        <f t="shared" si="3"/>
        <v>182675.6173722079</v>
      </c>
      <c r="AD13" s="165"/>
      <c r="AE13" s="167"/>
      <c r="AF13" s="163"/>
      <c r="AG13" s="2"/>
      <c r="AH13" s="34">
        <f t="shared" si="4"/>
        <v>182675.6173722079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195591.4276</v>
      </c>
      <c r="C14" s="40">
        <v>27276.719050680051</v>
      </c>
      <c r="D14" s="76">
        <f t="shared" si="1"/>
        <v>222868.14665068005</v>
      </c>
      <c r="E14" s="40">
        <v>2.8</v>
      </c>
      <c r="F14" s="76">
        <f t="shared" si="2"/>
        <v>222870.94665068004</v>
      </c>
      <c r="G14" s="40">
        <v>0</v>
      </c>
      <c r="H14" s="40">
        <v>0</v>
      </c>
      <c r="I14" s="40">
        <v>0</v>
      </c>
      <c r="J14" s="40">
        <v>2548.66</v>
      </c>
      <c r="K14" s="40">
        <v>229.297</v>
      </c>
      <c r="L14" s="40">
        <v>0</v>
      </c>
      <c r="M14" s="40">
        <v>1402.9558999999999</v>
      </c>
      <c r="N14" s="40">
        <v>608.35450000000003</v>
      </c>
      <c r="O14" s="40">
        <v>763.4855</v>
      </c>
      <c r="P14" s="40">
        <v>185.51164469657084</v>
      </c>
      <c r="Q14" s="40">
        <v>2738.2963999999997</v>
      </c>
      <c r="R14" s="40">
        <v>365.80006252597582</v>
      </c>
      <c r="S14" s="40">
        <v>0</v>
      </c>
      <c r="T14" s="40">
        <v>258.88642302992923</v>
      </c>
      <c r="U14" s="40">
        <v>0.5</v>
      </c>
      <c r="V14" s="40">
        <v>1108.626</v>
      </c>
      <c r="W14" s="76">
        <f t="shared" si="0"/>
        <v>233081.32008093252</v>
      </c>
      <c r="X14" s="36"/>
      <c r="Y14" s="42">
        <v>8437.5251399999997</v>
      </c>
      <c r="Z14" s="38"/>
      <c r="AA14" s="43">
        <v>0</v>
      </c>
      <c r="AB14" s="36"/>
      <c r="AC14" s="76">
        <f t="shared" si="3"/>
        <v>241518.84522093253</v>
      </c>
      <c r="AD14" s="165"/>
      <c r="AE14" s="167"/>
      <c r="AF14" s="163"/>
      <c r="AG14" s="2"/>
      <c r="AH14" s="34">
        <f t="shared" si="4"/>
        <v>241518.84522093253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59457.539200000007</v>
      </c>
      <c r="C15" s="40">
        <v>11196.229031899933</v>
      </c>
      <c r="D15" s="76">
        <f t="shared" si="1"/>
        <v>70653.768231899943</v>
      </c>
      <c r="E15" s="40">
        <v>2.0167000000000002</v>
      </c>
      <c r="F15" s="76">
        <f t="shared" si="2"/>
        <v>70655.784931899936</v>
      </c>
      <c r="G15" s="40">
        <v>0</v>
      </c>
      <c r="H15" s="40">
        <v>0</v>
      </c>
      <c r="I15" s="40">
        <v>0</v>
      </c>
      <c r="J15" s="40">
        <v>807.97739999999999</v>
      </c>
      <c r="K15" s="40">
        <v>89.696699999999993</v>
      </c>
      <c r="L15" s="40">
        <v>0</v>
      </c>
      <c r="M15" s="40">
        <v>548.80999999999995</v>
      </c>
      <c r="N15" s="40">
        <v>192.86370000000002</v>
      </c>
      <c r="O15" s="40">
        <v>649.12980000000005</v>
      </c>
      <c r="P15" s="40">
        <v>194.50579899925015</v>
      </c>
      <c r="Q15" s="40">
        <v>1904.9018000000001</v>
      </c>
      <c r="R15" s="40">
        <v>481.81805677801498</v>
      </c>
      <c r="S15" s="40">
        <v>0</v>
      </c>
      <c r="T15" s="40">
        <v>271.43800402392458</v>
      </c>
      <c r="U15" s="40">
        <v>3</v>
      </c>
      <c r="V15" s="40">
        <v>351.4624</v>
      </c>
      <c r="W15" s="76">
        <f t="shared" si="0"/>
        <v>76151.388591701136</v>
      </c>
      <c r="X15" s="36"/>
      <c r="Y15" s="42">
        <v>1653.9531359999999</v>
      </c>
      <c r="Z15" s="38"/>
      <c r="AA15" s="43">
        <v>0</v>
      </c>
      <c r="AB15" s="36"/>
      <c r="AC15" s="76">
        <f t="shared" si="3"/>
        <v>77805.341727701132</v>
      </c>
      <c r="AD15" s="165"/>
      <c r="AE15" s="167"/>
      <c r="AF15" s="163"/>
      <c r="AG15" s="2"/>
      <c r="AH15" s="34">
        <f t="shared" si="4"/>
        <v>77805.341727701132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194615.8302</v>
      </c>
      <c r="C16" s="40">
        <v>23519.595214499997</v>
      </c>
      <c r="D16" s="76">
        <f t="shared" si="1"/>
        <v>218135.4254145</v>
      </c>
      <c r="E16" s="40">
        <v>5.6249000000000002</v>
      </c>
      <c r="F16" s="76">
        <f t="shared" si="2"/>
        <v>218141.0503145</v>
      </c>
      <c r="G16" s="40">
        <v>0</v>
      </c>
      <c r="H16" s="40">
        <v>0</v>
      </c>
      <c r="I16" s="40">
        <v>0</v>
      </c>
      <c r="J16" s="40">
        <v>2494.5378999999998</v>
      </c>
      <c r="K16" s="40">
        <v>395.85329999999999</v>
      </c>
      <c r="L16" s="40">
        <v>0</v>
      </c>
      <c r="M16" s="40">
        <v>2422.0316000000003</v>
      </c>
      <c r="N16" s="40">
        <v>595.42619999999999</v>
      </c>
      <c r="O16" s="40">
        <v>1007.6555</v>
      </c>
      <c r="P16" s="40">
        <v>159.65091436338534</v>
      </c>
      <c r="Q16" s="40">
        <v>2321.5990999999999</v>
      </c>
      <c r="R16" s="40">
        <v>349.53542698045925</v>
      </c>
      <c r="S16" s="40">
        <v>0</v>
      </c>
      <c r="T16" s="40">
        <v>222.79708758444846</v>
      </c>
      <c r="U16" s="40">
        <v>1.8</v>
      </c>
      <c r="V16" s="40">
        <v>1085.0663999999999</v>
      </c>
      <c r="W16" s="76">
        <f t="shared" si="0"/>
        <v>229197.00374342824</v>
      </c>
      <c r="X16" s="36"/>
      <c r="Y16" s="42">
        <v>4091.2219479999999</v>
      </c>
      <c r="Z16" s="38"/>
      <c r="AA16" s="43">
        <v>0</v>
      </c>
      <c r="AB16" s="36"/>
      <c r="AC16" s="76">
        <f t="shared" si="3"/>
        <v>233288.22569142823</v>
      </c>
      <c r="AD16" s="165"/>
      <c r="AE16" s="167"/>
      <c r="AF16" s="163"/>
      <c r="AG16" s="2"/>
      <c r="AH16" s="34">
        <f t="shared" si="4"/>
        <v>233288.22569142823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146703.30740000002</v>
      </c>
      <c r="C17" s="40">
        <v>15930.2050655</v>
      </c>
      <c r="D17" s="76">
        <f t="shared" si="1"/>
        <v>162633.51246550001</v>
      </c>
      <c r="E17" s="40">
        <v>1.7251000000000001</v>
      </c>
      <c r="F17" s="76">
        <f t="shared" si="2"/>
        <v>162635.23756550002</v>
      </c>
      <c r="G17" s="40">
        <v>0</v>
      </c>
      <c r="H17" s="40">
        <v>0</v>
      </c>
      <c r="I17" s="40">
        <v>0</v>
      </c>
      <c r="J17" s="40">
        <v>1859.8330000000001</v>
      </c>
      <c r="K17" s="40">
        <v>106.81100000000001</v>
      </c>
      <c r="L17" s="40">
        <v>0</v>
      </c>
      <c r="M17" s="40">
        <v>653.52419999999995</v>
      </c>
      <c r="N17" s="40">
        <v>443.93529999999998</v>
      </c>
      <c r="O17" s="40">
        <v>524.279</v>
      </c>
      <c r="P17" s="40">
        <v>214.36830425168736</v>
      </c>
      <c r="Q17" s="40">
        <v>2381.1272999999997</v>
      </c>
      <c r="R17" s="40">
        <v>381.53926971005507</v>
      </c>
      <c r="S17" s="40">
        <v>0</v>
      </c>
      <c r="T17" s="40">
        <v>299.15665717994693</v>
      </c>
      <c r="U17" s="40">
        <v>2.2000000000000002</v>
      </c>
      <c r="V17" s="40">
        <v>808.9991</v>
      </c>
      <c r="W17" s="76">
        <f t="shared" si="0"/>
        <v>170311.01069664172</v>
      </c>
      <c r="X17" s="36"/>
      <c r="Y17" s="42">
        <v>4249.4526799999994</v>
      </c>
      <c r="Z17" s="38"/>
      <c r="AA17" s="43">
        <v>0</v>
      </c>
      <c r="AB17" s="36"/>
      <c r="AC17" s="76">
        <f t="shared" si="3"/>
        <v>174560.46337664171</v>
      </c>
      <c r="AD17" s="165"/>
      <c r="AE17" s="167"/>
      <c r="AF17" s="163"/>
      <c r="AG17" s="2"/>
      <c r="AH17" s="34">
        <f t="shared" si="4"/>
        <v>174560.46337664171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111669.05650000001</v>
      </c>
      <c r="C18" s="40">
        <v>15253.922774860108</v>
      </c>
      <c r="D18" s="76">
        <f t="shared" si="1"/>
        <v>126922.97927486012</v>
      </c>
      <c r="E18" s="40">
        <v>2.7749999999999999</v>
      </c>
      <c r="F18" s="76">
        <f t="shared" si="2"/>
        <v>126925.75427486011</v>
      </c>
      <c r="G18" s="40">
        <v>0</v>
      </c>
      <c r="H18" s="40">
        <v>0</v>
      </c>
      <c r="I18" s="40">
        <v>0</v>
      </c>
      <c r="J18" s="40">
        <v>1451.4568999999999</v>
      </c>
      <c r="K18" s="40">
        <v>0</v>
      </c>
      <c r="L18" s="40">
        <v>0</v>
      </c>
      <c r="M18" s="40">
        <v>0</v>
      </c>
      <c r="N18" s="40">
        <v>346.44979999999998</v>
      </c>
      <c r="O18" s="40">
        <v>536.50350000000003</v>
      </c>
      <c r="P18" s="40">
        <v>172.98755443380546</v>
      </c>
      <c r="Q18" s="40">
        <v>1785.8454999999999</v>
      </c>
      <c r="R18" s="40">
        <v>376.02253758416504</v>
      </c>
      <c r="S18" s="40">
        <v>0</v>
      </c>
      <c r="T18" s="40">
        <v>241.40872270488171</v>
      </c>
      <c r="U18" s="40">
        <v>2.2000000000000002</v>
      </c>
      <c r="V18" s="40">
        <v>631.34769999999992</v>
      </c>
      <c r="W18" s="76">
        <f t="shared" si="0"/>
        <v>132469.976489583</v>
      </c>
      <c r="X18" s="36"/>
      <c r="Y18" s="42">
        <v>4059.0430759999999</v>
      </c>
      <c r="Z18" s="38"/>
      <c r="AA18" s="43">
        <v>0</v>
      </c>
      <c r="AB18" s="36"/>
      <c r="AC18" s="76">
        <f t="shared" si="3"/>
        <v>136529.019565583</v>
      </c>
      <c r="AD18" s="165"/>
      <c r="AE18" s="167"/>
      <c r="AF18" s="163"/>
      <c r="AG18" s="2"/>
      <c r="AH18" s="34">
        <f t="shared" si="4"/>
        <v>136529.019565583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77583.385599999994</v>
      </c>
      <c r="C19" s="40">
        <v>7965.1025326400604</v>
      </c>
      <c r="D19" s="76">
        <f t="shared" si="1"/>
        <v>85548.48813264005</v>
      </c>
      <c r="E19" s="40">
        <v>1.6</v>
      </c>
      <c r="F19" s="76">
        <f t="shared" si="2"/>
        <v>85550.088132640056</v>
      </c>
      <c r="G19" s="40">
        <v>0</v>
      </c>
      <c r="H19" s="40">
        <v>0</v>
      </c>
      <c r="I19" s="40">
        <v>0</v>
      </c>
      <c r="J19" s="40">
        <v>978.02109999999993</v>
      </c>
      <c r="K19" s="40">
        <v>78.765699999999995</v>
      </c>
      <c r="L19" s="40">
        <v>3.1000000000000005E-7</v>
      </c>
      <c r="M19" s="40">
        <v>482.0557</v>
      </c>
      <c r="N19" s="40">
        <v>233.63389999999998</v>
      </c>
      <c r="O19" s="40">
        <v>676.82560000000001</v>
      </c>
      <c r="P19" s="40">
        <v>153.5647492529647</v>
      </c>
      <c r="Q19" s="40">
        <v>1214.5965000000001</v>
      </c>
      <c r="R19" s="40">
        <v>481.86689516811725</v>
      </c>
      <c r="S19" s="40">
        <v>0</v>
      </c>
      <c r="T19" s="40">
        <v>214.30368266558133</v>
      </c>
      <c r="U19" s="40">
        <v>2.5</v>
      </c>
      <c r="V19" s="40">
        <v>425.41790000000003</v>
      </c>
      <c r="W19" s="76">
        <f t="shared" si="0"/>
        <v>90491.639860036725</v>
      </c>
      <c r="X19" s="36"/>
      <c r="Y19" s="42">
        <v>0</v>
      </c>
      <c r="Z19" s="38"/>
      <c r="AA19" s="43">
        <v>0</v>
      </c>
      <c r="AB19" s="36"/>
      <c r="AC19" s="76">
        <f t="shared" si="3"/>
        <v>90491.639860036725</v>
      </c>
      <c r="AD19" s="165"/>
      <c r="AE19" s="167"/>
      <c r="AF19" s="163"/>
      <c r="AG19" s="2"/>
      <c r="AH19" s="34">
        <f t="shared" si="4"/>
        <v>90491.639860036725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83410.948599999989</v>
      </c>
      <c r="C20" s="40">
        <v>9092.2396835600739</v>
      </c>
      <c r="D20" s="76">
        <f t="shared" si="1"/>
        <v>92503.18828356007</v>
      </c>
      <c r="E20" s="40">
        <v>1.6916</v>
      </c>
      <c r="F20" s="76">
        <f t="shared" si="2"/>
        <v>92504.879883560076</v>
      </c>
      <c r="G20" s="40">
        <v>0</v>
      </c>
      <c r="H20" s="40">
        <v>0</v>
      </c>
      <c r="I20" s="40">
        <v>0</v>
      </c>
      <c r="J20" s="40">
        <v>1057.8415</v>
      </c>
      <c r="K20" s="40">
        <v>0</v>
      </c>
      <c r="L20" s="40">
        <v>0</v>
      </c>
      <c r="M20" s="40">
        <v>0</v>
      </c>
      <c r="N20" s="40">
        <v>252.50120000000001</v>
      </c>
      <c r="O20" s="40">
        <v>524.27480000000003</v>
      </c>
      <c r="P20" s="40">
        <v>202.3248996469062</v>
      </c>
      <c r="Q20" s="40">
        <v>1190.5636000000002</v>
      </c>
      <c r="R20" s="40">
        <v>433.27899433274791</v>
      </c>
      <c r="S20" s="40">
        <v>0</v>
      </c>
      <c r="T20" s="40">
        <v>282.34976648255821</v>
      </c>
      <c r="U20" s="40">
        <v>2.2000000000000002</v>
      </c>
      <c r="V20" s="40">
        <v>460.142</v>
      </c>
      <c r="W20" s="76">
        <f t="shared" si="0"/>
        <v>96910.356644022278</v>
      </c>
      <c r="X20" s="36"/>
      <c r="Y20" s="42">
        <v>1359.2678880000001</v>
      </c>
      <c r="Z20" s="38"/>
      <c r="AA20" s="43">
        <v>0</v>
      </c>
      <c r="AB20" s="36"/>
      <c r="AC20" s="76">
        <f t="shared" si="3"/>
        <v>98269.624532022281</v>
      </c>
      <c r="AD20" s="165"/>
      <c r="AE20" s="167"/>
      <c r="AF20" s="163"/>
      <c r="AG20" s="2"/>
      <c r="AH20" s="34">
        <f t="shared" si="4"/>
        <v>98269.624532022281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151957.00690000001</v>
      </c>
      <c r="C21" s="40">
        <v>34340.111862759702</v>
      </c>
      <c r="D21" s="76">
        <f t="shared" si="1"/>
        <v>186297.11876275972</v>
      </c>
      <c r="E21" s="40">
        <v>5.1416000000000004</v>
      </c>
      <c r="F21" s="76">
        <f t="shared" si="2"/>
        <v>186302.26036275973</v>
      </c>
      <c r="G21" s="40">
        <v>0</v>
      </c>
      <c r="H21" s="40">
        <v>0</v>
      </c>
      <c r="I21" s="40">
        <v>0</v>
      </c>
      <c r="J21" s="40">
        <v>2130.4436000000001</v>
      </c>
      <c r="K21" s="40">
        <v>0</v>
      </c>
      <c r="L21" s="40">
        <v>0</v>
      </c>
      <c r="M21" s="40">
        <v>0</v>
      </c>
      <c r="N21" s="40">
        <v>508.52729999999997</v>
      </c>
      <c r="O21" s="40">
        <v>1061.9541000000002</v>
      </c>
      <c r="P21" s="40">
        <v>157.04335371635602</v>
      </c>
      <c r="Q21" s="40">
        <v>2381.1272999999997</v>
      </c>
      <c r="R21" s="40">
        <v>281.93831949036553</v>
      </c>
      <c r="S21" s="40">
        <v>0</v>
      </c>
      <c r="T21" s="40">
        <v>219.15816750684812</v>
      </c>
      <c r="U21" s="40">
        <v>2.2000000000000002</v>
      </c>
      <c r="V21" s="40">
        <v>926.70730000000003</v>
      </c>
      <c r="W21" s="76">
        <f t="shared" si="0"/>
        <v>193971.35980347331</v>
      </c>
      <c r="X21" s="36"/>
      <c r="Y21" s="42">
        <v>5950.1621080000004</v>
      </c>
      <c r="Z21" s="38"/>
      <c r="AA21" s="43">
        <v>0</v>
      </c>
      <c r="AB21" s="36"/>
      <c r="AC21" s="76">
        <f t="shared" si="3"/>
        <v>199921.5219114733</v>
      </c>
      <c r="AD21" s="165"/>
      <c r="AE21" s="167"/>
      <c r="AF21" s="163"/>
      <c r="AG21" s="2"/>
      <c r="AH21" s="34">
        <f t="shared" si="4"/>
        <v>199921.5219114733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118645.0003</v>
      </c>
      <c r="C22" s="40">
        <v>28929.853538520078</v>
      </c>
      <c r="D22" s="76">
        <f t="shared" si="1"/>
        <v>147574.85383852007</v>
      </c>
      <c r="E22" s="40">
        <v>2.8416999999999999</v>
      </c>
      <c r="F22" s="76">
        <f t="shared" si="2"/>
        <v>147577.69553852006</v>
      </c>
      <c r="G22" s="40">
        <v>0</v>
      </c>
      <c r="H22" s="40">
        <v>0</v>
      </c>
      <c r="I22" s="40">
        <v>0</v>
      </c>
      <c r="J22" s="40">
        <v>1687.6261999999999</v>
      </c>
      <c r="K22" s="40">
        <v>125.2243</v>
      </c>
      <c r="L22" s="40">
        <v>0</v>
      </c>
      <c r="M22" s="40">
        <v>766.18610000000001</v>
      </c>
      <c r="N22" s="40">
        <v>402.82130000000001</v>
      </c>
      <c r="O22" s="40">
        <v>753.10350000000005</v>
      </c>
      <c r="P22" s="40">
        <v>203.13386818112895</v>
      </c>
      <c r="Q22" s="40">
        <v>2797.8245999999999</v>
      </c>
      <c r="R22" s="40">
        <v>314.48362062958182</v>
      </c>
      <c r="S22" s="40">
        <v>0</v>
      </c>
      <c r="T22" s="40">
        <v>283.47870376377659</v>
      </c>
      <c r="U22" s="40">
        <v>2.2000000000000002</v>
      </c>
      <c r="V22" s="40">
        <v>734.07560000000001</v>
      </c>
      <c r="W22" s="76">
        <f t="shared" si="0"/>
        <v>155647.85333109455</v>
      </c>
      <c r="X22" s="36"/>
      <c r="Y22" s="42">
        <v>7692.5929299999998</v>
      </c>
      <c r="Z22" s="38"/>
      <c r="AA22" s="43">
        <v>0</v>
      </c>
      <c r="AB22" s="36"/>
      <c r="AC22" s="76">
        <f t="shared" si="3"/>
        <v>163340.44626109456</v>
      </c>
      <c r="AD22" s="165"/>
      <c r="AE22" s="167"/>
      <c r="AF22" s="163"/>
      <c r="AG22" s="2"/>
      <c r="AH22" s="34">
        <f t="shared" si="4"/>
        <v>163340.44626109456</v>
      </c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64838.647799999999</v>
      </c>
      <c r="C23" s="40">
        <v>12699.078566239968</v>
      </c>
      <c r="D23" s="76">
        <f t="shared" si="1"/>
        <v>77537.726366239964</v>
      </c>
      <c r="E23" s="40">
        <v>1.4499</v>
      </c>
      <c r="F23" s="76">
        <f t="shared" si="2"/>
        <v>77539.176266239971</v>
      </c>
      <c r="G23" s="40">
        <v>0</v>
      </c>
      <c r="H23" s="40">
        <v>0</v>
      </c>
      <c r="I23" s="40">
        <v>0</v>
      </c>
      <c r="J23" s="40">
        <v>886.70050000000003</v>
      </c>
      <c r="K23" s="40">
        <v>56.316800000000001</v>
      </c>
      <c r="L23" s="40">
        <v>0</v>
      </c>
      <c r="M23" s="40">
        <v>344.5754</v>
      </c>
      <c r="N23" s="40">
        <v>211.64599999999999</v>
      </c>
      <c r="O23" s="40">
        <v>808.21519999999998</v>
      </c>
      <c r="P23" s="40">
        <v>180.38685094888402</v>
      </c>
      <c r="Q23" s="40">
        <v>2559.7118</v>
      </c>
      <c r="R23" s="40">
        <v>350.13650546352613</v>
      </c>
      <c r="S23" s="40">
        <v>0</v>
      </c>
      <c r="T23" s="40">
        <v>251.734637346862</v>
      </c>
      <c r="U23" s="40">
        <v>2.5</v>
      </c>
      <c r="V23" s="40">
        <v>385.69009999999997</v>
      </c>
      <c r="W23" s="76">
        <f t="shared" si="0"/>
        <v>83576.790059999257</v>
      </c>
      <c r="X23" s="36"/>
      <c r="Y23" s="42">
        <v>2195.3141540000001</v>
      </c>
      <c r="Z23" s="38"/>
      <c r="AA23" s="43">
        <v>0</v>
      </c>
      <c r="AB23" s="36"/>
      <c r="AC23" s="76">
        <f t="shared" si="3"/>
        <v>85772.104213999264</v>
      </c>
      <c r="AD23" s="165"/>
      <c r="AE23" s="167"/>
      <c r="AF23" s="163"/>
      <c r="AG23" s="2"/>
      <c r="AH23" s="34">
        <f t="shared" si="4"/>
        <v>85772.104213999264</v>
      </c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98973.742299999998</v>
      </c>
      <c r="C24" s="40">
        <v>13751.073240520072</v>
      </c>
      <c r="D24" s="76">
        <f t="shared" si="1"/>
        <v>112724.81554052007</v>
      </c>
      <c r="E24" s="40">
        <v>1.2167000000000001</v>
      </c>
      <c r="F24" s="76">
        <f t="shared" si="2"/>
        <v>112726.03224052007</v>
      </c>
      <c r="G24" s="40">
        <v>0</v>
      </c>
      <c r="H24" s="40">
        <v>0</v>
      </c>
      <c r="I24" s="40">
        <v>0</v>
      </c>
      <c r="J24" s="40">
        <v>1289.0906</v>
      </c>
      <c r="K24" s="40">
        <v>0</v>
      </c>
      <c r="L24" s="40">
        <v>0</v>
      </c>
      <c r="M24" s="40">
        <v>0</v>
      </c>
      <c r="N24" s="40">
        <v>307.702</v>
      </c>
      <c r="O24" s="40">
        <v>642.27680000000009</v>
      </c>
      <c r="P24" s="40">
        <v>167.61167403087362</v>
      </c>
      <c r="Q24" s="40">
        <v>2678.7682</v>
      </c>
      <c r="R24" s="40">
        <v>329.09616607004295</v>
      </c>
      <c r="S24" s="40">
        <v>0</v>
      </c>
      <c r="T24" s="40">
        <v>233.90653895516149</v>
      </c>
      <c r="U24" s="40">
        <v>2.5</v>
      </c>
      <c r="V24" s="40">
        <v>560.73630000000003</v>
      </c>
      <c r="W24" s="76">
        <f t="shared" si="0"/>
        <v>118937.72051957616</v>
      </c>
      <c r="X24" s="36"/>
      <c r="Y24" s="42">
        <v>2121.4975099999997</v>
      </c>
      <c r="Z24" s="38"/>
      <c r="AA24" s="43">
        <v>0</v>
      </c>
      <c r="AB24" s="36"/>
      <c r="AC24" s="76">
        <f t="shared" si="3"/>
        <v>121059.21802957616</v>
      </c>
      <c r="AD24" s="165"/>
      <c r="AE24" s="167"/>
      <c r="AF24" s="163"/>
      <c r="AG24" s="2"/>
      <c r="AH24" s="34">
        <f t="shared" si="4"/>
        <v>121059.21802957616</v>
      </c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142383.74909999999</v>
      </c>
      <c r="C25" s="40">
        <v>28854.711061880185</v>
      </c>
      <c r="D25" s="76">
        <f t="shared" si="1"/>
        <v>171238.46016188018</v>
      </c>
      <c r="E25" s="40">
        <v>3.3167</v>
      </c>
      <c r="F25" s="76">
        <f t="shared" si="2"/>
        <v>171241.77686188018</v>
      </c>
      <c r="G25" s="40">
        <v>0</v>
      </c>
      <c r="H25" s="40">
        <v>0</v>
      </c>
      <c r="I25" s="40">
        <v>0</v>
      </c>
      <c r="J25" s="40">
        <v>1958.2368000000001</v>
      </c>
      <c r="K25" s="40">
        <v>0</v>
      </c>
      <c r="L25" s="40">
        <v>0</v>
      </c>
      <c r="M25" s="40">
        <v>0</v>
      </c>
      <c r="N25" s="40">
        <v>467.42559999999997</v>
      </c>
      <c r="O25" s="40">
        <v>790.85590000000002</v>
      </c>
      <c r="P25" s="40">
        <v>171.47387204061928</v>
      </c>
      <c r="Q25" s="40">
        <v>2381.1272999999997</v>
      </c>
      <c r="R25" s="40">
        <v>442.37237997821228</v>
      </c>
      <c r="S25" s="40">
        <v>0</v>
      </c>
      <c r="T25" s="40">
        <v>239.29633876759414</v>
      </c>
      <c r="U25" s="40">
        <v>2.5</v>
      </c>
      <c r="V25" s="40">
        <v>851.80619999999999</v>
      </c>
      <c r="W25" s="76">
        <f t="shared" si="0"/>
        <v>178546.87125266661</v>
      </c>
      <c r="X25" s="36"/>
      <c r="Y25" s="42">
        <v>10775.426442</v>
      </c>
      <c r="Z25" s="38"/>
      <c r="AA25" s="43">
        <v>0</v>
      </c>
      <c r="AB25" s="36"/>
      <c r="AC25" s="76">
        <f t="shared" si="3"/>
        <v>189322.2976946666</v>
      </c>
      <c r="AD25" s="165"/>
      <c r="AE25" s="167"/>
      <c r="AF25" s="163"/>
      <c r="AG25" s="2"/>
      <c r="AH25" s="34">
        <f t="shared" si="4"/>
        <v>189322.2976946666</v>
      </c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132156.07130000001</v>
      </c>
      <c r="C26" s="40">
        <v>18860.761657540163</v>
      </c>
      <c r="D26" s="76">
        <f t="shared" si="1"/>
        <v>151016.83295754017</v>
      </c>
      <c r="E26" s="40">
        <v>2.5083000000000002</v>
      </c>
      <c r="F26" s="76">
        <f t="shared" si="2"/>
        <v>151019.34125754016</v>
      </c>
      <c r="G26" s="40">
        <v>0</v>
      </c>
      <c r="H26" s="40">
        <v>0</v>
      </c>
      <c r="I26" s="40">
        <v>0</v>
      </c>
      <c r="J26" s="40">
        <v>1726.9878000000001</v>
      </c>
      <c r="K26" s="40">
        <v>0</v>
      </c>
      <c r="L26" s="40">
        <v>0</v>
      </c>
      <c r="M26" s="40">
        <v>0</v>
      </c>
      <c r="N26" s="40">
        <v>412.22480000000002</v>
      </c>
      <c r="O26" s="40">
        <v>579.59590000000003</v>
      </c>
      <c r="P26" s="40">
        <v>158.85746465638877</v>
      </c>
      <c r="Q26" s="40">
        <v>2172.7786000000001</v>
      </c>
      <c r="R26" s="40">
        <v>280.33773746465363</v>
      </c>
      <c r="S26" s="40">
        <v>0</v>
      </c>
      <c r="T26" s="40">
        <v>221.68980746150285</v>
      </c>
      <c r="U26" s="40">
        <v>2.2000000000000002</v>
      </c>
      <c r="V26" s="40">
        <v>751.21190000000001</v>
      </c>
      <c r="W26" s="76">
        <f t="shared" si="0"/>
        <v>157325.2252671227</v>
      </c>
      <c r="X26" s="36"/>
      <c r="Y26" s="42">
        <v>2684.0263339999997</v>
      </c>
      <c r="Z26" s="38"/>
      <c r="AA26" s="43">
        <v>0</v>
      </c>
      <c r="AB26" s="36"/>
      <c r="AC26" s="76">
        <f t="shared" si="3"/>
        <v>160009.2516011227</v>
      </c>
      <c r="AD26" s="165"/>
      <c r="AE26" s="167"/>
      <c r="AF26" s="163"/>
      <c r="AG26" s="2"/>
      <c r="AH26" s="34">
        <f t="shared" si="4"/>
        <v>160009.2516011227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91072.971700000009</v>
      </c>
      <c r="C27" s="40">
        <v>10895.659124899934</v>
      </c>
      <c r="D27" s="76">
        <f t="shared" si="1"/>
        <v>101968.63082489994</v>
      </c>
      <c r="E27" s="40">
        <v>1.5751000000000002</v>
      </c>
      <c r="F27" s="76">
        <f t="shared" si="2"/>
        <v>101970.20592489994</v>
      </c>
      <c r="G27" s="40">
        <v>0</v>
      </c>
      <c r="H27" s="40">
        <v>0</v>
      </c>
      <c r="I27" s="40">
        <v>0</v>
      </c>
      <c r="J27" s="40">
        <v>1166.0856999999999</v>
      </c>
      <c r="K27" s="40">
        <v>0</v>
      </c>
      <c r="L27" s="40">
        <v>0</v>
      </c>
      <c r="M27" s="40">
        <v>0</v>
      </c>
      <c r="N27" s="40">
        <v>278.3331</v>
      </c>
      <c r="O27" s="40">
        <v>490.84030000000001</v>
      </c>
      <c r="P27" s="40">
        <v>155.62039677791344</v>
      </c>
      <c r="Q27" s="40">
        <v>2172.7786000000001</v>
      </c>
      <c r="R27" s="40">
        <v>321.98841024404356</v>
      </c>
      <c r="S27" s="40">
        <v>0</v>
      </c>
      <c r="T27" s="40">
        <v>217.17239334550808</v>
      </c>
      <c r="U27" s="40">
        <v>2.2000000000000002</v>
      </c>
      <c r="V27" s="40">
        <v>507.21620000000001</v>
      </c>
      <c r="W27" s="76">
        <f t="shared" si="0"/>
        <v>107282.4410252674</v>
      </c>
      <c r="X27" s="36"/>
      <c r="Y27" s="42">
        <v>0</v>
      </c>
      <c r="Z27" s="38"/>
      <c r="AA27" s="43">
        <v>0</v>
      </c>
      <c r="AB27" s="36"/>
      <c r="AC27" s="76">
        <f t="shared" si="3"/>
        <v>107282.4410252674</v>
      </c>
      <c r="AD27" s="165"/>
      <c r="AE27" s="167"/>
      <c r="AF27" s="163"/>
      <c r="AG27" s="2"/>
      <c r="AH27" s="34">
        <f t="shared" si="4"/>
        <v>107282.4410252674</v>
      </c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64792.654999999999</v>
      </c>
      <c r="C28" s="40">
        <v>5861.1131845200007</v>
      </c>
      <c r="D28" s="76">
        <f t="shared" si="1"/>
        <v>70653.768184519999</v>
      </c>
      <c r="E28" s="40">
        <v>0.70829999999999993</v>
      </c>
      <c r="F28" s="76">
        <f t="shared" si="2"/>
        <v>70654.476484519997</v>
      </c>
      <c r="G28" s="40">
        <v>0</v>
      </c>
      <c r="H28" s="40">
        <v>0</v>
      </c>
      <c r="I28" s="40">
        <v>0</v>
      </c>
      <c r="J28" s="40">
        <v>807.97739999999999</v>
      </c>
      <c r="K28" s="40">
        <v>73.021199999999993</v>
      </c>
      <c r="L28" s="40">
        <v>0</v>
      </c>
      <c r="M28" s="40">
        <v>446.78050000000002</v>
      </c>
      <c r="N28" s="40">
        <v>192.86370000000002</v>
      </c>
      <c r="O28" s="40">
        <v>518.78880000000004</v>
      </c>
      <c r="P28" s="40">
        <v>218.96665167645506</v>
      </c>
      <c r="Q28" s="40">
        <v>1904.9018000000001</v>
      </c>
      <c r="R28" s="40">
        <v>657.76815098765269</v>
      </c>
      <c r="S28" s="40">
        <v>0</v>
      </c>
      <c r="T28" s="40">
        <v>305.57377304848711</v>
      </c>
      <c r="U28" s="40">
        <v>3</v>
      </c>
      <c r="V28" s="40">
        <v>351.4624</v>
      </c>
      <c r="W28" s="76">
        <f t="shared" si="0"/>
        <v>76135.5808602326</v>
      </c>
      <c r="X28" s="36"/>
      <c r="Y28" s="42">
        <v>453.57499000000001</v>
      </c>
      <c r="Z28" s="38"/>
      <c r="AA28" s="43">
        <v>0</v>
      </c>
      <c r="AB28" s="36"/>
      <c r="AC28" s="76">
        <f t="shared" si="3"/>
        <v>76589.155850232593</v>
      </c>
      <c r="AD28" s="165"/>
      <c r="AE28" s="167"/>
      <c r="AF28" s="163"/>
      <c r="AG28" s="2"/>
      <c r="AH28" s="34">
        <f t="shared" si="4"/>
        <v>76589.155850232593</v>
      </c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357003.02929999999</v>
      </c>
      <c r="C29" s="40">
        <v>50120.031974540158</v>
      </c>
      <c r="D29" s="76">
        <f t="shared" si="1"/>
        <v>407123.06127454014</v>
      </c>
      <c r="E29" s="40">
        <v>11.290799999999999</v>
      </c>
      <c r="F29" s="76">
        <f t="shared" si="2"/>
        <v>407134.35207454016</v>
      </c>
      <c r="G29" s="40">
        <v>0</v>
      </c>
      <c r="H29" s="40">
        <v>0</v>
      </c>
      <c r="I29" s="40">
        <v>0</v>
      </c>
      <c r="J29" s="40">
        <v>4654.3774000000003</v>
      </c>
      <c r="K29" s="40">
        <v>1003.8984</v>
      </c>
      <c r="L29" s="40">
        <v>1.2299999999999999E-6</v>
      </c>
      <c r="M29" s="40">
        <v>6143.9840000000004</v>
      </c>
      <c r="N29" s="40">
        <v>1111.867</v>
      </c>
      <c r="O29" s="40">
        <v>2303.6147999999998</v>
      </c>
      <c r="P29" s="40">
        <v>137.96832940401831</v>
      </c>
      <c r="Q29" s="40">
        <v>3431.2352000000001</v>
      </c>
      <c r="R29" s="40">
        <v>230.81827257708099</v>
      </c>
      <c r="S29" s="40">
        <v>0</v>
      </c>
      <c r="T29" s="40">
        <v>192.53846488687938</v>
      </c>
      <c r="U29" s="40">
        <v>0.5</v>
      </c>
      <c r="V29" s="40">
        <v>2024.5697</v>
      </c>
      <c r="W29" s="76">
        <f t="shared" si="0"/>
        <v>428369.72364263813</v>
      </c>
      <c r="X29" s="36"/>
      <c r="Y29" s="42">
        <v>6768.7166579999994</v>
      </c>
      <c r="Z29" s="38"/>
      <c r="AA29" s="43">
        <v>0</v>
      </c>
      <c r="AB29" s="36"/>
      <c r="AC29" s="76">
        <f t="shared" si="3"/>
        <v>435138.44030063815</v>
      </c>
      <c r="AD29" s="165"/>
      <c r="AE29" s="167"/>
      <c r="AF29" s="163"/>
      <c r="AG29" s="2"/>
      <c r="AH29" s="34">
        <f t="shared" si="4"/>
        <v>435138.44030063815</v>
      </c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159703.9694</v>
      </c>
      <c r="C30" s="40">
        <v>24872.159795560045</v>
      </c>
      <c r="D30" s="76">
        <f t="shared" si="1"/>
        <v>184576.12919556006</v>
      </c>
      <c r="E30" s="40">
        <v>2.6333000000000002</v>
      </c>
      <c r="F30" s="76">
        <f t="shared" si="2"/>
        <v>184578.76249556005</v>
      </c>
      <c r="G30" s="40">
        <v>0</v>
      </c>
      <c r="H30" s="40">
        <v>0</v>
      </c>
      <c r="I30" s="40">
        <v>0</v>
      </c>
      <c r="J30" s="40">
        <v>2110.7628</v>
      </c>
      <c r="K30" s="40">
        <v>0</v>
      </c>
      <c r="L30" s="40">
        <v>0</v>
      </c>
      <c r="M30" s="40">
        <v>0</v>
      </c>
      <c r="N30" s="40">
        <v>503.83170000000001</v>
      </c>
      <c r="O30" s="40">
        <v>1035.0698</v>
      </c>
      <c r="P30" s="40">
        <v>183.95538503027544</v>
      </c>
      <c r="Q30" s="40">
        <v>2559.7118</v>
      </c>
      <c r="R30" s="40">
        <v>354.96967725318234</v>
      </c>
      <c r="S30" s="40">
        <v>0</v>
      </c>
      <c r="T30" s="40">
        <v>256.71462134644787</v>
      </c>
      <c r="U30" s="40">
        <v>2.2000000000000002</v>
      </c>
      <c r="V30" s="40">
        <v>918.15030000000002</v>
      </c>
      <c r="W30" s="76">
        <f t="shared" si="0"/>
        <v>192504.12857918997</v>
      </c>
      <c r="X30" s="36"/>
      <c r="Y30" s="42">
        <v>6833.8845739999997</v>
      </c>
      <c r="Z30" s="38"/>
      <c r="AA30" s="43">
        <v>0</v>
      </c>
      <c r="AB30" s="36"/>
      <c r="AC30" s="76">
        <f t="shared" si="3"/>
        <v>199338.01315318997</v>
      </c>
      <c r="AD30" s="165"/>
      <c r="AE30" s="167"/>
      <c r="AF30" s="163"/>
      <c r="AG30" s="2"/>
      <c r="AH30" s="34">
        <f t="shared" si="4"/>
        <v>199338.01315318997</v>
      </c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181433.22399999999</v>
      </c>
      <c r="C31" s="40">
        <v>31108.9853635</v>
      </c>
      <c r="D31" s="76">
        <f t="shared" si="1"/>
        <v>212542.20936349998</v>
      </c>
      <c r="E31" s="40">
        <v>4.6500000000000004</v>
      </c>
      <c r="F31" s="76">
        <f t="shared" si="2"/>
        <v>212546.85936349997</v>
      </c>
      <c r="G31" s="40">
        <v>0</v>
      </c>
      <c r="H31" s="40">
        <v>0</v>
      </c>
      <c r="I31" s="40">
        <v>0</v>
      </c>
      <c r="J31" s="40">
        <v>2430.5753999999997</v>
      </c>
      <c r="K31" s="40">
        <v>0</v>
      </c>
      <c r="L31" s="40">
        <v>0</v>
      </c>
      <c r="M31" s="40">
        <v>0</v>
      </c>
      <c r="N31" s="40">
        <v>580.16869999999994</v>
      </c>
      <c r="O31" s="40">
        <v>769.34199999999998</v>
      </c>
      <c r="P31" s="40">
        <v>141.68568503048874</v>
      </c>
      <c r="Q31" s="40">
        <v>2500.1836000000003</v>
      </c>
      <c r="R31" s="40">
        <v>325.39536938254992</v>
      </c>
      <c r="S31" s="40">
        <v>0</v>
      </c>
      <c r="T31" s="40">
        <v>197.72613331671869</v>
      </c>
      <c r="U31" s="40">
        <v>2.2000000000000002</v>
      </c>
      <c r="V31" s="40">
        <v>1057.2619999999999</v>
      </c>
      <c r="W31" s="76">
        <f t="shared" si="0"/>
        <v>220551.39825122972</v>
      </c>
      <c r="X31" s="36"/>
      <c r="Y31" s="42">
        <v>10599.1392</v>
      </c>
      <c r="Z31" s="38"/>
      <c r="AA31" s="43">
        <v>0</v>
      </c>
      <c r="AB31" s="36"/>
      <c r="AC31" s="76">
        <f t="shared" si="3"/>
        <v>231150.53745122973</v>
      </c>
      <c r="AD31" s="165"/>
      <c r="AE31" s="167"/>
      <c r="AF31" s="163"/>
      <c r="AG31" s="2"/>
      <c r="AH31" s="34">
        <f t="shared" si="4"/>
        <v>231150.53745122973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52244.268299999996</v>
      </c>
      <c r="C32" s="40">
        <v>2855.4141154000167</v>
      </c>
      <c r="D32" s="76">
        <f t="shared" si="1"/>
        <v>55099.682415400013</v>
      </c>
      <c r="E32" s="40">
        <v>1</v>
      </c>
      <c r="F32" s="76">
        <f t="shared" si="2"/>
        <v>55100.682415400013</v>
      </c>
      <c r="G32" s="40">
        <v>0</v>
      </c>
      <c r="H32" s="40">
        <v>0</v>
      </c>
      <c r="I32" s="40">
        <v>0</v>
      </c>
      <c r="J32" s="40">
        <v>630.10159999999996</v>
      </c>
      <c r="K32" s="40">
        <v>6.4771000000000001</v>
      </c>
      <c r="L32" s="40">
        <v>0</v>
      </c>
      <c r="M32" s="40">
        <v>39.630300000000005</v>
      </c>
      <c r="N32" s="40">
        <v>150.40629999999999</v>
      </c>
      <c r="O32" s="40">
        <v>423.72340000000003</v>
      </c>
      <c r="P32" s="40">
        <v>161.02651899017141</v>
      </c>
      <c r="Q32" s="40">
        <v>1577.4968000000001</v>
      </c>
      <c r="R32" s="40">
        <v>224.835822494116</v>
      </c>
      <c r="S32" s="40">
        <v>0</v>
      </c>
      <c r="T32" s="40">
        <v>224.71678034382393</v>
      </c>
      <c r="U32" s="40">
        <v>3</v>
      </c>
      <c r="V32" s="40">
        <v>274.0908</v>
      </c>
      <c r="W32" s="76">
        <f t="shared" si="0"/>
        <v>58816.187837228121</v>
      </c>
      <c r="X32" s="36"/>
      <c r="Y32" s="42">
        <v>172.803566375</v>
      </c>
      <c r="Z32" s="38"/>
      <c r="AA32" s="37">
        <v>0</v>
      </c>
      <c r="AB32" s="36"/>
      <c r="AC32" s="76">
        <f t="shared" si="3"/>
        <v>58988.991403603119</v>
      </c>
      <c r="AD32" s="165"/>
      <c r="AE32" s="167"/>
      <c r="AF32" s="163"/>
      <c r="AG32" s="2"/>
      <c r="AH32" s="34">
        <f t="shared" si="4"/>
        <v>58988.991403603119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>SUM(B10:B32)</f>
        <v>3812078.2471999996</v>
      </c>
      <c r="C33" s="79">
        <f>SUM(C10:C32)</f>
        <v>712425.82181627862</v>
      </c>
      <c r="D33" s="79">
        <f>SUM(D10:D32)</f>
        <v>4524504.0690162778</v>
      </c>
      <c r="E33" s="79">
        <f t="shared" ref="E33:W33" si="5">SUM(E10:E32)</f>
        <v>107.0158</v>
      </c>
      <c r="F33" s="79">
        <f>SUM(F10:F32)</f>
        <v>4524611.084816277</v>
      </c>
      <c r="G33" s="79">
        <f t="shared" si="5"/>
        <v>0</v>
      </c>
      <c r="H33" s="79">
        <f t="shared" si="5"/>
        <v>0</v>
      </c>
      <c r="I33" s="79">
        <f t="shared" si="5"/>
        <v>0</v>
      </c>
      <c r="J33" s="79">
        <f t="shared" si="5"/>
        <v>51739.34380000001</v>
      </c>
      <c r="K33" s="79">
        <f t="shared" si="5"/>
        <v>6040.1540999999997</v>
      </c>
      <c r="L33" s="79">
        <f t="shared" si="5"/>
        <v>1.5399999999999999E-6</v>
      </c>
      <c r="M33" s="79">
        <f t="shared" si="5"/>
        <v>36958.484500000006</v>
      </c>
      <c r="N33" s="79">
        <f t="shared" si="5"/>
        <v>12350.9712</v>
      </c>
      <c r="O33" s="79">
        <f t="shared" si="5"/>
        <v>24707.669699999999</v>
      </c>
      <c r="P33" s="79">
        <f t="shared" si="5"/>
        <v>3979.1860812800001</v>
      </c>
      <c r="Q33" s="79">
        <f t="shared" si="5"/>
        <v>58846.241300000002</v>
      </c>
      <c r="R33" s="79">
        <f>SUM(R10:R32)</f>
        <v>8327.8575724800012</v>
      </c>
      <c r="S33" s="79">
        <f t="shared" si="5"/>
        <v>0</v>
      </c>
      <c r="T33" s="79">
        <f t="shared" si="5"/>
        <v>5553.05977067</v>
      </c>
      <c r="U33" s="79">
        <f t="shared" si="5"/>
        <v>45.800000000000004</v>
      </c>
      <c r="V33" s="79">
        <f t="shared" si="5"/>
        <v>22505.647000000001</v>
      </c>
      <c r="W33" s="79">
        <f t="shared" si="5"/>
        <v>4755665.4998422479</v>
      </c>
      <c r="X33" s="47"/>
      <c r="Y33" s="78">
        <f>SUM(Y10:Y32)</f>
        <v>225221.75473837493</v>
      </c>
      <c r="Z33" s="38"/>
      <c r="AA33" s="110">
        <f>SUM(AA10:AA32)</f>
        <v>0</v>
      </c>
      <c r="AB33" s="46"/>
      <c r="AC33" s="77">
        <f>SUM(AC10:AC32)</f>
        <v>4980887.2545806244</v>
      </c>
      <c r="AD33" s="165"/>
      <c r="AE33" s="167"/>
      <c r="AF33" s="163"/>
      <c r="AG33" s="46"/>
      <c r="AH33" s="34">
        <f t="shared" si="4"/>
        <v>4980887.2545806244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70930.517599999992</v>
      </c>
      <c r="C34" s="40">
        <v>39270.847287509976</v>
      </c>
      <c r="D34" s="76">
        <f>B34+C34</f>
        <v>110201.36488750996</v>
      </c>
      <c r="E34" s="40">
        <v>0</v>
      </c>
      <c r="F34" s="76">
        <f>D34+E34</f>
        <v>110201.36488750996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773.8664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110975.23128750996</v>
      </c>
      <c r="X34" s="36"/>
      <c r="Y34" s="42"/>
      <c r="Z34" s="38"/>
      <c r="AA34" s="109">
        <v>0</v>
      </c>
      <c r="AB34" s="36"/>
      <c r="AC34" s="76">
        <f>+W34+Y34+AA34</f>
        <v>110975.23128750996</v>
      </c>
      <c r="AD34" s="165"/>
      <c r="AE34" s="167"/>
      <c r="AF34" s="163"/>
      <c r="AG34" s="2"/>
      <c r="AH34" s="34">
        <f t="shared" si="4"/>
        <v>110975.23128750996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 t="shared" si="3"/>
        <v>0</v>
      </c>
      <c r="AD35" s="165"/>
      <c r="AE35" s="164"/>
      <c r="AF35" s="163"/>
      <c r="AG35" s="2"/>
      <c r="AH35" s="34">
        <f>AC35-AF35</f>
        <v>0</v>
      </c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3167502.0890000002</v>
      </c>
      <c r="C36" s="40">
        <v>0</v>
      </c>
      <c r="D36" s="76">
        <f>B36+C36</f>
        <v>3167502.0890000002</v>
      </c>
      <c r="E36" s="40">
        <v>0</v>
      </c>
      <c r="F36" s="76">
        <f>D36+E36</f>
        <v>3167502.0890000002</v>
      </c>
      <c r="G36" s="40">
        <v>0</v>
      </c>
      <c r="H36" s="40">
        <v>0</v>
      </c>
      <c r="I36" s="40">
        <v>0</v>
      </c>
      <c r="J36" s="40">
        <v>37482.041299999997</v>
      </c>
      <c r="K36" s="40">
        <v>0</v>
      </c>
      <c r="L36" s="40">
        <v>2.4899999999999999E-6</v>
      </c>
      <c r="M36" s="40">
        <v>0</v>
      </c>
      <c r="N36" s="40">
        <v>0</v>
      </c>
      <c r="O36" s="40">
        <v>41081.160799999998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3246065.2911024904</v>
      </c>
      <c r="X36" s="36"/>
      <c r="Y36" s="42">
        <f>-SUM(Y33)</f>
        <v>-225221.75473837493</v>
      </c>
      <c r="Z36" s="38"/>
      <c r="AA36" s="43">
        <f>-(AA33+AA34)</f>
        <v>0</v>
      </c>
      <c r="AB36" s="36"/>
      <c r="AC36" s="76">
        <f>+W36+Y36+AA36</f>
        <v>3020843.5363641153</v>
      </c>
      <c r="AD36" s="165"/>
      <c r="AE36" s="167"/>
      <c r="AF36" s="163"/>
      <c r="AG36" s="2"/>
      <c r="AH36" s="34">
        <f>AC36-AE36</f>
        <v>3020843.5363641153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550754.51540000003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52404.5599</v>
      </c>
      <c r="W37" s="76">
        <f>SUM(F37:V37)</f>
        <v>603159.07530000003</v>
      </c>
      <c r="X37" s="36"/>
      <c r="Y37" s="42"/>
      <c r="Z37" s="38"/>
      <c r="AA37" s="43"/>
      <c r="AB37" s="36"/>
      <c r="AC37" s="76">
        <f t="shared" si="3"/>
        <v>603159.07530000003</v>
      </c>
      <c r="AD37" s="165"/>
      <c r="AE37" s="167"/>
      <c r="AF37" s="163"/>
      <c r="AG37" s="2"/>
      <c r="AH37" s="34">
        <f>AC37-AE37</f>
        <v>603159.07530000003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78715.260699999999</v>
      </c>
      <c r="C38" s="39">
        <v>0</v>
      </c>
      <c r="D38" s="76">
        <f>B38+C38</f>
        <v>78715.260699999999</v>
      </c>
      <c r="E38" s="39">
        <v>0</v>
      </c>
      <c r="F38" s="76">
        <f>D38+E38</f>
        <v>78715.260699999999</v>
      </c>
      <c r="G38" s="39">
        <v>0</v>
      </c>
      <c r="H38" s="39">
        <v>0</v>
      </c>
      <c r="I38" s="39">
        <v>0</v>
      </c>
      <c r="J38" s="39">
        <v>900.14509999999996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79615.405799999993</v>
      </c>
      <c r="X38" s="36"/>
      <c r="Y38" s="35"/>
      <c r="Z38" s="38"/>
      <c r="AA38" s="37"/>
      <c r="AB38" s="36"/>
      <c r="AC38" s="75">
        <f t="shared" si="3"/>
        <v>79615.405799999993</v>
      </c>
      <c r="AD38" s="165"/>
      <c r="AE38" s="167"/>
      <c r="AF38" s="163"/>
      <c r="AG38" s="2"/>
      <c r="AH38" s="34">
        <f>AC38-AE38</f>
        <v>79615.405799999993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45" customFormat="1" ht="20.100000000000001" customHeight="1" x14ac:dyDescent="0.2">
      <c r="A39" s="74" t="s">
        <v>15</v>
      </c>
      <c r="B39" s="73">
        <f>+SUM(B33:B38)</f>
        <v>7129271.9145</v>
      </c>
      <c r="C39" s="73">
        <f>+SUM(C33:C38)</f>
        <v>751696.66910378856</v>
      </c>
      <c r="D39" s="73">
        <f>+SUM(D33:D38)</f>
        <v>7880968.5836037882</v>
      </c>
      <c r="E39" s="73">
        <f t="shared" ref="E39:V39" si="6">+SUM(E33:E38)</f>
        <v>107.0158</v>
      </c>
      <c r="F39" s="73">
        <f>SUM(F33:F38)</f>
        <v>7881075.5994037874</v>
      </c>
      <c r="G39" s="73">
        <f t="shared" si="6"/>
        <v>0</v>
      </c>
      <c r="H39" s="73">
        <f t="shared" si="6"/>
        <v>0</v>
      </c>
      <c r="I39" s="73">
        <f t="shared" si="6"/>
        <v>0</v>
      </c>
      <c r="J39" s="73">
        <f t="shared" si="6"/>
        <v>90121.530200000008</v>
      </c>
      <c r="K39" s="73">
        <f t="shared" si="6"/>
        <v>6040.1540999999997</v>
      </c>
      <c r="L39" s="73">
        <f t="shared" si="6"/>
        <v>4.0299999999999995E-6</v>
      </c>
      <c r="M39" s="73">
        <f t="shared" si="6"/>
        <v>587712.99990000005</v>
      </c>
      <c r="N39" s="73">
        <f t="shared" si="6"/>
        <v>12350.9712</v>
      </c>
      <c r="O39" s="73">
        <f t="shared" si="6"/>
        <v>65788.830499999996</v>
      </c>
      <c r="P39" s="73">
        <f t="shared" si="6"/>
        <v>3979.1860812800001</v>
      </c>
      <c r="Q39" s="73">
        <f t="shared" si="6"/>
        <v>59620.1077</v>
      </c>
      <c r="R39" s="73">
        <f t="shared" si="6"/>
        <v>8327.8575724800012</v>
      </c>
      <c r="S39" s="73">
        <f t="shared" si="6"/>
        <v>0</v>
      </c>
      <c r="T39" s="73">
        <f t="shared" si="6"/>
        <v>5553.05977067</v>
      </c>
      <c r="U39" s="73">
        <f t="shared" si="6"/>
        <v>45.800000000000004</v>
      </c>
      <c r="V39" s="73">
        <f t="shared" si="6"/>
        <v>74910.206900000005</v>
      </c>
      <c r="W39" s="73">
        <f>+SUM(W33:W38)</f>
        <v>8795480.503332248</v>
      </c>
      <c r="X39" s="33"/>
      <c r="Y39" s="32">
        <f>+SUM(Y33:Y38)</f>
        <v>0</v>
      </c>
      <c r="Z39" s="31"/>
      <c r="AA39" s="111"/>
      <c r="AB39" s="30"/>
      <c r="AC39" s="72">
        <f>+SUM(AC33:AC38)</f>
        <v>8795480.5033322498</v>
      </c>
      <c r="AD39" s="165"/>
      <c r="AE39" s="167"/>
      <c r="AF39" s="163"/>
      <c r="AG39" s="46"/>
      <c r="AH39" s="34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</row>
    <row r="40" spans="1:52" ht="15" customHeight="1" x14ac:dyDescent="0.2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5"/>
      <c r="S40" s="164"/>
      <c r="T40" s="165"/>
      <c r="U40" s="164"/>
      <c r="V40" s="164"/>
      <c r="W40" s="164"/>
      <c r="X40" s="167"/>
      <c r="Y40" s="167"/>
      <c r="Z40" s="167"/>
      <c r="AA40" s="167"/>
      <c r="AB40" s="167"/>
      <c r="AC40" s="167"/>
      <c r="AD40" s="164"/>
      <c r="AE40" s="164"/>
      <c r="AF40" s="164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A41" s="164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4"/>
      <c r="AE41" s="164"/>
      <c r="AF41" s="164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64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3"/>
      <c r="Y42" s="163"/>
      <c r="Z42" s="163"/>
      <c r="AA42" s="163"/>
      <c r="AB42" s="163"/>
      <c r="AC42" s="163"/>
      <c r="AD42" s="164"/>
      <c r="AE42" s="164"/>
      <c r="AF42" s="164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16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164"/>
      <c r="AE43" s="164"/>
      <c r="AF43" s="164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2" customFormat="1" ht="15" customHeight="1" x14ac:dyDescent="0.2">
      <c r="A44" s="204" t="s">
        <v>14</v>
      </c>
      <c r="B44" s="205"/>
      <c r="C44" s="205"/>
      <c r="D44" s="21"/>
      <c r="E44" s="17">
        <v>2868364.3679999998</v>
      </c>
      <c r="F44" s="170"/>
      <c r="J44" s="11" t="s">
        <v>13</v>
      </c>
      <c r="K44" s="1" t="s">
        <v>12</v>
      </c>
      <c r="W44" s="34"/>
      <c r="AD44" s="164"/>
      <c r="AE44" s="164"/>
      <c r="AF44" s="164"/>
    </row>
    <row r="45" spans="1:52" s="2" customFormat="1" ht="15" customHeight="1" x14ac:dyDescent="0.2">
      <c r="A45" s="206" t="s">
        <v>11</v>
      </c>
      <c r="B45" s="207"/>
      <c r="C45" s="207"/>
      <c r="D45" s="18"/>
      <c r="E45" s="17">
        <v>4754099.8983000005</v>
      </c>
      <c r="F45" s="170"/>
      <c r="K45" s="1" t="s">
        <v>10</v>
      </c>
      <c r="W45" s="11"/>
      <c r="Y45" s="11"/>
      <c r="AA45" s="11"/>
      <c r="AC45" s="11"/>
      <c r="AD45" s="164"/>
      <c r="AE45" s="164"/>
      <c r="AF45" s="164"/>
    </row>
    <row r="46" spans="1:52" s="2" customFormat="1" ht="15" hidden="1" customHeight="1" x14ac:dyDescent="0.2">
      <c r="A46" s="253"/>
      <c r="B46" s="254"/>
      <c r="C46" s="254"/>
      <c r="D46" s="18"/>
      <c r="E46" s="17"/>
      <c r="F46" s="170"/>
      <c r="K46" s="2" t="s">
        <v>9</v>
      </c>
      <c r="AD46" s="1"/>
      <c r="AE46" s="1"/>
      <c r="AF46" s="1"/>
    </row>
    <row r="47" spans="1:52" s="2" customFormat="1" ht="15" customHeight="1" x14ac:dyDescent="0.2">
      <c r="A47" s="19" t="s">
        <v>8</v>
      </c>
      <c r="B47" s="207"/>
      <c r="C47" s="207"/>
      <c r="D47" s="18"/>
      <c r="E47" s="17">
        <v>223514.397</v>
      </c>
      <c r="F47" s="170"/>
      <c r="K47" s="1" t="s">
        <v>7</v>
      </c>
      <c r="AD47" s="1"/>
      <c r="AE47" s="1"/>
      <c r="AF47" s="1"/>
    </row>
    <row r="48" spans="1:52" s="2" customFormat="1" ht="15" customHeight="1" x14ac:dyDescent="0.2">
      <c r="A48" s="19" t="s">
        <v>6</v>
      </c>
      <c r="B48" s="207"/>
      <c r="C48" s="207"/>
      <c r="D48" s="18"/>
      <c r="E48" s="17">
        <v>175.084</v>
      </c>
      <c r="F48" s="170"/>
      <c r="K48" s="1" t="s">
        <v>117</v>
      </c>
      <c r="AD48" s="1"/>
      <c r="AE48" s="1"/>
      <c r="AF48" s="1"/>
    </row>
    <row r="49" spans="1:52" s="2" customFormat="1" ht="15" customHeight="1" x14ac:dyDescent="0.2">
      <c r="A49" s="206" t="s">
        <v>5</v>
      </c>
      <c r="B49" s="207"/>
      <c r="C49" s="207"/>
      <c r="D49" s="18"/>
      <c r="E49" s="17">
        <v>8227.7942000000003</v>
      </c>
      <c r="F49" s="170"/>
      <c r="AD49" s="1"/>
      <c r="AE49" s="1"/>
      <c r="AF49" s="1"/>
    </row>
    <row r="50" spans="1:52" s="2" customFormat="1" ht="15" customHeight="1" x14ac:dyDescent="0.2">
      <c r="A50" s="206" t="s">
        <v>4</v>
      </c>
      <c r="B50" s="207"/>
      <c r="C50" s="207"/>
      <c r="D50" s="18"/>
      <c r="E50" s="17">
        <v>17190.324700000001</v>
      </c>
      <c r="F50" s="170"/>
    </row>
    <row r="51" spans="1:52" s="2" customFormat="1" ht="15" customHeight="1" x14ac:dyDescent="0.2">
      <c r="A51" s="19" t="s">
        <v>3</v>
      </c>
      <c r="B51" s="207"/>
      <c r="C51" s="207"/>
      <c r="D51" s="18"/>
      <c r="E51" s="17">
        <v>9503.7332037878041</v>
      </c>
      <c r="F51" s="170"/>
    </row>
    <row r="52" spans="1:52" s="209" customFormat="1" ht="20.100000000000001" customHeight="1" x14ac:dyDescent="0.2">
      <c r="A52" s="237" t="s">
        <v>100</v>
      </c>
      <c r="B52" s="252"/>
      <c r="C52" s="252"/>
      <c r="D52" s="208"/>
      <c r="E52" s="71">
        <f>SUM(E44:E51)</f>
        <v>7881075.5994037874</v>
      </c>
      <c r="F52" s="173"/>
    </row>
    <row r="53" spans="1:52" s="2" customFormat="1" ht="15" customHeight="1" x14ac:dyDescent="0.2">
      <c r="A53" s="253"/>
      <c r="B53" s="254"/>
      <c r="C53" s="254"/>
      <c r="D53" s="18"/>
      <c r="E53" s="17">
        <v>0</v>
      </c>
      <c r="F53" s="170"/>
    </row>
    <row r="54" spans="1:52" s="2" customFormat="1" ht="15" customHeight="1" x14ac:dyDescent="0.2">
      <c r="A54" s="253" t="s">
        <v>2</v>
      </c>
      <c r="B54" s="254"/>
      <c r="C54" s="254"/>
      <c r="D54" s="18"/>
      <c r="E54" s="17">
        <v>45.8</v>
      </c>
      <c r="F54" s="170"/>
    </row>
    <row r="55" spans="1:52" s="2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7881029.7994037876</v>
      </c>
      <c r="F55" s="170"/>
    </row>
    <row r="56" spans="1:52" x14ac:dyDescent="0.2">
      <c r="A56" s="2"/>
      <c r="B56" s="2"/>
      <c r="C56" s="2"/>
      <c r="D56" s="2"/>
      <c r="E56" s="2"/>
      <c r="F56" s="214"/>
      <c r="G56" s="210"/>
      <c r="H56" s="210"/>
      <c r="I56" s="210"/>
      <c r="J56" s="211"/>
      <c r="K56" s="2"/>
      <c r="L56" s="210"/>
      <c r="M56" s="210"/>
      <c r="N56" s="210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2"/>
      <c r="C57" s="2"/>
      <c r="D57" s="2"/>
      <c r="E57" s="2"/>
      <c r="F57" s="17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212" t="s">
        <v>112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213" t="s">
        <v>96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V60" s="2"/>
      <c r="W60" s="11"/>
      <c r="X60" s="2"/>
      <c r="Y60" s="199"/>
      <c r="Z60" s="2"/>
      <c r="AA60" s="11"/>
      <c r="AB60" s="2"/>
      <c r="AC60" s="11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11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F39 D33:F33 W33" formula="1"/>
    <ignoredError sqref="W9:Y9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6541-0045-46AF-875B-32DE5BF800B1}">
  <sheetPr>
    <pageSetUpPr fitToPage="1"/>
  </sheetPr>
  <dimension ref="A1:AZ77"/>
  <sheetViews>
    <sheetView showGridLines="0" showZeros="0" topLeftCell="J14" zoomScaleNormal="100" workbookViewId="0">
      <selection activeCell="R47" sqref="R47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256" width="27.5546875" style="1"/>
    <col min="257" max="257" width="19.44140625" style="1" customWidth="1"/>
    <col min="258" max="259" width="12.77734375" style="1" customWidth="1"/>
    <col min="260" max="260" width="13" style="1" customWidth="1"/>
    <col min="261" max="262" width="12.77734375" style="1" customWidth="1"/>
    <col min="263" max="265" width="0" style="1" hidden="1" customWidth="1"/>
    <col min="266" max="274" width="12.77734375" style="1" customWidth="1"/>
    <col min="275" max="275" width="0" style="1" hidden="1" customWidth="1"/>
    <col min="276" max="279" width="12.77734375" style="1" customWidth="1"/>
    <col min="280" max="280" width="1.77734375" style="1" customWidth="1"/>
    <col min="281" max="281" width="12.77734375" style="1" customWidth="1"/>
    <col min="282" max="282" width="1.77734375" style="1" customWidth="1"/>
    <col min="283" max="284" width="0" style="1" hidden="1" customWidth="1"/>
    <col min="285" max="285" width="12.77734375" style="1" customWidth="1"/>
    <col min="286" max="286" width="17.88671875" style="1" customWidth="1"/>
    <col min="287" max="287" width="11.77734375" style="1" customWidth="1"/>
    <col min="288" max="288" width="12" style="1" customWidth="1"/>
    <col min="289" max="512" width="27.5546875" style="1"/>
    <col min="513" max="513" width="19.44140625" style="1" customWidth="1"/>
    <col min="514" max="515" width="12.77734375" style="1" customWidth="1"/>
    <col min="516" max="516" width="13" style="1" customWidth="1"/>
    <col min="517" max="518" width="12.77734375" style="1" customWidth="1"/>
    <col min="519" max="521" width="0" style="1" hidden="1" customWidth="1"/>
    <col min="522" max="530" width="12.77734375" style="1" customWidth="1"/>
    <col min="531" max="531" width="0" style="1" hidden="1" customWidth="1"/>
    <col min="532" max="535" width="12.77734375" style="1" customWidth="1"/>
    <col min="536" max="536" width="1.77734375" style="1" customWidth="1"/>
    <col min="537" max="537" width="12.77734375" style="1" customWidth="1"/>
    <col min="538" max="538" width="1.77734375" style="1" customWidth="1"/>
    <col min="539" max="540" width="0" style="1" hidden="1" customWidth="1"/>
    <col min="541" max="541" width="12.77734375" style="1" customWidth="1"/>
    <col min="542" max="542" width="17.88671875" style="1" customWidth="1"/>
    <col min="543" max="543" width="11.77734375" style="1" customWidth="1"/>
    <col min="544" max="544" width="12" style="1" customWidth="1"/>
    <col min="545" max="768" width="27.5546875" style="1"/>
    <col min="769" max="769" width="19.44140625" style="1" customWidth="1"/>
    <col min="770" max="771" width="12.77734375" style="1" customWidth="1"/>
    <col min="772" max="772" width="13" style="1" customWidth="1"/>
    <col min="773" max="774" width="12.77734375" style="1" customWidth="1"/>
    <col min="775" max="777" width="0" style="1" hidden="1" customWidth="1"/>
    <col min="778" max="786" width="12.77734375" style="1" customWidth="1"/>
    <col min="787" max="787" width="0" style="1" hidden="1" customWidth="1"/>
    <col min="788" max="791" width="12.77734375" style="1" customWidth="1"/>
    <col min="792" max="792" width="1.77734375" style="1" customWidth="1"/>
    <col min="793" max="793" width="12.77734375" style="1" customWidth="1"/>
    <col min="794" max="794" width="1.77734375" style="1" customWidth="1"/>
    <col min="795" max="796" width="0" style="1" hidden="1" customWidth="1"/>
    <col min="797" max="797" width="12.77734375" style="1" customWidth="1"/>
    <col min="798" max="798" width="17.88671875" style="1" customWidth="1"/>
    <col min="799" max="799" width="11.77734375" style="1" customWidth="1"/>
    <col min="800" max="800" width="12" style="1" customWidth="1"/>
    <col min="801" max="1024" width="27.5546875" style="1"/>
    <col min="1025" max="1025" width="19.44140625" style="1" customWidth="1"/>
    <col min="1026" max="1027" width="12.77734375" style="1" customWidth="1"/>
    <col min="1028" max="1028" width="13" style="1" customWidth="1"/>
    <col min="1029" max="1030" width="12.77734375" style="1" customWidth="1"/>
    <col min="1031" max="1033" width="0" style="1" hidden="1" customWidth="1"/>
    <col min="1034" max="1042" width="12.77734375" style="1" customWidth="1"/>
    <col min="1043" max="1043" width="0" style="1" hidden="1" customWidth="1"/>
    <col min="1044" max="1047" width="12.77734375" style="1" customWidth="1"/>
    <col min="1048" max="1048" width="1.77734375" style="1" customWidth="1"/>
    <col min="1049" max="1049" width="12.77734375" style="1" customWidth="1"/>
    <col min="1050" max="1050" width="1.77734375" style="1" customWidth="1"/>
    <col min="1051" max="1052" width="0" style="1" hidden="1" customWidth="1"/>
    <col min="1053" max="1053" width="12.77734375" style="1" customWidth="1"/>
    <col min="1054" max="1054" width="17.88671875" style="1" customWidth="1"/>
    <col min="1055" max="1055" width="11.77734375" style="1" customWidth="1"/>
    <col min="1056" max="1056" width="12" style="1" customWidth="1"/>
    <col min="1057" max="1280" width="27.5546875" style="1"/>
    <col min="1281" max="1281" width="19.44140625" style="1" customWidth="1"/>
    <col min="1282" max="1283" width="12.77734375" style="1" customWidth="1"/>
    <col min="1284" max="1284" width="13" style="1" customWidth="1"/>
    <col min="1285" max="1286" width="12.77734375" style="1" customWidth="1"/>
    <col min="1287" max="1289" width="0" style="1" hidden="1" customWidth="1"/>
    <col min="1290" max="1298" width="12.77734375" style="1" customWidth="1"/>
    <col min="1299" max="1299" width="0" style="1" hidden="1" customWidth="1"/>
    <col min="1300" max="1303" width="12.77734375" style="1" customWidth="1"/>
    <col min="1304" max="1304" width="1.77734375" style="1" customWidth="1"/>
    <col min="1305" max="1305" width="12.77734375" style="1" customWidth="1"/>
    <col min="1306" max="1306" width="1.77734375" style="1" customWidth="1"/>
    <col min="1307" max="1308" width="0" style="1" hidden="1" customWidth="1"/>
    <col min="1309" max="1309" width="12.77734375" style="1" customWidth="1"/>
    <col min="1310" max="1310" width="17.88671875" style="1" customWidth="1"/>
    <col min="1311" max="1311" width="11.77734375" style="1" customWidth="1"/>
    <col min="1312" max="1312" width="12" style="1" customWidth="1"/>
    <col min="1313" max="1536" width="27.5546875" style="1"/>
    <col min="1537" max="1537" width="19.44140625" style="1" customWidth="1"/>
    <col min="1538" max="1539" width="12.77734375" style="1" customWidth="1"/>
    <col min="1540" max="1540" width="13" style="1" customWidth="1"/>
    <col min="1541" max="1542" width="12.77734375" style="1" customWidth="1"/>
    <col min="1543" max="1545" width="0" style="1" hidden="1" customWidth="1"/>
    <col min="1546" max="1554" width="12.77734375" style="1" customWidth="1"/>
    <col min="1555" max="1555" width="0" style="1" hidden="1" customWidth="1"/>
    <col min="1556" max="1559" width="12.77734375" style="1" customWidth="1"/>
    <col min="1560" max="1560" width="1.77734375" style="1" customWidth="1"/>
    <col min="1561" max="1561" width="12.77734375" style="1" customWidth="1"/>
    <col min="1562" max="1562" width="1.77734375" style="1" customWidth="1"/>
    <col min="1563" max="1564" width="0" style="1" hidden="1" customWidth="1"/>
    <col min="1565" max="1565" width="12.77734375" style="1" customWidth="1"/>
    <col min="1566" max="1566" width="17.88671875" style="1" customWidth="1"/>
    <col min="1567" max="1567" width="11.77734375" style="1" customWidth="1"/>
    <col min="1568" max="1568" width="12" style="1" customWidth="1"/>
    <col min="1569" max="1792" width="27.5546875" style="1"/>
    <col min="1793" max="1793" width="19.44140625" style="1" customWidth="1"/>
    <col min="1794" max="1795" width="12.77734375" style="1" customWidth="1"/>
    <col min="1796" max="1796" width="13" style="1" customWidth="1"/>
    <col min="1797" max="1798" width="12.77734375" style="1" customWidth="1"/>
    <col min="1799" max="1801" width="0" style="1" hidden="1" customWidth="1"/>
    <col min="1802" max="1810" width="12.77734375" style="1" customWidth="1"/>
    <col min="1811" max="1811" width="0" style="1" hidden="1" customWidth="1"/>
    <col min="1812" max="1815" width="12.77734375" style="1" customWidth="1"/>
    <col min="1816" max="1816" width="1.77734375" style="1" customWidth="1"/>
    <col min="1817" max="1817" width="12.77734375" style="1" customWidth="1"/>
    <col min="1818" max="1818" width="1.77734375" style="1" customWidth="1"/>
    <col min="1819" max="1820" width="0" style="1" hidden="1" customWidth="1"/>
    <col min="1821" max="1821" width="12.77734375" style="1" customWidth="1"/>
    <col min="1822" max="1822" width="17.88671875" style="1" customWidth="1"/>
    <col min="1823" max="1823" width="11.77734375" style="1" customWidth="1"/>
    <col min="1824" max="1824" width="12" style="1" customWidth="1"/>
    <col min="1825" max="2048" width="27.5546875" style="1"/>
    <col min="2049" max="2049" width="19.44140625" style="1" customWidth="1"/>
    <col min="2050" max="2051" width="12.77734375" style="1" customWidth="1"/>
    <col min="2052" max="2052" width="13" style="1" customWidth="1"/>
    <col min="2053" max="2054" width="12.77734375" style="1" customWidth="1"/>
    <col min="2055" max="2057" width="0" style="1" hidden="1" customWidth="1"/>
    <col min="2058" max="2066" width="12.77734375" style="1" customWidth="1"/>
    <col min="2067" max="2067" width="0" style="1" hidden="1" customWidth="1"/>
    <col min="2068" max="2071" width="12.77734375" style="1" customWidth="1"/>
    <col min="2072" max="2072" width="1.77734375" style="1" customWidth="1"/>
    <col min="2073" max="2073" width="12.77734375" style="1" customWidth="1"/>
    <col min="2074" max="2074" width="1.77734375" style="1" customWidth="1"/>
    <col min="2075" max="2076" width="0" style="1" hidden="1" customWidth="1"/>
    <col min="2077" max="2077" width="12.77734375" style="1" customWidth="1"/>
    <col min="2078" max="2078" width="17.88671875" style="1" customWidth="1"/>
    <col min="2079" max="2079" width="11.77734375" style="1" customWidth="1"/>
    <col min="2080" max="2080" width="12" style="1" customWidth="1"/>
    <col min="2081" max="2304" width="27.5546875" style="1"/>
    <col min="2305" max="2305" width="19.44140625" style="1" customWidth="1"/>
    <col min="2306" max="2307" width="12.77734375" style="1" customWidth="1"/>
    <col min="2308" max="2308" width="13" style="1" customWidth="1"/>
    <col min="2309" max="2310" width="12.77734375" style="1" customWidth="1"/>
    <col min="2311" max="2313" width="0" style="1" hidden="1" customWidth="1"/>
    <col min="2314" max="2322" width="12.77734375" style="1" customWidth="1"/>
    <col min="2323" max="2323" width="0" style="1" hidden="1" customWidth="1"/>
    <col min="2324" max="2327" width="12.77734375" style="1" customWidth="1"/>
    <col min="2328" max="2328" width="1.77734375" style="1" customWidth="1"/>
    <col min="2329" max="2329" width="12.77734375" style="1" customWidth="1"/>
    <col min="2330" max="2330" width="1.77734375" style="1" customWidth="1"/>
    <col min="2331" max="2332" width="0" style="1" hidden="1" customWidth="1"/>
    <col min="2333" max="2333" width="12.77734375" style="1" customWidth="1"/>
    <col min="2334" max="2334" width="17.88671875" style="1" customWidth="1"/>
    <col min="2335" max="2335" width="11.77734375" style="1" customWidth="1"/>
    <col min="2336" max="2336" width="12" style="1" customWidth="1"/>
    <col min="2337" max="2560" width="27.5546875" style="1"/>
    <col min="2561" max="2561" width="19.44140625" style="1" customWidth="1"/>
    <col min="2562" max="2563" width="12.77734375" style="1" customWidth="1"/>
    <col min="2564" max="2564" width="13" style="1" customWidth="1"/>
    <col min="2565" max="2566" width="12.77734375" style="1" customWidth="1"/>
    <col min="2567" max="2569" width="0" style="1" hidden="1" customWidth="1"/>
    <col min="2570" max="2578" width="12.77734375" style="1" customWidth="1"/>
    <col min="2579" max="2579" width="0" style="1" hidden="1" customWidth="1"/>
    <col min="2580" max="2583" width="12.77734375" style="1" customWidth="1"/>
    <col min="2584" max="2584" width="1.77734375" style="1" customWidth="1"/>
    <col min="2585" max="2585" width="12.77734375" style="1" customWidth="1"/>
    <col min="2586" max="2586" width="1.77734375" style="1" customWidth="1"/>
    <col min="2587" max="2588" width="0" style="1" hidden="1" customWidth="1"/>
    <col min="2589" max="2589" width="12.77734375" style="1" customWidth="1"/>
    <col min="2590" max="2590" width="17.88671875" style="1" customWidth="1"/>
    <col min="2591" max="2591" width="11.77734375" style="1" customWidth="1"/>
    <col min="2592" max="2592" width="12" style="1" customWidth="1"/>
    <col min="2593" max="2816" width="27.5546875" style="1"/>
    <col min="2817" max="2817" width="19.44140625" style="1" customWidth="1"/>
    <col min="2818" max="2819" width="12.77734375" style="1" customWidth="1"/>
    <col min="2820" max="2820" width="13" style="1" customWidth="1"/>
    <col min="2821" max="2822" width="12.77734375" style="1" customWidth="1"/>
    <col min="2823" max="2825" width="0" style="1" hidden="1" customWidth="1"/>
    <col min="2826" max="2834" width="12.77734375" style="1" customWidth="1"/>
    <col min="2835" max="2835" width="0" style="1" hidden="1" customWidth="1"/>
    <col min="2836" max="2839" width="12.77734375" style="1" customWidth="1"/>
    <col min="2840" max="2840" width="1.77734375" style="1" customWidth="1"/>
    <col min="2841" max="2841" width="12.77734375" style="1" customWidth="1"/>
    <col min="2842" max="2842" width="1.77734375" style="1" customWidth="1"/>
    <col min="2843" max="2844" width="0" style="1" hidden="1" customWidth="1"/>
    <col min="2845" max="2845" width="12.77734375" style="1" customWidth="1"/>
    <col min="2846" max="2846" width="17.88671875" style="1" customWidth="1"/>
    <col min="2847" max="2847" width="11.77734375" style="1" customWidth="1"/>
    <col min="2848" max="2848" width="12" style="1" customWidth="1"/>
    <col min="2849" max="3072" width="27.5546875" style="1"/>
    <col min="3073" max="3073" width="19.44140625" style="1" customWidth="1"/>
    <col min="3074" max="3075" width="12.77734375" style="1" customWidth="1"/>
    <col min="3076" max="3076" width="13" style="1" customWidth="1"/>
    <col min="3077" max="3078" width="12.77734375" style="1" customWidth="1"/>
    <col min="3079" max="3081" width="0" style="1" hidden="1" customWidth="1"/>
    <col min="3082" max="3090" width="12.77734375" style="1" customWidth="1"/>
    <col min="3091" max="3091" width="0" style="1" hidden="1" customWidth="1"/>
    <col min="3092" max="3095" width="12.77734375" style="1" customWidth="1"/>
    <col min="3096" max="3096" width="1.77734375" style="1" customWidth="1"/>
    <col min="3097" max="3097" width="12.77734375" style="1" customWidth="1"/>
    <col min="3098" max="3098" width="1.77734375" style="1" customWidth="1"/>
    <col min="3099" max="3100" width="0" style="1" hidden="1" customWidth="1"/>
    <col min="3101" max="3101" width="12.77734375" style="1" customWidth="1"/>
    <col min="3102" max="3102" width="17.88671875" style="1" customWidth="1"/>
    <col min="3103" max="3103" width="11.77734375" style="1" customWidth="1"/>
    <col min="3104" max="3104" width="12" style="1" customWidth="1"/>
    <col min="3105" max="3328" width="27.5546875" style="1"/>
    <col min="3329" max="3329" width="19.44140625" style="1" customWidth="1"/>
    <col min="3330" max="3331" width="12.77734375" style="1" customWidth="1"/>
    <col min="3332" max="3332" width="13" style="1" customWidth="1"/>
    <col min="3333" max="3334" width="12.77734375" style="1" customWidth="1"/>
    <col min="3335" max="3337" width="0" style="1" hidden="1" customWidth="1"/>
    <col min="3338" max="3346" width="12.77734375" style="1" customWidth="1"/>
    <col min="3347" max="3347" width="0" style="1" hidden="1" customWidth="1"/>
    <col min="3348" max="3351" width="12.77734375" style="1" customWidth="1"/>
    <col min="3352" max="3352" width="1.77734375" style="1" customWidth="1"/>
    <col min="3353" max="3353" width="12.77734375" style="1" customWidth="1"/>
    <col min="3354" max="3354" width="1.77734375" style="1" customWidth="1"/>
    <col min="3355" max="3356" width="0" style="1" hidden="1" customWidth="1"/>
    <col min="3357" max="3357" width="12.77734375" style="1" customWidth="1"/>
    <col min="3358" max="3358" width="17.88671875" style="1" customWidth="1"/>
    <col min="3359" max="3359" width="11.77734375" style="1" customWidth="1"/>
    <col min="3360" max="3360" width="12" style="1" customWidth="1"/>
    <col min="3361" max="3584" width="27.5546875" style="1"/>
    <col min="3585" max="3585" width="19.44140625" style="1" customWidth="1"/>
    <col min="3586" max="3587" width="12.77734375" style="1" customWidth="1"/>
    <col min="3588" max="3588" width="13" style="1" customWidth="1"/>
    <col min="3589" max="3590" width="12.77734375" style="1" customWidth="1"/>
    <col min="3591" max="3593" width="0" style="1" hidden="1" customWidth="1"/>
    <col min="3594" max="3602" width="12.77734375" style="1" customWidth="1"/>
    <col min="3603" max="3603" width="0" style="1" hidden="1" customWidth="1"/>
    <col min="3604" max="3607" width="12.77734375" style="1" customWidth="1"/>
    <col min="3608" max="3608" width="1.77734375" style="1" customWidth="1"/>
    <col min="3609" max="3609" width="12.77734375" style="1" customWidth="1"/>
    <col min="3610" max="3610" width="1.77734375" style="1" customWidth="1"/>
    <col min="3611" max="3612" width="0" style="1" hidden="1" customWidth="1"/>
    <col min="3613" max="3613" width="12.77734375" style="1" customWidth="1"/>
    <col min="3614" max="3614" width="17.88671875" style="1" customWidth="1"/>
    <col min="3615" max="3615" width="11.77734375" style="1" customWidth="1"/>
    <col min="3616" max="3616" width="12" style="1" customWidth="1"/>
    <col min="3617" max="3840" width="27.5546875" style="1"/>
    <col min="3841" max="3841" width="19.44140625" style="1" customWidth="1"/>
    <col min="3842" max="3843" width="12.77734375" style="1" customWidth="1"/>
    <col min="3844" max="3844" width="13" style="1" customWidth="1"/>
    <col min="3845" max="3846" width="12.77734375" style="1" customWidth="1"/>
    <col min="3847" max="3849" width="0" style="1" hidden="1" customWidth="1"/>
    <col min="3850" max="3858" width="12.77734375" style="1" customWidth="1"/>
    <col min="3859" max="3859" width="0" style="1" hidden="1" customWidth="1"/>
    <col min="3860" max="3863" width="12.77734375" style="1" customWidth="1"/>
    <col min="3864" max="3864" width="1.77734375" style="1" customWidth="1"/>
    <col min="3865" max="3865" width="12.77734375" style="1" customWidth="1"/>
    <col min="3866" max="3866" width="1.77734375" style="1" customWidth="1"/>
    <col min="3867" max="3868" width="0" style="1" hidden="1" customWidth="1"/>
    <col min="3869" max="3869" width="12.77734375" style="1" customWidth="1"/>
    <col min="3870" max="3870" width="17.88671875" style="1" customWidth="1"/>
    <col min="3871" max="3871" width="11.77734375" style="1" customWidth="1"/>
    <col min="3872" max="3872" width="12" style="1" customWidth="1"/>
    <col min="3873" max="4096" width="27.5546875" style="1"/>
    <col min="4097" max="4097" width="19.44140625" style="1" customWidth="1"/>
    <col min="4098" max="4099" width="12.77734375" style="1" customWidth="1"/>
    <col min="4100" max="4100" width="13" style="1" customWidth="1"/>
    <col min="4101" max="4102" width="12.77734375" style="1" customWidth="1"/>
    <col min="4103" max="4105" width="0" style="1" hidden="1" customWidth="1"/>
    <col min="4106" max="4114" width="12.77734375" style="1" customWidth="1"/>
    <col min="4115" max="4115" width="0" style="1" hidden="1" customWidth="1"/>
    <col min="4116" max="4119" width="12.77734375" style="1" customWidth="1"/>
    <col min="4120" max="4120" width="1.77734375" style="1" customWidth="1"/>
    <col min="4121" max="4121" width="12.77734375" style="1" customWidth="1"/>
    <col min="4122" max="4122" width="1.77734375" style="1" customWidth="1"/>
    <col min="4123" max="4124" width="0" style="1" hidden="1" customWidth="1"/>
    <col min="4125" max="4125" width="12.77734375" style="1" customWidth="1"/>
    <col min="4126" max="4126" width="17.88671875" style="1" customWidth="1"/>
    <col min="4127" max="4127" width="11.77734375" style="1" customWidth="1"/>
    <col min="4128" max="4128" width="12" style="1" customWidth="1"/>
    <col min="4129" max="4352" width="27.5546875" style="1"/>
    <col min="4353" max="4353" width="19.44140625" style="1" customWidth="1"/>
    <col min="4354" max="4355" width="12.77734375" style="1" customWidth="1"/>
    <col min="4356" max="4356" width="13" style="1" customWidth="1"/>
    <col min="4357" max="4358" width="12.77734375" style="1" customWidth="1"/>
    <col min="4359" max="4361" width="0" style="1" hidden="1" customWidth="1"/>
    <col min="4362" max="4370" width="12.77734375" style="1" customWidth="1"/>
    <col min="4371" max="4371" width="0" style="1" hidden="1" customWidth="1"/>
    <col min="4372" max="4375" width="12.77734375" style="1" customWidth="1"/>
    <col min="4376" max="4376" width="1.77734375" style="1" customWidth="1"/>
    <col min="4377" max="4377" width="12.77734375" style="1" customWidth="1"/>
    <col min="4378" max="4378" width="1.77734375" style="1" customWidth="1"/>
    <col min="4379" max="4380" width="0" style="1" hidden="1" customWidth="1"/>
    <col min="4381" max="4381" width="12.77734375" style="1" customWidth="1"/>
    <col min="4382" max="4382" width="17.88671875" style="1" customWidth="1"/>
    <col min="4383" max="4383" width="11.77734375" style="1" customWidth="1"/>
    <col min="4384" max="4384" width="12" style="1" customWidth="1"/>
    <col min="4385" max="4608" width="27.5546875" style="1"/>
    <col min="4609" max="4609" width="19.44140625" style="1" customWidth="1"/>
    <col min="4610" max="4611" width="12.77734375" style="1" customWidth="1"/>
    <col min="4612" max="4612" width="13" style="1" customWidth="1"/>
    <col min="4613" max="4614" width="12.77734375" style="1" customWidth="1"/>
    <col min="4615" max="4617" width="0" style="1" hidden="1" customWidth="1"/>
    <col min="4618" max="4626" width="12.77734375" style="1" customWidth="1"/>
    <col min="4627" max="4627" width="0" style="1" hidden="1" customWidth="1"/>
    <col min="4628" max="4631" width="12.77734375" style="1" customWidth="1"/>
    <col min="4632" max="4632" width="1.77734375" style="1" customWidth="1"/>
    <col min="4633" max="4633" width="12.77734375" style="1" customWidth="1"/>
    <col min="4634" max="4634" width="1.77734375" style="1" customWidth="1"/>
    <col min="4635" max="4636" width="0" style="1" hidden="1" customWidth="1"/>
    <col min="4637" max="4637" width="12.77734375" style="1" customWidth="1"/>
    <col min="4638" max="4638" width="17.88671875" style="1" customWidth="1"/>
    <col min="4639" max="4639" width="11.77734375" style="1" customWidth="1"/>
    <col min="4640" max="4640" width="12" style="1" customWidth="1"/>
    <col min="4641" max="4864" width="27.5546875" style="1"/>
    <col min="4865" max="4865" width="19.44140625" style="1" customWidth="1"/>
    <col min="4866" max="4867" width="12.77734375" style="1" customWidth="1"/>
    <col min="4868" max="4868" width="13" style="1" customWidth="1"/>
    <col min="4869" max="4870" width="12.77734375" style="1" customWidth="1"/>
    <col min="4871" max="4873" width="0" style="1" hidden="1" customWidth="1"/>
    <col min="4874" max="4882" width="12.77734375" style="1" customWidth="1"/>
    <col min="4883" max="4883" width="0" style="1" hidden="1" customWidth="1"/>
    <col min="4884" max="4887" width="12.77734375" style="1" customWidth="1"/>
    <col min="4888" max="4888" width="1.77734375" style="1" customWidth="1"/>
    <col min="4889" max="4889" width="12.77734375" style="1" customWidth="1"/>
    <col min="4890" max="4890" width="1.77734375" style="1" customWidth="1"/>
    <col min="4891" max="4892" width="0" style="1" hidden="1" customWidth="1"/>
    <col min="4893" max="4893" width="12.77734375" style="1" customWidth="1"/>
    <col min="4894" max="4894" width="17.88671875" style="1" customWidth="1"/>
    <col min="4895" max="4895" width="11.77734375" style="1" customWidth="1"/>
    <col min="4896" max="4896" width="12" style="1" customWidth="1"/>
    <col min="4897" max="5120" width="27.5546875" style="1"/>
    <col min="5121" max="5121" width="19.44140625" style="1" customWidth="1"/>
    <col min="5122" max="5123" width="12.77734375" style="1" customWidth="1"/>
    <col min="5124" max="5124" width="13" style="1" customWidth="1"/>
    <col min="5125" max="5126" width="12.77734375" style="1" customWidth="1"/>
    <col min="5127" max="5129" width="0" style="1" hidden="1" customWidth="1"/>
    <col min="5130" max="5138" width="12.77734375" style="1" customWidth="1"/>
    <col min="5139" max="5139" width="0" style="1" hidden="1" customWidth="1"/>
    <col min="5140" max="5143" width="12.77734375" style="1" customWidth="1"/>
    <col min="5144" max="5144" width="1.77734375" style="1" customWidth="1"/>
    <col min="5145" max="5145" width="12.77734375" style="1" customWidth="1"/>
    <col min="5146" max="5146" width="1.77734375" style="1" customWidth="1"/>
    <col min="5147" max="5148" width="0" style="1" hidden="1" customWidth="1"/>
    <col min="5149" max="5149" width="12.77734375" style="1" customWidth="1"/>
    <col min="5150" max="5150" width="17.88671875" style="1" customWidth="1"/>
    <col min="5151" max="5151" width="11.77734375" style="1" customWidth="1"/>
    <col min="5152" max="5152" width="12" style="1" customWidth="1"/>
    <col min="5153" max="5376" width="27.5546875" style="1"/>
    <col min="5377" max="5377" width="19.44140625" style="1" customWidth="1"/>
    <col min="5378" max="5379" width="12.77734375" style="1" customWidth="1"/>
    <col min="5380" max="5380" width="13" style="1" customWidth="1"/>
    <col min="5381" max="5382" width="12.77734375" style="1" customWidth="1"/>
    <col min="5383" max="5385" width="0" style="1" hidden="1" customWidth="1"/>
    <col min="5386" max="5394" width="12.77734375" style="1" customWidth="1"/>
    <col min="5395" max="5395" width="0" style="1" hidden="1" customWidth="1"/>
    <col min="5396" max="5399" width="12.77734375" style="1" customWidth="1"/>
    <col min="5400" max="5400" width="1.77734375" style="1" customWidth="1"/>
    <col min="5401" max="5401" width="12.77734375" style="1" customWidth="1"/>
    <col min="5402" max="5402" width="1.77734375" style="1" customWidth="1"/>
    <col min="5403" max="5404" width="0" style="1" hidden="1" customWidth="1"/>
    <col min="5405" max="5405" width="12.77734375" style="1" customWidth="1"/>
    <col min="5406" max="5406" width="17.88671875" style="1" customWidth="1"/>
    <col min="5407" max="5407" width="11.77734375" style="1" customWidth="1"/>
    <col min="5408" max="5408" width="12" style="1" customWidth="1"/>
    <col min="5409" max="5632" width="27.5546875" style="1"/>
    <col min="5633" max="5633" width="19.44140625" style="1" customWidth="1"/>
    <col min="5634" max="5635" width="12.77734375" style="1" customWidth="1"/>
    <col min="5636" max="5636" width="13" style="1" customWidth="1"/>
    <col min="5637" max="5638" width="12.77734375" style="1" customWidth="1"/>
    <col min="5639" max="5641" width="0" style="1" hidden="1" customWidth="1"/>
    <col min="5642" max="5650" width="12.77734375" style="1" customWidth="1"/>
    <col min="5651" max="5651" width="0" style="1" hidden="1" customWidth="1"/>
    <col min="5652" max="5655" width="12.77734375" style="1" customWidth="1"/>
    <col min="5656" max="5656" width="1.77734375" style="1" customWidth="1"/>
    <col min="5657" max="5657" width="12.77734375" style="1" customWidth="1"/>
    <col min="5658" max="5658" width="1.77734375" style="1" customWidth="1"/>
    <col min="5659" max="5660" width="0" style="1" hidden="1" customWidth="1"/>
    <col min="5661" max="5661" width="12.77734375" style="1" customWidth="1"/>
    <col min="5662" max="5662" width="17.88671875" style="1" customWidth="1"/>
    <col min="5663" max="5663" width="11.77734375" style="1" customWidth="1"/>
    <col min="5664" max="5664" width="12" style="1" customWidth="1"/>
    <col min="5665" max="5888" width="27.5546875" style="1"/>
    <col min="5889" max="5889" width="19.44140625" style="1" customWidth="1"/>
    <col min="5890" max="5891" width="12.77734375" style="1" customWidth="1"/>
    <col min="5892" max="5892" width="13" style="1" customWidth="1"/>
    <col min="5893" max="5894" width="12.77734375" style="1" customWidth="1"/>
    <col min="5895" max="5897" width="0" style="1" hidden="1" customWidth="1"/>
    <col min="5898" max="5906" width="12.77734375" style="1" customWidth="1"/>
    <col min="5907" max="5907" width="0" style="1" hidden="1" customWidth="1"/>
    <col min="5908" max="5911" width="12.77734375" style="1" customWidth="1"/>
    <col min="5912" max="5912" width="1.77734375" style="1" customWidth="1"/>
    <col min="5913" max="5913" width="12.77734375" style="1" customWidth="1"/>
    <col min="5914" max="5914" width="1.77734375" style="1" customWidth="1"/>
    <col min="5915" max="5916" width="0" style="1" hidden="1" customWidth="1"/>
    <col min="5917" max="5917" width="12.77734375" style="1" customWidth="1"/>
    <col min="5918" max="5918" width="17.88671875" style="1" customWidth="1"/>
    <col min="5919" max="5919" width="11.77734375" style="1" customWidth="1"/>
    <col min="5920" max="5920" width="12" style="1" customWidth="1"/>
    <col min="5921" max="6144" width="27.5546875" style="1"/>
    <col min="6145" max="6145" width="19.44140625" style="1" customWidth="1"/>
    <col min="6146" max="6147" width="12.77734375" style="1" customWidth="1"/>
    <col min="6148" max="6148" width="13" style="1" customWidth="1"/>
    <col min="6149" max="6150" width="12.77734375" style="1" customWidth="1"/>
    <col min="6151" max="6153" width="0" style="1" hidden="1" customWidth="1"/>
    <col min="6154" max="6162" width="12.77734375" style="1" customWidth="1"/>
    <col min="6163" max="6163" width="0" style="1" hidden="1" customWidth="1"/>
    <col min="6164" max="6167" width="12.77734375" style="1" customWidth="1"/>
    <col min="6168" max="6168" width="1.77734375" style="1" customWidth="1"/>
    <col min="6169" max="6169" width="12.77734375" style="1" customWidth="1"/>
    <col min="6170" max="6170" width="1.77734375" style="1" customWidth="1"/>
    <col min="6171" max="6172" width="0" style="1" hidden="1" customWidth="1"/>
    <col min="6173" max="6173" width="12.77734375" style="1" customWidth="1"/>
    <col min="6174" max="6174" width="17.88671875" style="1" customWidth="1"/>
    <col min="6175" max="6175" width="11.77734375" style="1" customWidth="1"/>
    <col min="6176" max="6176" width="12" style="1" customWidth="1"/>
    <col min="6177" max="6400" width="27.5546875" style="1"/>
    <col min="6401" max="6401" width="19.44140625" style="1" customWidth="1"/>
    <col min="6402" max="6403" width="12.77734375" style="1" customWidth="1"/>
    <col min="6404" max="6404" width="13" style="1" customWidth="1"/>
    <col min="6405" max="6406" width="12.77734375" style="1" customWidth="1"/>
    <col min="6407" max="6409" width="0" style="1" hidden="1" customWidth="1"/>
    <col min="6410" max="6418" width="12.77734375" style="1" customWidth="1"/>
    <col min="6419" max="6419" width="0" style="1" hidden="1" customWidth="1"/>
    <col min="6420" max="6423" width="12.77734375" style="1" customWidth="1"/>
    <col min="6424" max="6424" width="1.77734375" style="1" customWidth="1"/>
    <col min="6425" max="6425" width="12.77734375" style="1" customWidth="1"/>
    <col min="6426" max="6426" width="1.77734375" style="1" customWidth="1"/>
    <col min="6427" max="6428" width="0" style="1" hidden="1" customWidth="1"/>
    <col min="6429" max="6429" width="12.77734375" style="1" customWidth="1"/>
    <col min="6430" max="6430" width="17.88671875" style="1" customWidth="1"/>
    <col min="6431" max="6431" width="11.77734375" style="1" customWidth="1"/>
    <col min="6432" max="6432" width="12" style="1" customWidth="1"/>
    <col min="6433" max="6656" width="27.5546875" style="1"/>
    <col min="6657" max="6657" width="19.44140625" style="1" customWidth="1"/>
    <col min="6658" max="6659" width="12.77734375" style="1" customWidth="1"/>
    <col min="6660" max="6660" width="13" style="1" customWidth="1"/>
    <col min="6661" max="6662" width="12.77734375" style="1" customWidth="1"/>
    <col min="6663" max="6665" width="0" style="1" hidden="1" customWidth="1"/>
    <col min="6666" max="6674" width="12.77734375" style="1" customWidth="1"/>
    <col min="6675" max="6675" width="0" style="1" hidden="1" customWidth="1"/>
    <col min="6676" max="6679" width="12.77734375" style="1" customWidth="1"/>
    <col min="6680" max="6680" width="1.77734375" style="1" customWidth="1"/>
    <col min="6681" max="6681" width="12.77734375" style="1" customWidth="1"/>
    <col min="6682" max="6682" width="1.77734375" style="1" customWidth="1"/>
    <col min="6683" max="6684" width="0" style="1" hidden="1" customWidth="1"/>
    <col min="6685" max="6685" width="12.77734375" style="1" customWidth="1"/>
    <col min="6686" max="6686" width="17.88671875" style="1" customWidth="1"/>
    <col min="6687" max="6687" width="11.77734375" style="1" customWidth="1"/>
    <col min="6688" max="6688" width="12" style="1" customWidth="1"/>
    <col min="6689" max="6912" width="27.5546875" style="1"/>
    <col min="6913" max="6913" width="19.44140625" style="1" customWidth="1"/>
    <col min="6914" max="6915" width="12.77734375" style="1" customWidth="1"/>
    <col min="6916" max="6916" width="13" style="1" customWidth="1"/>
    <col min="6917" max="6918" width="12.77734375" style="1" customWidth="1"/>
    <col min="6919" max="6921" width="0" style="1" hidden="1" customWidth="1"/>
    <col min="6922" max="6930" width="12.77734375" style="1" customWidth="1"/>
    <col min="6931" max="6931" width="0" style="1" hidden="1" customWidth="1"/>
    <col min="6932" max="6935" width="12.77734375" style="1" customWidth="1"/>
    <col min="6936" max="6936" width="1.77734375" style="1" customWidth="1"/>
    <col min="6937" max="6937" width="12.77734375" style="1" customWidth="1"/>
    <col min="6938" max="6938" width="1.77734375" style="1" customWidth="1"/>
    <col min="6939" max="6940" width="0" style="1" hidden="1" customWidth="1"/>
    <col min="6941" max="6941" width="12.77734375" style="1" customWidth="1"/>
    <col min="6942" max="6942" width="17.88671875" style="1" customWidth="1"/>
    <col min="6943" max="6943" width="11.77734375" style="1" customWidth="1"/>
    <col min="6944" max="6944" width="12" style="1" customWidth="1"/>
    <col min="6945" max="7168" width="27.5546875" style="1"/>
    <col min="7169" max="7169" width="19.44140625" style="1" customWidth="1"/>
    <col min="7170" max="7171" width="12.77734375" style="1" customWidth="1"/>
    <col min="7172" max="7172" width="13" style="1" customWidth="1"/>
    <col min="7173" max="7174" width="12.77734375" style="1" customWidth="1"/>
    <col min="7175" max="7177" width="0" style="1" hidden="1" customWidth="1"/>
    <col min="7178" max="7186" width="12.77734375" style="1" customWidth="1"/>
    <col min="7187" max="7187" width="0" style="1" hidden="1" customWidth="1"/>
    <col min="7188" max="7191" width="12.77734375" style="1" customWidth="1"/>
    <col min="7192" max="7192" width="1.77734375" style="1" customWidth="1"/>
    <col min="7193" max="7193" width="12.77734375" style="1" customWidth="1"/>
    <col min="7194" max="7194" width="1.77734375" style="1" customWidth="1"/>
    <col min="7195" max="7196" width="0" style="1" hidden="1" customWidth="1"/>
    <col min="7197" max="7197" width="12.77734375" style="1" customWidth="1"/>
    <col min="7198" max="7198" width="17.88671875" style="1" customWidth="1"/>
    <col min="7199" max="7199" width="11.77734375" style="1" customWidth="1"/>
    <col min="7200" max="7200" width="12" style="1" customWidth="1"/>
    <col min="7201" max="7424" width="27.5546875" style="1"/>
    <col min="7425" max="7425" width="19.44140625" style="1" customWidth="1"/>
    <col min="7426" max="7427" width="12.77734375" style="1" customWidth="1"/>
    <col min="7428" max="7428" width="13" style="1" customWidth="1"/>
    <col min="7429" max="7430" width="12.77734375" style="1" customWidth="1"/>
    <col min="7431" max="7433" width="0" style="1" hidden="1" customWidth="1"/>
    <col min="7434" max="7442" width="12.77734375" style="1" customWidth="1"/>
    <col min="7443" max="7443" width="0" style="1" hidden="1" customWidth="1"/>
    <col min="7444" max="7447" width="12.77734375" style="1" customWidth="1"/>
    <col min="7448" max="7448" width="1.77734375" style="1" customWidth="1"/>
    <col min="7449" max="7449" width="12.77734375" style="1" customWidth="1"/>
    <col min="7450" max="7450" width="1.77734375" style="1" customWidth="1"/>
    <col min="7451" max="7452" width="0" style="1" hidden="1" customWidth="1"/>
    <col min="7453" max="7453" width="12.77734375" style="1" customWidth="1"/>
    <col min="7454" max="7454" width="17.88671875" style="1" customWidth="1"/>
    <col min="7455" max="7455" width="11.77734375" style="1" customWidth="1"/>
    <col min="7456" max="7456" width="12" style="1" customWidth="1"/>
    <col min="7457" max="7680" width="27.5546875" style="1"/>
    <col min="7681" max="7681" width="19.44140625" style="1" customWidth="1"/>
    <col min="7682" max="7683" width="12.77734375" style="1" customWidth="1"/>
    <col min="7684" max="7684" width="13" style="1" customWidth="1"/>
    <col min="7685" max="7686" width="12.77734375" style="1" customWidth="1"/>
    <col min="7687" max="7689" width="0" style="1" hidden="1" customWidth="1"/>
    <col min="7690" max="7698" width="12.77734375" style="1" customWidth="1"/>
    <col min="7699" max="7699" width="0" style="1" hidden="1" customWidth="1"/>
    <col min="7700" max="7703" width="12.77734375" style="1" customWidth="1"/>
    <col min="7704" max="7704" width="1.77734375" style="1" customWidth="1"/>
    <col min="7705" max="7705" width="12.77734375" style="1" customWidth="1"/>
    <col min="7706" max="7706" width="1.77734375" style="1" customWidth="1"/>
    <col min="7707" max="7708" width="0" style="1" hidden="1" customWidth="1"/>
    <col min="7709" max="7709" width="12.77734375" style="1" customWidth="1"/>
    <col min="7710" max="7710" width="17.88671875" style="1" customWidth="1"/>
    <col min="7711" max="7711" width="11.77734375" style="1" customWidth="1"/>
    <col min="7712" max="7712" width="12" style="1" customWidth="1"/>
    <col min="7713" max="7936" width="27.5546875" style="1"/>
    <col min="7937" max="7937" width="19.44140625" style="1" customWidth="1"/>
    <col min="7938" max="7939" width="12.77734375" style="1" customWidth="1"/>
    <col min="7940" max="7940" width="13" style="1" customWidth="1"/>
    <col min="7941" max="7942" width="12.77734375" style="1" customWidth="1"/>
    <col min="7943" max="7945" width="0" style="1" hidden="1" customWidth="1"/>
    <col min="7946" max="7954" width="12.77734375" style="1" customWidth="1"/>
    <col min="7955" max="7955" width="0" style="1" hidden="1" customWidth="1"/>
    <col min="7956" max="7959" width="12.77734375" style="1" customWidth="1"/>
    <col min="7960" max="7960" width="1.77734375" style="1" customWidth="1"/>
    <col min="7961" max="7961" width="12.77734375" style="1" customWidth="1"/>
    <col min="7962" max="7962" width="1.77734375" style="1" customWidth="1"/>
    <col min="7963" max="7964" width="0" style="1" hidden="1" customWidth="1"/>
    <col min="7965" max="7965" width="12.77734375" style="1" customWidth="1"/>
    <col min="7966" max="7966" width="17.88671875" style="1" customWidth="1"/>
    <col min="7967" max="7967" width="11.77734375" style="1" customWidth="1"/>
    <col min="7968" max="7968" width="12" style="1" customWidth="1"/>
    <col min="7969" max="8192" width="27.5546875" style="1"/>
    <col min="8193" max="8193" width="19.44140625" style="1" customWidth="1"/>
    <col min="8194" max="8195" width="12.77734375" style="1" customWidth="1"/>
    <col min="8196" max="8196" width="13" style="1" customWidth="1"/>
    <col min="8197" max="8198" width="12.77734375" style="1" customWidth="1"/>
    <col min="8199" max="8201" width="0" style="1" hidden="1" customWidth="1"/>
    <col min="8202" max="8210" width="12.77734375" style="1" customWidth="1"/>
    <col min="8211" max="8211" width="0" style="1" hidden="1" customWidth="1"/>
    <col min="8212" max="8215" width="12.77734375" style="1" customWidth="1"/>
    <col min="8216" max="8216" width="1.77734375" style="1" customWidth="1"/>
    <col min="8217" max="8217" width="12.77734375" style="1" customWidth="1"/>
    <col min="8218" max="8218" width="1.77734375" style="1" customWidth="1"/>
    <col min="8219" max="8220" width="0" style="1" hidden="1" customWidth="1"/>
    <col min="8221" max="8221" width="12.77734375" style="1" customWidth="1"/>
    <col min="8222" max="8222" width="17.88671875" style="1" customWidth="1"/>
    <col min="8223" max="8223" width="11.77734375" style="1" customWidth="1"/>
    <col min="8224" max="8224" width="12" style="1" customWidth="1"/>
    <col min="8225" max="8448" width="27.5546875" style="1"/>
    <col min="8449" max="8449" width="19.44140625" style="1" customWidth="1"/>
    <col min="8450" max="8451" width="12.77734375" style="1" customWidth="1"/>
    <col min="8452" max="8452" width="13" style="1" customWidth="1"/>
    <col min="8453" max="8454" width="12.77734375" style="1" customWidth="1"/>
    <col min="8455" max="8457" width="0" style="1" hidden="1" customWidth="1"/>
    <col min="8458" max="8466" width="12.77734375" style="1" customWidth="1"/>
    <col min="8467" max="8467" width="0" style="1" hidden="1" customWidth="1"/>
    <col min="8468" max="8471" width="12.77734375" style="1" customWidth="1"/>
    <col min="8472" max="8472" width="1.77734375" style="1" customWidth="1"/>
    <col min="8473" max="8473" width="12.77734375" style="1" customWidth="1"/>
    <col min="8474" max="8474" width="1.77734375" style="1" customWidth="1"/>
    <col min="8475" max="8476" width="0" style="1" hidden="1" customWidth="1"/>
    <col min="8477" max="8477" width="12.77734375" style="1" customWidth="1"/>
    <col min="8478" max="8478" width="17.88671875" style="1" customWidth="1"/>
    <col min="8479" max="8479" width="11.77734375" style="1" customWidth="1"/>
    <col min="8480" max="8480" width="12" style="1" customWidth="1"/>
    <col min="8481" max="8704" width="27.5546875" style="1"/>
    <col min="8705" max="8705" width="19.44140625" style="1" customWidth="1"/>
    <col min="8706" max="8707" width="12.77734375" style="1" customWidth="1"/>
    <col min="8708" max="8708" width="13" style="1" customWidth="1"/>
    <col min="8709" max="8710" width="12.77734375" style="1" customWidth="1"/>
    <col min="8711" max="8713" width="0" style="1" hidden="1" customWidth="1"/>
    <col min="8714" max="8722" width="12.77734375" style="1" customWidth="1"/>
    <col min="8723" max="8723" width="0" style="1" hidden="1" customWidth="1"/>
    <col min="8724" max="8727" width="12.77734375" style="1" customWidth="1"/>
    <col min="8728" max="8728" width="1.77734375" style="1" customWidth="1"/>
    <col min="8729" max="8729" width="12.77734375" style="1" customWidth="1"/>
    <col min="8730" max="8730" width="1.77734375" style="1" customWidth="1"/>
    <col min="8731" max="8732" width="0" style="1" hidden="1" customWidth="1"/>
    <col min="8733" max="8733" width="12.77734375" style="1" customWidth="1"/>
    <col min="8734" max="8734" width="17.88671875" style="1" customWidth="1"/>
    <col min="8735" max="8735" width="11.77734375" style="1" customWidth="1"/>
    <col min="8736" max="8736" width="12" style="1" customWidth="1"/>
    <col min="8737" max="8960" width="27.5546875" style="1"/>
    <col min="8961" max="8961" width="19.44140625" style="1" customWidth="1"/>
    <col min="8962" max="8963" width="12.77734375" style="1" customWidth="1"/>
    <col min="8964" max="8964" width="13" style="1" customWidth="1"/>
    <col min="8965" max="8966" width="12.77734375" style="1" customWidth="1"/>
    <col min="8967" max="8969" width="0" style="1" hidden="1" customWidth="1"/>
    <col min="8970" max="8978" width="12.77734375" style="1" customWidth="1"/>
    <col min="8979" max="8979" width="0" style="1" hidden="1" customWidth="1"/>
    <col min="8980" max="8983" width="12.77734375" style="1" customWidth="1"/>
    <col min="8984" max="8984" width="1.77734375" style="1" customWidth="1"/>
    <col min="8985" max="8985" width="12.77734375" style="1" customWidth="1"/>
    <col min="8986" max="8986" width="1.77734375" style="1" customWidth="1"/>
    <col min="8987" max="8988" width="0" style="1" hidden="1" customWidth="1"/>
    <col min="8989" max="8989" width="12.77734375" style="1" customWidth="1"/>
    <col min="8990" max="8990" width="17.88671875" style="1" customWidth="1"/>
    <col min="8991" max="8991" width="11.77734375" style="1" customWidth="1"/>
    <col min="8992" max="8992" width="12" style="1" customWidth="1"/>
    <col min="8993" max="9216" width="27.5546875" style="1"/>
    <col min="9217" max="9217" width="19.44140625" style="1" customWidth="1"/>
    <col min="9218" max="9219" width="12.77734375" style="1" customWidth="1"/>
    <col min="9220" max="9220" width="13" style="1" customWidth="1"/>
    <col min="9221" max="9222" width="12.77734375" style="1" customWidth="1"/>
    <col min="9223" max="9225" width="0" style="1" hidden="1" customWidth="1"/>
    <col min="9226" max="9234" width="12.77734375" style="1" customWidth="1"/>
    <col min="9235" max="9235" width="0" style="1" hidden="1" customWidth="1"/>
    <col min="9236" max="9239" width="12.77734375" style="1" customWidth="1"/>
    <col min="9240" max="9240" width="1.77734375" style="1" customWidth="1"/>
    <col min="9241" max="9241" width="12.77734375" style="1" customWidth="1"/>
    <col min="9242" max="9242" width="1.77734375" style="1" customWidth="1"/>
    <col min="9243" max="9244" width="0" style="1" hidden="1" customWidth="1"/>
    <col min="9245" max="9245" width="12.77734375" style="1" customWidth="1"/>
    <col min="9246" max="9246" width="17.88671875" style="1" customWidth="1"/>
    <col min="9247" max="9247" width="11.77734375" style="1" customWidth="1"/>
    <col min="9248" max="9248" width="12" style="1" customWidth="1"/>
    <col min="9249" max="9472" width="27.5546875" style="1"/>
    <col min="9473" max="9473" width="19.44140625" style="1" customWidth="1"/>
    <col min="9474" max="9475" width="12.77734375" style="1" customWidth="1"/>
    <col min="9476" max="9476" width="13" style="1" customWidth="1"/>
    <col min="9477" max="9478" width="12.77734375" style="1" customWidth="1"/>
    <col min="9479" max="9481" width="0" style="1" hidden="1" customWidth="1"/>
    <col min="9482" max="9490" width="12.77734375" style="1" customWidth="1"/>
    <col min="9491" max="9491" width="0" style="1" hidden="1" customWidth="1"/>
    <col min="9492" max="9495" width="12.77734375" style="1" customWidth="1"/>
    <col min="9496" max="9496" width="1.77734375" style="1" customWidth="1"/>
    <col min="9497" max="9497" width="12.77734375" style="1" customWidth="1"/>
    <col min="9498" max="9498" width="1.77734375" style="1" customWidth="1"/>
    <col min="9499" max="9500" width="0" style="1" hidden="1" customWidth="1"/>
    <col min="9501" max="9501" width="12.77734375" style="1" customWidth="1"/>
    <col min="9502" max="9502" width="17.88671875" style="1" customWidth="1"/>
    <col min="9503" max="9503" width="11.77734375" style="1" customWidth="1"/>
    <col min="9504" max="9504" width="12" style="1" customWidth="1"/>
    <col min="9505" max="9728" width="27.5546875" style="1"/>
    <col min="9729" max="9729" width="19.44140625" style="1" customWidth="1"/>
    <col min="9730" max="9731" width="12.77734375" style="1" customWidth="1"/>
    <col min="9732" max="9732" width="13" style="1" customWidth="1"/>
    <col min="9733" max="9734" width="12.77734375" style="1" customWidth="1"/>
    <col min="9735" max="9737" width="0" style="1" hidden="1" customWidth="1"/>
    <col min="9738" max="9746" width="12.77734375" style="1" customWidth="1"/>
    <col min="9747" max="9747" width="0" style="1" hidden="1" customWidth="1"/>
    <col min="9748" max="9751" width="12.77734375" style="1" customWidth="1"/>
    <col min="9752" max="9752" width="1.77734375" style="1" customWidth="1"/>
    <col min="9753" max="9753" width="12.77734375" style="1" customWidth="1"/>
    <col min="9754" max="9754" width="1.77734375" style="1" customWidth="1"/>
    <col min="9755" max="9756" width="0" style="1" hidden="1" customWidth="1"/>
    <col min="9757" max="9757" width="12.77734375" style="1" customWidth="1"/>
    <col min="9758" max="9758" width="17.88671875" style="1" customWidth="1"/>
    <col min="9759" max="9759" width="11.77734375" style="1" customWidth="1"/>
    <col min="9760" max="9760" width="12" style="1" customWidth="1"/>
    <col min="9761" max="9984" width="27.5546875" style="1"/>
    <col min="9985" max="9985" width="19.44140625" style="1" customWidth="1"/>
    <col min="9986" max="9987" width="12.77734375" style="1" customWidth="1"/>
    <col min="9988" max="9988" width="13" style="1" customWidth="1"/>
    <col min="9989" max="9990" width="12.77734375" style="1" customWidth="1"/>
    <col min="9991" max="9993" width="0" style="1" hidden="1" customWidth="1"/>
    <col min="9994" max="10002" width="12.77734375" style="1" customWidth="1"/>
    <col min="10003" max="10003" width="0" style="1" hidden="1" customWidth="1"/>
    <col min="10004" max="10007" width="12.77734375" style="1" customWidth="1"/>
    <col min="10008" max="10008" width="1.77734375" style="1" customWidth="1"/>
    <col min="10009" max="10009" width="12.77734375" style="1" customWidth="1"/>
    <col min="10010" max="10010" width="1.77734375" style="1" customWidth="1"/>
    <col min="10011" max="10012" width="0" style="1" hidden="1" customWidth="1"/>
    <col min="10013" max="10013" width="12.77734375" style="1" customWidth="1"/>
    <col min="10014" max="10014" width="17.88671875" style="1" customWidth="1"/>
    <col min="10015" max="10015" width="11.77734375" style="1" customWidth="1"/>
    <col min="10016" max="10016" width="12" style="1" customWidth="1"/>
    <col min="10017" max="10240" width="27.5546875" style="1"/>
    <col min="10241" max="10241" width="19.44140625" style="1" customWidth="1"/>
    <col min="10242" max="10243" width="12.77734375" style="1" customWidth="1"/>
    <col min="10244" max="10244" width="13" style="1" customWidth="1"/>
    <col min="10245" max="10246" width="12.77734375" style="1" customWidth="1"/>
    <col min="10247" max="10249" width="0" style="1" hidden="1" customWidth="1"/>
    <col min="10250" max="10258" width="12.77734375" style="1" customWidth="1"/>
    <col min="10259" max="10259" width="0" style="1" hidden="1" customWidth="1"/>
    <col min="10260" max="10263" width="12.77734375" style="1" customWidth="1"/>
    <col min="10264" max="10264" width="1.77734375" style="1" customWidth="1"/>
    <col min="10265" max="10265" width="12.77734375" style="1" customWidth="1"/>
    <col min="10266" max="10266" width="1.77734375" style="1" customWidth="1"/>
    <col min="10267" max="10268" width="0" style="1" hidden="1" customWidth="1"/>
    <col min="10269" max="10269" width="12.77734375" style="1" customWidth="1"/>
    <col min="10270" max="10270" width="17.88671875" style="1" customWidth="1"/>
    <col min="10271" max="10271" width="11.77734375" style="1" customWidth="1"/>
    <col min="10272" max="10272" width="12" style="1" customWidth="1"/>
    <col min="10273" max="10496" width="27.5546875" style="1"/>
    <col min="10497" max="10497" width="19.44140625" style="1" customWidth="1"/>
    <col min="10498" max="10499" width="12.77734375" style="1" customWidth="1"/>
    <col min="10500" max="10500" width="13" style="1" customWidth="1"/>
    <col min="10501" max="10502" width="12.77734375" style="1" customWidth="1"/>
    <col min="10503" max="10505" width="0" style="1" hidden="1" customWidth="1"/>
    <col min="10506" max="10514" width="12.77734375" style="1" customWidth="1"/>
    <col min="10515" max="10515" width="0" style="1" hidden="1" customWidth="1"/>
    <col min="10516" max="10519" width="12.77734375" style="1" customWidth="1"/>
    <col min="10520" max="10520" width="1.77734375" style="1" customWidth="1"/>
    <col min="10521" max="10521" width="12.77734375" style="1" customWidth="1"/>
    <col min="10522" max="10522" width="1.77734375" style="1" customWidth="1"/>
    <col min="10523" max="10524" width="0" style="1" hidden="1" customWidth="1"/>
    <col min="10525" max="10525" width="12.77734375" style="1" customWidth="1"/>
    <col min="10526" max="10526" width="17.88671875" style="1" customWidth="1"/>
    <col min="10527" max="10527" width="11.77734375" style="1" customWidth="1"/>
    <col min="10528" max="10528" width="12" style="1" customWidth="1"/>
    <col min="10529" max="10752" width="27.5546875" style="1"/>
    <col min="10753" max="10753" width="19.44140625" style="1" customWidth="1"/>
    <col min="10754" max="10755" width="12.77734375" style="1" customWidth="1"/>
    <col min="10756" max="10756" width="13" style="1" customWidth="1"/>
    <col min="10757" max="10758" width="12.77734375" style="1" customWidth="1"/>
    <col min="10759" max="10761" width="0" style="1" hidden="1" customWidth="1"/>
    <col min="10762" max="10770" width="12.77734375" style="1" customWidth="1"/>
    <col min="10771" max="10771" width="0" style="1" hidden="1" customWidth="1"/>
    <col min="10772" max="10775" width="12.77734375" style="1" customWidth="1"/>
    <col min="10776" max="10776" width="1.77734375" style="1" customWidth="1"/>
    <col min="10777" max="10777" width="12.77734375" style="1" customWidth="1"/>
    <col min="10778" max="10778" width="1.77734375" style="1" customWidth="1"/>
    <col min="10779" max="10780" width="0" style="1" hidden="1" customWidth="1"/>
    <col min="10781" max="10781" width="12.77734375" style="1" customWidth="1"/>
    <col min="10782" max="10782" width="17.88671875" style="1" customWidth="1"/>
    <col min="10783" max="10783" width="11.77734375" style="1" customWidth="1"/>
    <col min="10784" max="10784" width="12" style="1" customWidth="1"/>
    <col min="10785" max="11008" width="27.5546875" style="1"/>
    <col min="11009" max="11009" width="19.44140625" style="1" customWidth="1"/>
    <col min="11010" max="11011" width="12.77734375" style="1" customWidth="1"/>
    <col min="11012" max="11012" width="13" style="1" customWidth="1"/>
    <col min="11013" max="11014" width="12.77734375" style="1" customWidth="1"/>
    <col min="11015" max="11017" width="0" style="1" hidden="1" customWidth="1"/>
    <col min="11018" max="11026" width="12.77734375" style="1" customWidth="1"/>
    <col min="11027" max="11027" width="0" style="1" hidden="1" customWidth="1"/>
    <col min="11028" max="11031" width="12.77734375" style="1" customWidth="1"/>
    <col min="11032" max="11032" width="1.77734375" style="1" customWidth="1"/>
    <col min="11033" max="11033" width="12.77734375" style="1" customWidth="1"/>
    <col min="11034" max="11034" width="1.77734375" style="1" customWidth="1"/>
    <col min="11035" max="11036" width="0" style="1" hidden="1" customWidth="1"/>
    <col min="11037" max="11037" width="12.77734375" style="1" customWidth="1"/>
    <col min="11038" max="11038" width="17.88671875" style="1" customWidth="1"/>
    <col min="11039" max="11039" width="11.77734375" style="1" customWidth="1"/>
    <col min="11040" max="11040" width="12" style="1" customWidth="1"/>
    <col min="11041" max="11264" width="27.5546875" style="1"/>
    <col min="11265" max="11265" width="19.44140625" style="1" customWidth="1"/>
    <col min="11266" max="11267" width="12.77734375" style="1" customWidth="1"/>
    <col min="11268" max="11268" width="13" style="1" customWidth="1"/>
    <col min="11269" max="11270" width="12.77734375" style="1" customWidth="1"/>
    <col min="11271" max="11273" width="0" style="1" hidden="1" customWidth="1"/>
    <col min="11274" max="11282" width="12.77734375" style="1" customWidth="1"/>
    <col min="11283" max="11283" width="0" style="1" hidden="1" customWidth="1"/>
    <col min="11284" max="11287" width="12.77734375" style="1" customWidth="1"/>
    <col min="11288" max="11288" width="1.77734375" style="1" customWidth="1"/>
    <col min="11289" max="11289" width="12.77734375" style="1" customWidth="1"/>
    <col min="11290" max="11290" width="1.77734375" style="1" customWidth="1"/>
    <col min="11291" max="11292" width="0" style="1" hidden="1" customWidth="1"/>
    <col min="11293" max="11293" width="12.77734375" style="1" customWidth="1"/>
    <col min="11294" max="11294" width="17.88671875" style="1" customWidth="1"/>
    <col min="11295" max="11295" width="11.77734375" style="1" customWidth="1"/>
    <col min="11296" max="11296" width="12" style="1" customWidth="1"/>
    <col min="11297" max="11520" width="27.5546875" style="1"/>
    <col min="11521" max="11521" width="19.44140625" style="1" customWidth="1"/>
    <col min="11522" max="11523" width="12.77734375" style="1" customWidth="1"/>
    <col min="11524" max="11524" width="13" style="1" customWidth="1"/>
    <col min="11525" max="11526" width="12.77734375" style="1" customWidth="1"/>
    <col min="11527" max="11529" width="0" style="1" hidden="1" customWidth="1"/>
    <col min="11530" max="11538" width="12.77734375" style="1" customWidth="1"/>
    <col min="11539" max="11539" width="0" style="1" hidden="1" customWidth="1"/>
    <col min="11540" max="11543" width="12.77734375" style="1" customWidth="1"/>
    <col min="11544" max="11544" width="1.77734375" style="1" customWidth="1"/>
    <col min="11545" max="11545" width="12.77734375" style="1" customWidth="1"/>
    <col min="11546" max="11546" width="1.77734375" style="1" customWidth="1"/>
    <col min="11547" max="11548" width="0" style="1" hidden="1" customWidth="1"/>
    <col min="11549" max="11549" width="12.77734375" style="1" customWidth="1"/>
    <col min="11550" max="11550" width="17.88671875" style="1" customWidth="1"/>
    <col min="11551" max="11551" width="11.77734375" style="1" customWidth="1"/>
    <col min="11552" max="11552" width="12" style="1" customWidth="1"/>
    <col min="11553" max="11776" width="27.5546875" style="1"/>
    <col min="11777" max="11777" width="19.44140625" style="1" customWidth="1"/>
    <col min="11778" max="11779" width="12.77734375" style="1" customWidth="1"/>
    <col min="11780" max="11780" width="13" style="1" customWidth="1"/>
    <col min="11781" max="11782" width="12.77734375" style="1" customWidth="1"/>
    <col min="11783" max="11785" width="0" style="1" hidden="1" customWidth="1"/>
    <col min="11786" max="11794" width="12.77734375" style="1" customWidth="1"/>
    <col min="11795" max="11795" width="0" style="1" hidden="1" customWidth="1"/>
    <col min="11796" max="11799" width="12.77734375" style="1" customWidth="1"/>
    <col min="11800" max="11800" width="1.77734375" style="1" customWidth="1"/>
    <col min="11801" max="11801" width="12.77734375" style="1" customWidth="1"/>
    <col min="11802" max="11802" width="1.77734375" style="1" customWidth="1"/>
    <col min="11803" max="11804" width="0" style="1" hidden="1" customWidth="1"/>
    <col min="11805" max="11805" width="12.77734375" style="1" customWidth="1"/>
    <col min="11806" max="11806" width="17.88671875" style="1" customWidth="1"/>
    <col min="11807" max="11807" width="11.77734375" style="1" customWidth="1"/>
    <col min="11808" max="11808" width="12" style="1" customWidth="1"/>
    <col min="11809" max="12032" width="27.5546875" style="1"/>
    <col min="12033" max="12033" width="19.44140625" style="1" customWidth="1"/>
    <col min="12034" max="12035" width="12.77734375" style="1" customWidth="1"/>
    <col min="12036" max="12036" width="13" style="1" customWidth="1"/>
    <col min="12037" max="12038" width="12.77734375" style="1" customWidth="1"/>
    <col min="12039" max="12041" width="0" style="1" hidden="1" customWidth="1"/>
    <col min="12042" max="12050" width="12.77734375" style="1" customWidth="1"/>
    <col min="12051" max="12051" width="0" style="1" hidden="1" customWidth="1"/>
    <col min="12052" max="12055" width="12.77734375" style="1" customWidth="1"/>
    <col min="12056" max="12056" width="1.77734375" style="1" customWidth="1"/>
    <col min="12057" max="12057" width="12.77734375" style="1" customWidth="1"/>
    <col min="12058" max="12058" width="1.77734375" style="1" customWidth="1"/>
    <col min="12059" max="12060" width="0" style="1" hidden="1" customWidth="1"/>
    <col min="12061" max="12061" width="12.77734375" style="1" customWidth="1"/>
    <col min="12062" max="12062" width="17.88671875" style="1" customWidth="1"/>
    <col min="12063" max="12063" width="11.77734375" style="1" customWidth="1"/>
    <col min="12064" max="12064" width="12" style="1" customWidth="1"/>
    <col min="12065" max="12288" width="27.5546875" style="1"/>
    <col min="12289" max="12289" width="19.44140625" style="1" customWidth="1"/>
    <col min="12290" max="12291" width="12.77734375" style="1" customWidth="1"/>
    <col min="12292" max="12292" width="13" style="1" customWidth="1"/>
    <col min="12293" max="12294" width="12.77734375" style="1" customWidth="1"/>
    <col min="12295" max="12297" width="0" style="1" hidden="1" customWidth="1"/>
    <col min="12298" max="12306" width="12.77734375" style="1" customWidth="1"/>
    <col min="12307" max="12307" width="0" style="1" hidden="1" customWidth="1"/>
    <col min="12308" max="12311" width="12.77734375" style="1" customWidth="1"/>
    <col min="12312" max="12312" width="1.77734375" style="1" customWidth="1"/>
    <col min="12313" max="12313" width="12.77734375" style="1" customWidth="1"/>
    <col min="12314" max="12314" width="1.77734375" style="1" customWidth="1"/>
    <col min="12315" max="12316" width="0" style="1" hidden="1" customWidth="1"/>
    <col min="12317" max="12317" width="12.77734375" style="1" customWidth="1"/>
    <col min="12318" max="12318" width="17.88671875" style="1" customWidth="1"/>
    <col min="12319" max="12319" width="11.77734375" style="1" customWidth="1"/>
    <col min="12320" max="12320" width="12" style="1" customWidth="1"/>
    <col min="12321" max="12544" width="27.5546875" style="1"/>
    <col min="12545" max="12545" width="19.44140625" style="1" customWidth="1"/>
    <col min="12546" max="12547" width="12.77734375" style="1" customWidth="1"/>
    <col min="12548" max="12548" width="13" style="1" customWidth="1"/>
    <col min="12549" max="12550" width="12.77734375" style="1" customWidth="1"/>
    <col min="12551" max="12553" width="0" style="1" hidden="1" customWidth="1"/>
    <col min="12554" max="12562" width="12.77734375" style="1" customWidth="1"/>
    <col min="12563" max="12563" width="0" style="1" hidden="1" customWidth="1"/>
    <col min="12564" max="12567" width="12.77734375" style="1" customWidth="1"/>
    <col min="12568" max="12568" width="1.77734375" style="1" customWidth="1"/>
    <col min="12569" max="12569" width="12.77734375" style="1" customWidth="1"/>
    <col min="12570" max="12570" width="1.77734375" style="1" customWidth="1"/>
    <col min="12571" max="12572" width="0" style="1" hidden="1" customWidth="1"/>
    <col min="12573" max="12573" width="12.77734375" style="1" customWidth="1"/>
    <col min="12574" max="12574" width="17.88671875" style="1" customWidth="1"/>
    <col min="12575" max="12575" width="11.77734375" style="1" customWidth="1"/>
    <col min="12576" max="12576" width="12" style="1" customWidth="1"/>
    <col min="12577" max="12800" width="27.5546875" style="1"/>
    <col min="12801" max="12801" width="19.44140625" style="1" customWidth="1"/>
    <col min="12802" max="12803" width="12.77734375" style="1" customWidth="1"/>
    <col min="12804" max="12804" width="13" style="1" customWidth="1"/>
    <col min="12805" max="12806" width="12.77734375" style="1" customWidth="1"/>
    <col min="12807" max="12809" width="0" style="1" hidden="1" customWidth="1"/>
    <col min="12810" max="12818" width="12.77734375" style="1" customWidth="1"/>
    <col min="12819" max="12819" width="0" style="1" hidden="1" customWidth="1"/>
    <col min="12820" max="12823" width="12.77734375" style="1" customWidth="1"/>
    <col min="12824" max="12824" width="1.77734375" style="1" customWidth="1"/>
    <col min="12825" max="12825" width="12.77734375" style="1" customWidth="1"/>
    <col min="12826" max="12826" width="1.77734375" style="1" customWidth="1"/>
    <col min="12827" max="12828" width="0" style="1" hidden="1" customWidth="1"/>
    <col min="12829" max="12829" width="12.77734375" style="1" customWidth="1"/>
    <col min="12830" max="12830" width="17.88671875" style="1" customWidth="1"/>
    <col min="12831" max="12831" width="11.77734375" style="1" customWidth="1"/>
    <col min="12832" max="12832" width="12" style="1" customWidth="1"/>
    <col min="12833" max="13056" width="27.5546875" style="1"/>
    <col min="13057" max="13057" width="19.44140625" style="1" customWidth="1"/>
    <col min="13058" max="13059" width="12.77734375" style="1" customWidth="1"/>
    <col min="13060" max="13060" width="13" style="1" customWidth="1"/>
    <col min="13061" max="13062" width="12.77734375" style="1" customWidth="1"/>
    <col min="13063" max="13065" width="0" style="1" hidden="1" customWidth="1"/>
    <col min="13066" max="13074" width="12.77734375" style="1" customWidth="1"/>
    <col min="13075" max="13075" width="0" style="1" hidden="1" customWidth="1"/>
    <col min="13076" max="13079" width="12.77734375" style="1" customWidth="1"/>
    <col min="13080" max="13080" width="1.77734375" style="1" customWidth="1"/>
    <col min="13081" max="13081" width="12.77734375" style="1" customWidth="1"/>
    <col min="13082" max="13082" width="1.77734375" style="1" customWidth="1"/>
    <col min="13083" max="13084" width="0" style="1" hidden="1" customWidth="1"/>
    <col min="13085" max="13085" width="12.77734375" style="1" customWidth="1"/>
    <col min="13086" max="13086" width="17.88671875" style="1" customWidth="1"/>
    <col min="13087" max="13087" width="11.77734375" style="1" customWidth="1"/>
    <col min="13088" max="13088" width="12" style="1" customWidth="1"/>
    <col min="13089" max="13312" width="27.5546875" style="1"/>
    <col min="13313" max="13313" width="19.44140625" style="1" customWidth="1"/>
    <col min="13314" max="13315" width="12.77734375" style="1" customWidth="1"/>
    <col min="13316" max="13316" width="13" style="1" customWidth="1"/>
    <col min="13317" max="13318" width="12.77734375" style="1" customWidth="1"/>
    <col min="13319" max="13321" width="0" style="1" hidden="1" customWidth="1"/>
    <col min="13322" max="13330" width="12.77734375" style="1" customWidth="1"/>
    <col min="13331" max="13331" width="0" style="1" hidden="1" customWidth="1"/>
    <col min="13332" max="13335" width="12.77734375" style="1" customWidth="1"/>
    <col min="13336" max="13336" width="1.77734375" style="1" customWidth="1"/>
    <col min="13337" max="13337" width="12.77734375" style="1" customWidth="1"/>
    <col min="13338" max="13338" width="1.77734375" style="1" customWidth="1"/>
    <col min="13339" max="13340" width="0" style="1" hidden="1" customWidth="1"/>
    <col min="13341" max="13341" width="12.77734375" style="1" customWidth="1"/>
    <col min="13342" max="13342" width="17.88671875" style="1" customWidth="1"/>
    <col min="13343" max="13343" width="11.77734375" style="1" customWidth="1"/>
    <col min="13344" max="13344" width="12" style="1" customWidth="1"/>
    <col min="13345" max="13568" width="27.5546875" style="1"/>
    <col min="13569" max="13569" width="19.44140625" style="1" customWidth="1"/>
    <col min="13570" max="13571" width="12.77734375" style="1" customWidth="1"/>
    <col min="13572" max="13572" width="13" style="1" customWidth="1"/>
    <col min="13573" max="13574" width="12.77734375" style="1" customWidth="1"/>
    <col min="13575" max="13577" width="0" style="1" hidden="1" customWidth="1"/>
    <col min="13578" max="13586" width="12.77734375" style="1" customWidth="1"/>
    <col min="13587" max="13587" width="0" style="1" hidden="1" customWidth="1"/>
    <col min="13588" max="13591" width="12.77734375" style="1" customWidth="1"/>
    <col min="13592" max="13592" width="1.77734375" style="1" customWidth="1"/>
    <col min="13593" max="13593" width="12.77734375" style="1" customWidth="1"/>
    <col min="13594" max="13594" width="1.77734375" style="1" customWidth="1"/>
    <col min="13595" max="13596" width="0" style="1" hidden="1" customWidth="1"/>
    <col min="13597" max="13597" width="12.77734375" style="1" customWidth="1"/>
    <col min="13598" max="13598" width="17.88671875" style="1" customWidth="1"/>
    <col min="13599" max="13599" width="11.77734375" style="1" customWidth="1"/>
    <col min="13600" max="13600" width="12" style="1" customWidth="1"/>
    <col min="13601" max="13824" width="27.5546875" style="1"/>
    <col min="13825" max="13825" width="19.44140625" style="1" customWidth="1"/>
    <col min="13826" max="13827" width="12.77734375" style="1" customWidth="1"/>
    <col min="13828" max="13828" width="13" style="1" customWidth="1"/>
    <col min="13829" max="13830" width="12.77734375" style="1" customWidth="1"/>
    <col min="13831" max="13833" width="0" style="1" hidden="1" customWidth="1"/>
    <col min="13834" max="13842" width="12.77734375" style="1" customWidth="1"/>
    <col min="13843" max="13843" width="0" style="1" hidden="1" customWidth="1"/>
    <col min="13844" max="13847" width="12.77734375" style="1" customWidth="1"/>
    <col min="13848" max="13848" width="1.77734375" style="1" customWidth="1"/>
    <col min="13849" max="13849" width="12.77734375" style="1" customWidth="1"/>
    <col min="13850" max="13850" width="1.77734375" style="1" customWidth="1"/>
    <col min="13851" max="13852" width="0" style="1" hidden="1" customWidth="1"/>
    <col min="13853" max="13853" width="12.77734375" style="1" customWidth="1"/>
    <col min="13854" max="13854" width="17.88671875" style="1" customWidth="1"/>
    <col min="13855" max="13855" width="11.77734375" style="1" customWidth="1"/>
    <col min="13856" max="13856" width="12" style="1" customWidth="1"/>
    <col min="13857" max="14080" width="27.5546875" style="1"/>
    <col min="14081" max="14081" width="19.44140625" style="1" customWidth="1"/>
    <col min="14082" max="14083" width="12.77734375" style="1" customWidth="1"/>
    <col min="14084" max="14084" width="13" style="1" customWidth="1"/>
    <col min="14085" max="14086" width="12.77734375" style="1" customWidth="1"/>
    <col min="14087" max="14089" width="0" style="1" hidden="1" customWidth="1"/>
    <col min="14090" max="14098" width="12.77734375" style="1" customWidth="1"/>
    <col min="14099" max="14099" width="0" style="1" hidden="1" customWidth="1"/>
    <col min="14100" max="14103" width="12.77734375" style="1" customWidth="1"/>
    <col min="14104" max="14104" width="1.77734375" style="1" customWidth="1"/>
    <col min="14105" max="14105" width="12.77734375" style="1" customWidth="1"/>
    <col min="14106" max="14106" width="1.77734375" style="1" customWidth="1"/>
    <col min="14107" max="14108" width="0" style="1" hidden="1" customWidth="1"/>
    <col min="14109" max="14109" width="12.77734375" style="1" customWidth="1"/>
    <col min="14110" max="14110" width="17.88671875" style="1" customWidth="1"/>
    <col min="14111" max="14111" width="11.77734375" style="1" customWidth="1"/>
    <col min="14112" max="14112" width="12" style="1" customWidth="1"/>
    <col min="14113" max="14336" width="27.5546875" style="1"/>
    <col min="14337" max="14337" width="19.44140625" style="1" customWidth="1"/>
    <col min="14338" max="14339" width="12.77734375" style="1" customWidth="1"/>
    <col min="14340" max="14340" width="13" style="1" customWidth="1"/>
    <col min="14341" max="14342" width="12.77734375" style="1" customWidth="1"/>
    <col min="14343" max="14345" width="0" style="1" hidden="1" customWidth="1"/>
    <col min="14346" max="14354" width="12.77734375" style="1" customWidth="1"/>
    <col min="14355" max="14355" width="0" style="1" hidden="1" customWidth="1"/>
    <col min="14356" max="14359" width="12.77734375" style="1" customWidth="1"/>
    <col min="14360" max="14360" width="1.77734375" style="1" customWidth="1"/>
    <col min="14361" max="14361" width="12.77734375" style="1" customWidth="1"/>
    <col min="14362" max="14362" width="1.77734375" style="1" customWidth="1"/>
    <col min="14363" max="14364" width="0" style="1" hidden="1" customWidth="1"/>
    <col min="14365" max="14365" width="12.77734375" style="1" customWidth="1"/>
    <col min="14366" max="14366" width="17.88671875" style="1" customWidth="1"/>
    <col min="14367" max="14367" width="11.77734375" style="1" customWidth="1"/>
    <col min="14368" max="14368" width="12" style="1" customWidth="1"/>
    <col min="14369" max="14592" width="27.5546875" style="1"/>
    <col min="14593" max="14593" width="19.44140625" style="1" customWidth="1"/>
    <col min="14594" max="14595" width="12.77734375" style="1" customWidth="1"/>
    <col min="14596" max="14596" width="13" style="1" customWidth="1"/>
    <col min="14597" max="14598" width="12.77734375" style="1" customWidth="1"/>
    <col min="14599" max="14601" width="0" style="1" hidden="1" customWidth="1"/>
    <col min="14602" max="14610" width="12.77734375" style="1" customWidth="1"/>
    <col min="14611" max="14611" width="0" style="1" hidden="1" customWidth="1"/>
    <col min="14612" max="14615" width="12.77734375" style="1" customWidth="1"/>
    <col min="14616" max="14616" width="1.77734375" style="1" customWidth="1"/>
    <col min="14617" max="14617" width="12.77734375" style="1" customWidth="1"/>
    <col min="14618" max="14618" width="1.77734375" style="1" customWidth="1"/>
    <col min="14619" max="14620" width="0" style="1" hidden="1" customWidth="1"/>
    <col min="14621" max="14621" width="12.77734375" style="1" customWidth="1"/>
    <col min="14622" max="14622" width="17.88671875" style="1" customWidth="1"/>
    <col min="14623" max="14623" width="11.77734375" style="1" customWidth="1"/>
    <col min="14624" max="14624" width="12" style="1" customWidth="1"/>
    <col min="14625" max="14848" width="27.5546875" style="1"/>
    <col min="14849" max="14849" width="19.44140625" style="1" customWidth="1"/>
    <col min="14850" max="14851" width="12.77734375" style="1" customWidth="1"/>
    <col min="14852" max="14852" width="13" style="1" customWidth="1"/>
    <col min="14853" max="14854" width="12.77734375" style="1" customWidth="1"/>
    <col min="14855" max="14857" width="0" style="1" hidden="1" customWidth="1"/>
    <col min="14858" max="14866" width="12.77734375" style="1" customWidth="1"/>
    <col min="14867" max="14867" width="0" style="1" hidden="1" customWidth="1"/>
    <col min="14868" max="14871" width="12.77734375" style="1" customWidth="1"/>
    <col min="14872" max="14872" width="1.77734375" style="1" customWidth="1"/>
    <col min="14873" max="14873" width="12.77734375" style="1" customWidth="1"/>
    <col min="14874" max="14874" width="1.77734375" style="1" customWidth="1"/>
    <col min="14875" max="14876" width="0" style="1" hidden="1" customWidth="1"/>
    <col min="14877" max="14877" width="12.77734375" style="1" customWidth="1"/>
    <col min="14878" max="14878" width="17.88671875" style="1" customWidth="1"/>
    <col min="14879" max="14879" width="11.77734375" style="1" customWidth="1"/>
    <col min="14880" max="14880" width="12" style="1" customWidth="1"/>
    <col min="14881" max="15104" width="27.5546875" style="1"/>
    <col min="15105" max="15105" width="19.44140625" style="1" customWidth="1"/>
    <col min="15106" max="15107" width="12.77734375" style="1" customWidth="1"/>
    <col min="15108" max="15108" width="13" style="1" customWidth="1"/>
    <col min="15109" max="15110" width="12.77734375" style="1" customWidth="1"/>
    <col min="15111" max="15113" width="0" style="1" hidden="1" customWidth="1"/>
    <col min="15114" max="15122" width="12.77734375" style="1" customWidth="1"/>
    <col min="15123" max="15123" width="0" style="1" hidden="1" customWidth="1"/>
    <col min="15124" max="15127" width="12.77734375" style="1" customWidth="1"/>
    <col min="15128" max="15128" width="1.77734375" style="1" customWidth="1"/>
    <col min="15129" max="15129" width="12.77734375" style="1" customWidth="1"/>
    <col min="15130" max="15130" width="1.77734375" style="1" customWidth="1"/>
    <col min="15131" max="15132" width="0" style="1" hidden="1" customWidth="1"/>
    <col min="15133" max="15133" width="12.77734375" style="1" customWidth="1"/>
    <col min="15134" max="15134" width="17.88671875" style="1" customWidth="1"/>
    <col min="15135" max="15135" width="11.77734375" style="1" customWidth="1"/>
    <col min="15136" max="15136" width="12" style="1" customWidth="1"/>
    <col min="15137" max="15360" width="27.5546875" style="1"/>
    <col min="15361" max="15361" width="19.44140625" style="1" customWidth="1"/>
    <col min="15362" max="15363" width="12.77734375" style="1" customWidth="1"/>
    <col min="15364" max="15364" width="13" style="1" customWidth="1"/>
    <col min="15365" max="15366" width="12.77734375" style="1" customWidth="1"/>
    <col min="15367" max="15369" width="0" style="1" hidden="1" customWidth="1"/>
    <col min="15370" max="15378" width="12.77734375" style="1" customWidth="1"/>
    <col min="15379" max="15379" width="0" style="1" hidden="1" customWidth="1"/>
    <col min="15380" max="15383" width="12.77734375" style="1" customWidth="1"/>
    <col min="15384" max="15384" width="1.77734375" style="1" customWidth="1"/>
    <col min="15385" max="15385" width="12.77734375" style="1" customWidth="1"/>
    <col min="15386" max="15386" width="1.77734375" style="1" customWidth="1"/>
    <col min="15387" max="15388" width="0" style="1" hidden="1" customWidth="1"/>
    <col min="15389" max="15389" width="12.77734375" style="1" customWidth="1"/>
    <col min="15390" max="15390" width="17.88671875" style="1" customWidth="1"/>
    <col min="15391" max="15391" width="11.77734375" style="1" customWidth="1"/>
    <col min="15392" max="15392" width="12" style="1" customWidth="1"/>
    <col min="15393" max="15616" width="27.5546875" style="1"/>
    <col min="15617" max="15617" width="19.44140625" style="1" customWidth="1"/>
    <col min="15618" max="15619" width="12.77734375" style="1" customWidth="1"/>
    <col min="15620" max="15620" width="13" style="1" customWidth="1"/>
    <col min="15621" max="15622" width="12.77734375" style="1" customWidth="1"/>
    <col min="15623" max="15625" width="0" style="1" hidden="1" customWidth="1"/>
    <col min="15626" max="15634" width="12.77734375" style="1" customWidth="1"/>
    <col min="15635" max="15635" width="0" style="1" hidden="1" customWidth="1"/>
    <col min="15636" max="15639" width="12.77734375" style="1" customWidth="1"/>
    <col min="15640" max="15640" width="1.77734375" style="1" customWidth="1"/>
    <col min="15641" max="15641" width="12.77734375" style="1" customWidth="1"/>
    <col min="15642" max="15642" width="1.77734375" style="1" customWidth="1"/>
    <col min="15643" max="15644" width="0" style="1" hidden="1" customWidth="1"/>
    <col min="15645" max="15645" width="12.77734375" style="1" customWidth="1"/>
    <col min="15646" max="15646" width="17.88671875" style="1" customWidth="1"/>
    <col min="15647" max="15647" width="11.77734375" style="1" customWidth="1"/>
    <col min="15648" max="15648" width="12" style="1" customWidth="1"/>
    <col min="15649" max="15872" width="27.5546875" style="1"/>
    <col min="15873" max="15873" width="19.44140625" style="1" customWidth="1"/>
    <col min="15874" max="15875" width="12.77734375" style="1" customWidth="1"/>
    <col min="15876" max="15876" width="13" style="1" customWidth="1"/>
    <col min="15877" max="15878" width="12.77734375" style="1" customWidth="1"/>
    <col min="15879" max="15881" width="0" style="1" hidden="1" customWidth="1"/>
    <col min="15882" max="15890" width="12.77734375" style="1" customWidth="1"/>
    <col min="15891" max="15891" width="0" style="1" hidden="1" customWidth="1"/>
    <col min="15892" max="15895" width="12.77734375" style="1" customWidth="1"/>
    <col min="15896" max="15896" width="1.77734375" style="1" customWidth="1"/>
    <col min="15897" max="15897" width="12.77734375" style="1" customWidth="1"/>
    <col min="15898" max="15898" width="1.77734375" style="1" customWidth="1"/>
    <col min="15899" max="15900" width="0" style="1" hidden="1" customWidth="1"/>
    <col min="15901" max="15901" width="12.77734375" style="1" customWidth="1"/>
    <col min="15902" max="15902" width="17.88671875" style="1" customWidth="1"/>
    <col min="15903" max="15903" width="11.77734375" style="1" customWidth="1"/>
    <col min="15904" max="15904" width="12" style="1" customWidth="1"/>
    <col min="15905" max="16128" width="27.5546875" style="1"/>
    <col min="16129" max="16129" width="19.44140625" style="1" customWidth="1"/>
    <col min="16130" max="16131" width="12.77734375" style="1" customWidth="1"/>
    <col min="16132" max="16132" width="13" style="1" customWidth="1"/>
    <col min="16133" max="16134" width="12.77734375" style="1" customWidth="1"/>
    <col min="16135" max="16137" width="0" style="1" hidden="1" customWidth="1"/>
    <col min="16138" max="16146" width="12.77734375" style="1" customWidth="1"/>
    <col min="16147" max="16147" width="0" style="1" hidden="1" customWidth="1"/>
    <col min="16148" max="16151" width="12.77734375" style="1" customWidth="1"/>
    <col min="16152" max="16152" width="1.77734375" style="1" customWidth="1"/>
    <col min="16153" max="16153" width="12.77734375" style="1" customWidth="1"/>
    <col min="16154" max="16154" width="1.77734375" style="1" customWidth="1"/>
    <col min="16155" max="16156" width="0" style="1" hidden="1" customWidth="1"/>
    <col min="16157" max="16157" width="12.77734375" style="1" customWidth="1"/>
    <col min="16158" max="16158" width="17.88671875" style="1" customWidth="1"/>
    <col min="16159" max="16159" width="11.77734375" style="1" customWidth="1"/>
    <col min="16160" max="16160" width="12" style="1" customWidth="1"/>
    <col min="16161" max="16384" width="27.5546875" style="1"/>
  </cols>
  <sheetData>
    <row r="1" spans="1:52" ht="36.75" customHeight="1" x14ac:dyDescent="0.25">
      <c r="A1" s="191"/>
      <c r="B1" s="192"/>
      <c r="C1" s="193"/>
      <c r="D1" s="192"/>
      <c r="E1" s="192"/>
      <c r="F1" s="192"/>
      <c r="G1" s="192"/>
      <c r="H1" s="192"/>
      <c r="I1" s="192"/>
      <c r="J1" s="192"/>
      <c r="K1" s="192"/>
      <c r="M1" s="194"/>
      <c r="O1" s="192"/>
      <c r="P1" s="192"/>
      <c r="Q1" s="192"/>
      <c r="R1" s="192"/>
      <c r="S1" s="192"/>
      <c r="T1" s="192"/>
      <c r="U1" s="192"/>
      <c r="V1" s="192"/>
      <c r="W1" s="195" t="s">
        <v>94</v>
      </c>
      <c r="Y1" s="196"/>
      <c r="AA1" s="196"/>
      <c r="AC1" s="196"/>
    </row>
    <row r="2" spans="1:52" s="57" customFormat="1" ht="18" customHeight="1" x14ac:dyDescent="0.2">
      <c r="A2" s="197"/>
      <c r="B2" s="45"/>
      <c r="C2" s="45"/>
      <c r="D2" s="46"/>
      <c r="E2" s="45"/>
      <c r="F2" s="45"/>
      <c r="G2" s="45"/>
      <c r="H2" s="45"/>
      <c r="I2" s="45"/>
      <c r="J2" s="45"/>
      <c r="K2" s="45"/>
      <c r="M2" s="198"/>
      <c r="N2" s="58"/>
      <c r="O2" s="45"/>
      <c r="P2" s="45"/>
      <c r="Q2" s="45"/>
      <c r="R2" s="45"/>
      <c r="S2" s="45"/>
      <c r="T2" s="45"/>
      <c r="U2" s="45"/>
      <c r="V2" s="45"/>
      <c r="W2" s="199"/>
      <c r="Y2" s="199"/>
      <c r="AA2" s="199"/>
      <c r="AC2" s="199"/>
    </row>
    <row r="3" spans="1:52" ht="21" customHeight="1" x14ac:dyDescent="0.2">
      <c r="A3" s="200"/>
      <c r="B3" s="192"/>
      <c r="C3" s="192"/>
      <c r="D3" s="200"/>
      <c r="E3" s="192"/>
      <c r="F3" s="12"/>
      <c r="G3" s="192"/>
      <c r="H3" s="192"/>
      <c r="I3" s="12"/>
      <c r="J3" s="192"/>
      <c r="K3" s="192"/>
      <c r="M3" s="201"/>
      <c r="N3" s="54"/>
      <c r="O3" s="192"/>
      <c r="P3" s="192"/>
      <c r="Q3" s="192"/>
      <c r="R3" s="192"/>
      <c r="S3" s="192"/>
      <c r="T3" s="192"/>
      <c r="U3" s="192"/>
      <c r="V3" s="192"/>
      <c r="W3" s="199"/>
      <c r="Y3" s="199"/>
      <c r="AA3" s="199"/>
      <c r="AC3" s="199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192"/>
      <c r="B5" s="192"/>
      <c r="C5" s="192"/>
      <c r="D5" s="192"/>
      <c r="E5" s="1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49"/>
      <c r="Y5" s="13"/>
      <c r="AA5" s="13"/>
      <c r="AC5" s="13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202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202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203"/>
      <c r="T8" s="245" t="s">
        <v>62</v>
      </c>
      <c r="U8" s="83" t="s">
        <v>61</v>
      </c>
      <c r="V8" s="202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215"/>
      <c r="AE8" s="215"/>
      <c r="AF8" s="169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202" t="s">
        <v>51</v>
      </c>
      <c r="O9" s="83" t="s">
        <v>50</v>
      </c>
      <c r="P9" s="251"/>
      <c r="Q9" s="83"/>
      <c r="R9" s="83" t="s">
        <v>49</v>
      </c>
      <c r="S9" s="202"/>
      <c r="T9" s="246"/>
      <c r="U9" s="83" t="s">
        <v>48</v>
      </c>
      <c r="V9" s="202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169"/>
      <c r="AE9" s="169"/>
      <c r="AF9" s="169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801126.75170000002</v>
      </c>
      <c r="C10" s="40">
        <v>260734.14752946753</v>
      </c>
      <c r="D10" s="76">
        <f>B10+C10</f>
        <v>1061860.8992294676</v>
      </c>
      <c r="E10" s="40">
        <v>35.008399999999995</v>
      </c>
      <c r="F10" s="76">
        <f>D10+E10</f>
        <v>1061895.9076294675</v>
      </c>
      <c r="G10" s="40">
        <v>0</v>
      </c>
      <c r="H10" s="40">
        <v>0</v>
      </c>
      <c r="I10" s="40">
        <v>0</v>
      </c>
      <c r="J10" s="40">
        <v>11076.6014</v>
      </c>
      <c r="K10" s="40">
        <v>2637.0149999999999</v>
      </c>
      <c r="L10" s="40">
        <v>0</v>
      </c>
      <c r="M10" s="40">
        <v>17080.218199999999</v>
      </c>
      <c r="N10" s="40">
        <v>2573.1497999999997</v>
      </c>
      <c r="O10" s="40">
        <v>5295.4391999999998</v>
      </c>
      <c r="P10" s="40">
        <v>142.73409719188612</v>
      </c>
      <c r="Q10" s="40">
        <v>8293.77</v>
      </c>
      <c r="R10" s="40">
        <v>358.1614701727824</v>
      </c>
      <c r="S10" s="40">
        <v>0</v>
      </c>
      <c r="T10" s="40">
        <v>188.87399573877684</v>
      </c>
      <c r="U10" s="40">
        <v>0</v>
      </c>
      <c r="V10" s="40">
        <v>5122.3585000000003</v>
      </c>
      <c r="W10" s="76">
        <f t="shared" ref="W10:W32" si="0">SUM(F10:V10)</f>
        <v>1114664.2292925708</v>
      </c>
      <c r="X10" s="36"/>
      <c r="Y10" s="42">
        <v>132781.417758</v>
      </c>
      <c r="Z10" s="38"/>
      <c r="AA10" s="109">
        <v>0</v>
      </c>
      <c r="AB10" s="36"/>
      <c r="AC10" s="76">
        <f>+W10+Y10+AA10</f>
        <v>1247445.6470505709</v>
      </c>
      <c r="AD10" s="165"/>
      <c r="AE10" s="167"/>
      <c r="AF10" s="163"/>
      <c r="AG10" s="2"/>
      <c r="AH10" s="3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121007.33140000001</v>
      </c>
      <c r="C11" s="40">
        <v>12176.496796370055</v>
      </c>
      <c r="D11" s="76">
        <f t="shared" ref="D11:D32" si="1">B11+C11</f>
        <v>133183.82819637007</v>
      </c>
      <c r="E11" s="40">
        <v>1.7832999999999999</v>
      </c>
      <c r="F11" s="76">
        <f t="shared" ref="F11:F32" si="2">D11+E11</f>
        <v>133185.61149637008</v>
      </c>
      <c r="G11" s="40">
        <v>0</v>
      </c>
      <c r="H11" s="40">
        <v>0</v>
      </c>
      <c r="I11" s="40">
        <v>0</v>
      </c>
      <c r="J11" s="40">
        <v>1389.2819</v>
      </c>
      <c r="K11" s="40">
        <v>0</v>
      </c>
      <c r="L11" s="40">
        <v>0</v>
      </c>
      <c r="M11" s="40">
        <v>0</v>
      </c>
      <c r="N11" s="40">
        <v>322.74209999999999</v>
      </c>
      <c r="O11" s="40">
        <v>555.37900000000002</v>
      </c>
      <c r="P11" s="40">
        <v>215.12104259607889</v>
      </c>
      <c r="Q11" s="40">
        <v>1201.1667</v>
      </c>
      <c r="R11" s="40">
        <v>400.22296597741462</v>
      </c>
      <c r="S11" s="40">
        <v>0</v>
      </c>
      <c r="T11" s="40">
        <v>284.66057994609127</v>
      </c>
      <c r="U11" s="40">
        <v>2.2000000000000002</v>
      </c>
      <c r="V11" s="40">
        <v>642.48130000000003</v>
      </c>
      <c r="W11" s="76">
        <f t="shared" si="0"/>
        <v>138198.8670848897</v>
      </c>
      <c r="X11" s="36"/>
      <c r="Y11" s="42">
        <v>1359.6751959999999</v>
      </c>
      <c r="Z11" s="38"/>
      <c r="AA11" s="43">
        <v>0</v>
      </c>
      <c r="AB11" s="36"/>
      <c r="AC11" s="76">
        <f t="shared" ref="AC11:AC38" si="3">+W11+Y11+AA11</f>
        <v>139558.5422808897</v>
      </c>
      <c r="AD11" s="165"/>
      <c r="AE11" s="167"/>
      <c r="AF11" s="163"/>
      <c r="AG11" s="2"/>
      <c r="AH11" s="34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373342.97350000002</v>
      </c>
      <c r="C12" s="40">
        <v>56011.885263210446</v>
      </c>
      <c r="D12" s="76">
        <f t="shared" si="1"/>
        <v>429354.85876321048</v>
      </c>
      <c r="E12" s="40">
        <v>10.441700000000001</v>
      </c>
      <c r="F12" s="76">
        <f>D12+E12</f>
        <v>429365.3004632105</v>
      </c>
      <c r="G12" s="40">
        <v>0</v>
      </c>
      <c r="H12" s="40">
        <v>0</v>
      </c>
      <c r="I12" s="40">
        <v>0</v>
      </c>
      <c r="J12" s="40">
        <v>4478.7340999999997</v>
      </c>
      <c r="K12" s="40">
        <v>900.55200000000002</v>
      </c>
      <c r="L12" s="40">
        <v>0</v>
      </c>
      <c r="M12" s="40">
        <v>5832.9677999999994</v>
      </c>
      <c r="N12" s="40">
        <v>1040.4388000000001</v>
      </c>
      <c r="O12" s="40">
        <v>2903.9692999999997</v>
      </c>
      <c r="P12" s="40">
        <v>142.73409719188612</v>
      </c>
      <c r="Q12" s="40">
        <v>3231.7103999999999</v>
      </c>
      <c r="R12" s="40">
        <v>245.54778620985766</v>
      </c>
      <c r="S12" s="40">
        <v>0</v>
      </c>
      <c r="T12" s="40">
        <v>188.87399573877684</v>
      </c>
      <c r="U12" s="40">
        <v>0.5</v>
      </c>
      <c r="V12" s="40">
        <v>2071.1971000000003</v>
      </c>
      <c r="W12" s="76">
        <f t="shared" si="0"/>
        <v>450402.52584235102</v>
      </c>
      <c r="X12" s="36"/>
      <c r="Y12" s="42">
        <v>6993.6639740000001</v>
      </c>
      <c r="Z12" s="38"/>
      <c r="AA12" s="43">
        <v>0</v>
      </c>
      <c r="AB12" s="36"/>
      <c r="AC12" s="76">
        <f t="shared" si="3"/>
        <v>457396.18981635105</v>
      </c>
      <c r="AD12" s="165"/>
      <c r="AE12" s="167"/>
      <c r="AF12" s="163"/>
      <c r="AG12" s="2"/>
      <c r="AH12" s="34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154220.23609999998</v>
      </c>
      <c r="C13" s="40">
        <v>25531.364250290251</v>
      </c>
      <c r="D13" s="76">
        <f t="shared" si="1"/>
        <v>179751.60035029025</v>
      </c>
      <c r="E13" s="40">
        <v>3.2166999999999999</v>
      </c>
      <c r="F13" s="76">
        <f t="shared" si="2"/>
        <v>179754.81705029024</v>
      </c>
      <c r="G13" s="40">
        <v>0</v>
      </c>
      <c r="H13" s="40">
        <v>0</v>
      </c>
      <c r="I13" s="40">
        <v>0</v>
      </c>
      <c r="J13" s="40">
        <v>1875.0448999999999</v>
      </c>
      <c r="K13" s="40">
        <v>287.95479999999998</v>
      </c>
      <c r="L13" s="40">
        <v>0</v>
      </c>
      <c r="M13" s="40">
        <v>1865.1128000000001</v>
      </c>
      <c r="N13" s="40">
        <v>435.58459999999997</v>
      </c>
      <c r="O13" s="40">
        <v>707.91919999999993</v>
      </c>
      <c r="P13" s="40">
        <v>180.70060546516726</v>
      </c>
      <c r="Q13" s="40">
        <v>2831.3215</v>
      </c>
      <c r="R13" s="40">
        <v>344.03185768676207</v>
      </c>
      <c r="S13" s="40">
        <v>0</v>
      </c>
      <c r="T13" s="40">
        <v>239.11347084399901</v>
      </c>
      <c r="U13" s="40">
        <v>1.5</v>
      </c>
      <c r="V13" s="40">
        <v>867.1164</v>
      </c>
      <c r="W13" s="76">
        <f t="shared" si="0"/>
        <v>189390.21718428616</v>
      </c>
      <c r="X13" s="36"/>
      <c r="Y13" s="42">
        <v>7673.7180080000007</v>
      </c>
      <c r="Z13" s="38"/>
      <c r="AA13" s="43">
        <v>0</v>
      </c>
      <c r="AB13" s="36"/>
      <c r="AC13" s="76">
        <f t="shared" si="3"/>
        <v>197063.93519228615</v>
      </c>
      <c r="AD13" s="165"/>
      <c r="AE13" s="167"/>
      <c r="AF13" s="163"/>
      <c r="AG13" s="2"/>
      <c r="AH13" s="3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212704.4896</v>
      </c>
      <c r="C14" s="40">
        <v>28516.569916620057</v>
      </c>
      <c r="D14" s="76">
        <f t="shared" si="1"/>
        <v>241221.05951662007</v>
      </c>
      <c r="E14" s="40">
        <v>2.8</v>
      </c>
      <c r="F14" s="76">
        <f t="shared" si="2"/>
        <v>241223.85951662005</v>
      </c>
      <c r="G14" s="40">
        <v>0</v>
      </c>
      <c r="H14" s="40">
        <v>0</v>
      </c>
      <c r="I14" s="40">
        <v>0</v>
      </c>
      <c r="J14" s="40">
        <v>2516.2518999999998</v>
      </c>
      <c r="K14" s="40">
        <v>226.38139999999999</v>
      </c>
      <c r="L14" s="40">
        <v>0</v>
      </c>
      <c r="M14" s="40">
        <v>1466.2954</v>
      </c>
      <c r="N14" s="40">
        <v>584.54519999999991</v>
      </c>
      <c r="O14" s="40">
        <v>733.60480000000007</v>
      </c>
      <c r="P14" s="40">
        <v>191.91967634297487</v>
      </c>
      <c r="Q14" s="40">
        <v>2631.127</v>
      </c>
      <c r="R14" s="40">
        <v>358.83800927074833</v>
      </c>
      <c r="S14" s="40">
        <v>0</v>
      </c>
      <c r="T14" s="40">
        <v>253.95919296965553</v>
      </c>
      <c r="U14" s="40">
        <v>0.5</v>
      </c>
      <c r="V14" s="40">
        <v>1163.6516000000001</v>
      </c>
      <c r="W14" s="76">
        <f t="shared" si="0"/>
        <v>251350.93369520348</v>
      </c>
      <c r="X14" s="36"/>
      <c r="Y14" s="42">
        <v>9419.5509320000001</v>
      </c>
      <c r="Z14" s="38"/>
      <c r="AA14" s="43">
        <v>0</v>
      </c>
      <c r="AB14" s="36"/>
      <c r="AC14" s="76">
        <f t="shared" si="3"/>
        <v>260770.48462720349</v>
      </c>
      <c r="AD14" s="165"/>
      <c r="AE14" s="167"/>
      <c r="AF14" s="163"/>
      <c r="AG14" s="2"/>
      <c r="AH14" s="3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64766.868999999999</v>
      </c>
      <c r="C15" s="40">
        <v>11705.148533349929</v>
      </c>
      <c r="D15" s="76">
        <f t="shared" si="1"/>
        <v>76472.017533349921</v>
      </c>
      <c r="E15" s="40">
        <v>2.0167000000000002</v>
      </c>
      <c r="F15" s="76">
        <f t="shared" si="2"/>
        <v>76474.034233349914</v>
      </c>
      <c r="G15" s="40">
        <v>0</v>
      </c>
      <c r="H15" s="40">
        <v>0</v>
      </c>
      <c r="I15" s="40">
        <v>0</v>
      </c>
      <c r="J15" s="40">
        <v>797.70339999999999</v>
      </c>
      <c r="K15" s="40">
        <v>88.556100000000001</v>
      </c>
      <c r="L15" s="40">
        <v>0</v>
      </c>
      <c r="M15" s="40">
        <v>573.58730000000003</v>
      </c>
      <c r="N15" s="40">
        <v>185.31560000000002</v>
      </c>
      <c r="O15" s="40">
        <v>623.72469999999998</v>
      </c>
      <c r="P15" s="40">
        <v>201.22451100928549</v>
      </c>
      <c r="Q15" s="40">
        <v>1830.3491999999999</v>
      </c>
      <c r="R15" s="40">
        <v>464.55171976097364</v>
      </c>
      <c r="S15" s="40">
        <v>0</v>
      </c>
      <c r="T15" s="40">
        <v>266.27188725305302</v>
      </c>
      <c r="U15" s="40">
        <v>3</v>
      </c>
      <c r="V15" s="40">
        <v>368.90690000000001</v>
      </c>
      <c r="W15" s="76">
        <f t="shared" si="0"/>
        <v>81877.225551373238</v>
      </c>
      <c r="X15" s="36"/>
      <c r="Y15" s="42">
        <v>1873.6621419999999</v>
      </c>
      <c r="Z15" s="38"/>
      <c r="AA15" s="43">
        <v>0</v>
      </c>
      <c r="AB15" s="36"/>
      <c r="AC15" s="76">
        <f t="shared" si="3"/>
        <v>83750.887693373239</v>
      </c>
      <c r="AD15" s="165"/>
      <c r="AE15" s="167"/>
      <c r="AF15" s="163"/>
      <c r="AG15" s="2"/>
      <c r="AH15" s="34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211509.93680000002</v>
      </c>
      <c r="C16" s="40">
        <v>24588.667724250001</v>
      </c>
      <c r="D16" s="76">
        <f t="shared" si="1"/>
        <v>236098.60452425003</v>
      </c>
      <c r="E16" s="40">
        <v>5.6249000000000002</v>
      </c>
      <c r="F16" s="76">
        <f t="shared" si="2"/>
        <v>236104.22942425002</v>
      </c>
      <c r="G16" s="40">
        <v>0</v>
      </c>
      <c r="H16" s="40">
        <v>0</v>
      </c>
      <c r="I16" s="40">
        <v>0</v>
      </c>
      <c r="J16" s="40">
        <v>2462.8180000000002</v>
      </c>
      <c r="K16" s="40">
        <v>390.81970000000007</v>
      </c>
      <c r="L16" s="40">
        <v>0</v>
      </c>
      <c r="M16" s="40">
        <v>2531.3796999999995</v>
      </c>
      <c r="N16" s="40">
        <v>572.12290000000007</v>
      </c>
      <c r="O16" s="40">
        <v>968.21859999999992</v>
      </c>
      <c r="P16" s="40">
        <v>165.16565233307631</v>
      </c>
      <c r="Q16" s="40">
        <v>2230.7381</v>
      </c>
      <c r="R16" s="40">
        <v>342.88292877288393</v>
      </c>
      <c r="S16" s="40">
        <v>0</v>
      </c>
      <c r="T16" s="40">
        <v>218.55672420448494</v>
      </c>
      <c r="U16" s="40">
        <v>1.8</v>
      </c>
      <c r="V16" s="40">
        <v>1138.9226999999998</v>
      </c>
      <c r="W16" s="76">
        <f t="shared" si="0"/>
        <v>247127.65442956041</v>
      </c>
      <c r="X16" s="36"/>
      <c r="Y16" s="42">
        <v>4678.4509200000002</v>
      </c>
      <c r="Z16" s="38"/>
      <c r="AA16" s="43">
        <v>0</v>
      </c>
      <c r="AB16" s="36"/>
      <c r="AC16" s="76">
        <f t="shared" si="3"/>
        <v>251806.10534956041</v>
      </c>
      <c r="AD16" s="165"/>
      <c r="AE16" s="167"/>
      <c r="AF16" s="163"/>
      <c r="AG16" s="2"/>
      <c r="AH16" s="34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159371.87330000001</v>
      </c>
      <c r="C17" s="40">
        <v>16654.30529575</v>
      </c>
      <c r="D17" s="76">
        <f t="shared" si="1"/>
        <v>176026.17859575001</v>
      </c>
      <c r="E17" s="40">
        <v>1.7251000000000001</v>
      </c>
      <c r="F17" s="76">
        <f t="shared" si="2"/>
        <v>176027.90369575002</v>
      </c>
      <c r="G17" s="40">
        <v>0</v>
      </c>
      <c r="H17" s="40">
        <v>0</v>
      </c>
      <c r="I17" s="40">
        <v>0</v>
      </c>
      <c r="J17" s="40">
        <v>1836.1838</v>
      </c>
      <c r="K17" s="40">
        <v>105.4529</v>
      </c>
      <c r="L17" s="40">
        <v>0</v>
      </c>
      <c r="M17" s="40">
        <v>683.029</v>
      </c>
      <c r="N17" s="40">
        <v>426.5609</v>
      </c>
      <c r="O17" s="40">
        <v>503.7602</v>
      </c>
      <c r="P17" s="40">
        <v>221.7731163729442</v>
      </c>
      <c r="Q17" s="40">
        <v>2287.9366</v>
      </c>
      <c r="R17" s="40">
        <v>374.27766155243125</v>
      </c>
      <c r="S17" s="40">
        <v>0</v>
      </c>
      <c r="T17" s="40">
        <v>293.46298790086212</v>
      </c>
      <c r="U17" s="40">
        <v>2.2000000000000002</v>
      </c>
      <c r="V17" s="40">
        <v>849.15309999999999</v>
      </c>
      <c r="W17" s="76">
        <f t="shared" si="0"/>
        <v>183611.69396157624</v>
      </c>
      <c r="X17" s="36"/>
      <c r="Y17" s="42">
        <v>4794.8794079999998</v>
      </c>
      <c r="Z17" s="38"/>
      <c r="AA17" s="43">
        <v>0</v>
      </c>
      <c r="AB17" s="36"/>
      <c r="AC17" s="76">
        <f t="shared" si="3"/>
        <v>188406.57336957625</v>
      </c>
      <c r="AD17" s="165"/>
      <c r="AE17" s="167"/>
      <c r="AF17" s="163"/>
      <c r="AG17" s="2"/>
      <c r="AH17" s="34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121427.64479999999</v>
      </c>
      <c r="C18" s="40">
        <v>15947.282900990112</v>
      </c>
      <c r="D18" s="76">
        <f t="shared" si="1"/>
        <v>137374.92770099011</v>
      </c>
      <c r="E18" s="40">
        <v>2.7749999999999999</v>
      </c>
      <c r="F18" s="76">
        <f t="shared" si="2"/>
        <v>137377.70270099011</v>
      </c>
      <c r="G18" s="40">
        <v>0</v>
      </c>
      <c r="H18" s="40">
        <v>0</v>
      </c>
      <c r="I18" s="40">
        <v>0</v>
      </c>
      <c r="J18" s="40">
        <v>1433.0006000000001</v>
      </c>
      <c r="K18" s="40">
        <v>0</v>
      </c>
      <c r="L18" s="40">
        <v>0</v>
      </c>
      <c r="M18" s="40">
        <v>0</v>
      </c>
      <c r="N18" s="40">
        <v>332.89070000000004</v>
      </c>
      <c r="O18" s="40">
        <v>515.50630000000001</v>
      </c>
      <c r="P18" s="40">
        <v>178.96297297925918</v>
      </c>
      <c r="Q18" s="40">
        <v>1715.9523999999999</v>
      </c>
      <c r="R18" s="40">
        <v>364.84098873714646</v>
      </c>
      <c r="S18" s="40">
        <v>0</v>
      </c>
      <c r="T18" s="40">
        <v>236.81413523666549</v>
      </c>
      <c r="U18" s="40">
        <v>2.2000000000000002</v>
      </c>
      <c r="V18" s="40">
        <v>662.68409999999994</v>
      </c>
      <c r="W18" s="76">
        <f t="shared" si="0"/>
        <v>142820.55489794322</v>
      </c>
      <c r="X18" s="36"/>
      <c r="Y18" s="42">
        <v>4551.3513540000004</v>
      </c>
      <c r="Z18" s="38"/>
      <c r="AA18" s="43">
        <v>0</v>
      </c>
      <c r="AB18" s="36"/>
      <c r="AC18" s="76">
        <f t="shared" si="3"/>
        <v>147371.90625194323</v>
      </c>
      <c r="AD18" s="165"/>
      <c r="AE18" s="167"/>
      <c r="AF18" s="163"/>
      <c r="AG18" s="2"/>
      <c r="AH18" s="3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84254.566200000001</v>
      </c>
      <c r="C19" s="40">
        <v>8327.1526477600637</v>
      </c>
      <c r="D19" s="76">
        <f t="shared" si="1"/>
        <v>92581.718847760058</v>
      </c>
      <c r="E19" s="40">
        <v>1.6</v>
      </c>
      <c r="F19" s="76">
        <f t="shared" si="2"/>
        <v>92583.318847760063</v>
      </c>
      <c r="G19" s="40">
        <v>0</v>
      </c>
      <c r="H19" s="40">
        <v>0</v>
      </c>
      <c r="I19" s="40">
        <v>0</v>
      </c>
      <c r="J19" s="40">
        <v>965.58159999999998</v>
      </c>
      <c r="K19" s="40">
        <v>77.763800000000003</v>
      </c>
      <c r="L19" s="40">
        <v>1.28E-6</v>
      </c>
      <c r="M19" s="40">
        <v>503.83620000000002</v>
      </c>
      <c r="N19" s="40">
        <v>224.30950000000001</v>
      </c>
      <c r="O19" s="40">
        <v>649.8134</v>
      </c>
      <c r="P19" s="40">
        <v>158.86925600052157</v>
      </c>
      <c r="Q19" s="40">
        <v>1166.1218000000001</v>
      </c>
      <c r="R19" s="40">
        <v>472.69581146935803</v>
      </c>
      <c r="S19" s="40">
        <v>0</v>
      </c>
      <c r="T19" s="40">
        <v>210.22496916569301</v>
      </c>
      <c r="U19" s="40">
        <v>2.5</v>
      </c>
      <c r="V19" s="40">
        <v>446.53309999999999</v>
      </c>
      <c r="W19" s="76">
        <f t="shared" si="0"/>
        <v>97461.568285675632</v>
      </c>
      <c r="X19" s="36"/>
      <c r="Y19" s="42">
        <v>0</v>
      </c>
      <c r="Z19" s="38"/>
      <c r="AA19" s="43">
        <v>0</v>
      </c>
      <c r="AB19" s="36"/>
      <c r="AC19" s="76">
        <f t="shared" si="3"/>
        <v>97461.568285675632</v>
      </c>
      <c r="AD19" s="165"/>
      <c r="AE19" s="167"/>
      <c r="AF19" s="163"/>
      <c r="AG19" s="2"/>
      <c r="AH19" s="34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90615.186700000006</v>
      </c>
      <c r="C20" s="40">
        <v>9505.5233055400768</v>
      </c>
      <c r="D20" s="76">
        <f t="shared" si="1"/>
        <v>100120.71000554008</v>
      </c>
      <c r="E20" s="40">
        <v>1.6916</v>
      </c>
      <c r="F20" s="76">
        <f t="shared" si="2"/>
        <v>100122.40160554009</v>
      </c>
      <c r="G20" s="40">
        <v>0</v>
      </c>
      <c r="H20" s="40">
        <v>0</v>
      </c>
      <c r="I20" s="40">
        <v>0</v>
      </c>
      <c r="J20" s="40">
        <v>1044.3903</v>
      </c>
      <c r="K20" s="40">
        <v>0</v>
      </c>
      <c r="L20" s="40">
        <v>0</v>
      </c>
      <c r="M20" s="40">
        <v>0</v>
      </c>
      <c r="N20" s="40">
        <v>242.619</v>
      </c>
      <c r="O20" s="40">
        <v>503.75620000000004</v>
      </c>
      <c r="P20" s="40">
        <v>209.31370275799202</v>
      </c>
      <c r="Q20" s="40">
        <v>1143.9683</v>
      </c>
      <c r="R20" s="40">
        <v>427.84829488170897</v>
      </c>
      <c r="S20" s="40">
        <v>0</v>
      </c>
      <c r="T20" s="40">
        <v>276.97597267030352</v>
      </c>
      <c r="U20" s="40">
        <v>2.2000000000000002</v>
      </c>
      <c r="V20" s="40">
        <v>482.98070000000001</v>
      </c>
      <c r="W20" s="76">
        <f t="shared" si="0"/>
        <v>104456.4540758501</v>
      </c>
      <c r="X20" s="36"/>
      <c r="Y20" s="42">
        <v>1574.5790279999999</v>
      </c>
      <c r="Z20" s="38"/>
      <c r="AA20" s="43">
        <v>0</v>
      </c>
      <c r="AB20" s="36"/>
      <c r="AC20" s="76">
        <f t="shared" si="3"/>
        <v>106031.03310385009</v>
      </c>
      <c r="AD20" s="165"/>
      <c r="AE20" s="167"/>
      <c r="AF20" s="163"/>
      <c r="AG20" s="2"/>
      <c r="AH20" s="34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165737.42719999998</v>
      </c>
      <c r="C21" s="40">
        <v>35901.026038339689</v>
      </c>
      <c r="D21" s="76">
        <f t="shared" si="1"/>
        <v>201638.45323833966</v>
      </c>
      <c r="E21" s="40">
        <v>5.1416000000000004</v>
      </c>
      <c r="F21" s="76">
        <f t="shared" si="2"/>
        <v>201643.59483833966</v>
      </c>
      <c r="G21" s="40">
        <v>0</v>
      </c>
      <c r="H21" s="40">
        <v>0</v>
      </c>
      <c r="I21" s="40">
        <v>0</v>
      </c>
      <c r="J21" s="40">
        <v>2103.3534</v>
      </c>
      <c r="K21" s="40">
        <v>0</v>
      </c>
      <c r="L21" s="40">
        <v>0</v>
      </c>
      <c r="M21" s="40">
        <v>0</v>
      </c>
      <c r="N21" s="40">
        <v>488.62490000000003</v>
      </c>
      <c r="O21" s="40">
        <v>1020.3921</v>
      </c>
      <c r="P21" s="40">
        <v>162.46802009000189</v>
      </c>
      <c r="Q21" s="40">
        <v>2287.9366</v>
      </c>
      <c r="R21" s="40">
        <v>276.57235649745593</v>
      </c>
      <c r="S21" s="40">
        <v>0</v>
      </c>
      <c r="T21" s="40">
        <v>214.98706152413558</v>
      </c>
      <c r="U21" s="40">
        <v>2.2000000000000002</v>
      </c>
      <c r="V21" s="40">
        <v>972.70359999999994</v>
      </c>
      <c r="W21" s="76">
        <f t="shared" si="0"/>
        <v>209172.83287645123</v>
      </c>
      <c r="X21" s="36"/>
      <c r="Y21" s="42">
        <v>6672.0810420000007</v>
      </c>
      <c r="Z21" s="38"/>
      <c r="AA21" s="43">
        <v>0</v>
      </c>
      <c r="AB21" s="36"/>
      <c r="AC21" s="76">
        <f t="shared" si="3"/>
        <v>215844.91391845123</v>
      </c>
      <c r="AD21" s="165"/>
      <c r="AE21" s="167"/>
      <c r="AF21" s="163"/>
      <c r="AG21" s="2"/>
      <c r="AH21" s="34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129482.61140000001</v>
      </c>
      <c r="C22" s="40">
        <v>30244.846881180085</v>
      </c>
      <c r="D22" s="76">
        <f t="shared" si="1"/>
        <v>159727.45828118009</v>
      </c>
      <c r="E22" s="40">
        <v>2.8416999999999999</v>
      </c>
      <c r="F22" s="76">
        <f t="shared" si="2"/>
        <v>159730.29998118008</v>
      </c>
      <c r="G22" s="40">
        <v>0</v>
      </c>
      <c r="H22" s="40">
        <v>0</v>
      </c>
      <c r="I22" s="40">
        <v>0</v>
      </c>
      <c r="J22" s="40">
        <v>1666.1668</v>
      </c>
      <c r="K22" s="40">
        <v>123.63200000000001</v>
      </c>
      <c r="L22" s="40">
        <v>0</v>
      </c>
      <c r="M22" s="40">
        <v>800.77719999999999</v>
      </c>
      <c r="N22" s="40">
        <v>387.05599999999998</v>
      </c>
      <c r="O22" s="40">
        <v>723.62909999999999</v>
      </c>
      <c r="P22" s="40">
        <v>210.15061505994257</v>
      </c>
      <c r="Q22" s="40">
        <v>2688.3254999999999</v>
      </c>
      <c r="R22" s="40">
        <v>308.4982424407367</v>
      </c>
      <c r="S22" s="40">
        <v>0</v>
      </c>
      <c r="T22" s="40">
        <v>278.08342333569652</v>
      </c>
      <c r="U22" s="40">
        <v>2.2000000000000002</v>
      </c>
      <c r="V22" s="40">
        <v>770.51080000000002</v>
      </c>
      <c r="W22" s="76">
        <f t="shared" si="0"/>
        <v>167689.32966201651</v>
      </c>
      <c r="X22" s="36"/>
      <c r="Y22" s="42">
        <v>8531.8003979999994</v>
      </c>
      <c r="Z22" s="38"/>
      <c r="AA22" s="43">
        <v>0</v>
      </c>
      <c r="AB22" s="36"/>
      <c r="AC22" s="76">
        <f t="shared" si="3"/>
        <v>176221.1300600165</v>
      </c>
      <c r="AD22" s="165"/>
      <c r="AE22" s="167"/>
      <c r="AF22" s="163"/>
      <c r="AG22" s="2"/>
      <c r="AH22" s="34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70646.551699999996</v>
      </c>
      <c r="C23" s="40">
        <v>13276.309410159958</v>
      </c>
      <c r="D23" s="76">
        <f t="shared" si="1"/>
        <v>83922.861110159953</v>
      </c>
      <c r="E23" s="40">
        <v>1.4499</v>
      </c>
      <c r="F23" s="76">
        <f t="shared" si="2"/>
        <v>83924.31101015996</v>
      </c>
      <c r="G23" s="40">
        <v>0</v>
      </c>
      <c r="H23" s="40">
        <v>0</v>
      </c>
      <c r="I23" s="40">
        <v>0</v>
      </c>
      <c r="J23" s="40">
        <v>875.42550000000006</v>
      </c>
      <c r="K23" s="40">
        <v>55.600799999999992</v>
      </c>
      <c r="L23" s="40">
        <v>0</v>
      </c>
      <c r="M23" s="40">
        <v>360.13189999999997</v>
      </c>
      <c r="N23" s="40">
        <v>203.36279999999999</v>
      </c>
      <c r="O23" s="40">
        <v>776.58389999999997</v>
      </c>
      <c r="P23" s="40">
        <v>186.61785951460081</v>
      </c>
      <c r="Q23" s="40">
        <v>2459.5317999999997</v>
      </c>
      <c r="R23" s="40">
        <v>339.01779999124221</v>
      </c>
      <c r="S23" s="40">
        <v>0</v>
      </c>
      <c r="T23" s="40">
        <v>246.94352293619971</v>
      </c>
      <c r="U23" s="40">
        <v>2.5</v>
      </c>
      <c r="V23" s="40">
        <v>404.83350000000002</v>
      </c>
      <c r="W23" s="76">
        <f t="shared" si="0"/>
        <v>89834.860392601986</v>
      </c>
      <c r="X23" s="36"/>
      <c r="Y23" s="42">
        <v>2470.5488059999998</v>
      </c>
      <c r="Z23" s="38"/>
      <c r="AA23" s="43">
        <v>0</v>
      </c>
      <c r="AB23" s="36"/>
      <c r="AC23" s="76">
        <f t="shared" si="3"/>
        <v>92305.409198601992</v>
      </c>
      <c r="AD23" s="165"/>
      <c r="AE23" s="167"/>
      <c r="AF23" s="163"/>
      <c r="AG23" s="2"/>
      <c r="AH23" s="34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107631.4409</v>
      </c>
      <c r="C24" s="40">
        <v>14376.122024180084</v>
      </c>
      <c r="D24" s="76">
        <f t="shared" si="1"/>
        <v>122007.56292418009</v>
      </c>
      <c r="E24" s="40">
        <v>1.2167000000000001</v>
      </c>
      <c r="F24" s="76">
        <f t="shared" si="2"/>
        <v>122008.7796241801</v>
      </c>
      <c r="G24" s="40">
        <v>0</v>
      </c>
      <c r="H24" s="40">
        <v>0</v>
      </c>
      <c r="I24" s="40">
        <v>0</v>
      </c>
      <c r="J24" s="40">
        <v>1272.6988000000001</v>
      </c>
      <c r="K24" s="40">
        <v>0</v>
      </c>
      <c r="L24" s="40">
        <v>0</v>
      </c>
      <c r="M24" s="40">
        <v>0</v>
      </c>
      <c r="N24" s="40">
        <v>295.65940000000001</v>
      </c>
      <c r="O24" s="40">
        <v>617.13980000000004</v>
      </c>
      <c r="P24" s="40">
        <v>173.40139636413619</v>
      </c>
      <c r="Q24" s="40">
        <v>2573.9286000000002</v>
      </c>
      <c r="R24" s="40">
        <v>326.42006898592052</v>
      </c>
      <c r="S24" s="40">
        <v>0</v>
      </c>
      <c r="T24" s="40">
        <v>229.45473605028604</v>
      </c>
      <c r="U24" s="40">
        <v>2.5</v>
      </c>
      <c r="V24" s="40">
        <v>588.56790000000001</v>
      </c>
      <c r="W24" s="76">
        <f t="shared" si="0"/>
        <v>128088.55032558044</v>
      </c>
      <c r="X24" s="36"/>
      <c r="Y24" s="42">
        <v>2425.611958</v>
      </c>
      <c r="Z24" s="38"/>
      <c r="AA24" s="43">
        <v>0</v>
      </c>
      <c r="AB24" s="36"/>
      <c r="AC24" s="76">
        <f t="shared" si="3"/>
        <v>130514.16228358043</v>
      </c>
      <c r="AD24" s="165"/>
      <c r="AE24" s="167"/>
      <c r="AF24" s="163"/>
      <c r="AG24" s="2"/>
      <c r="AH24" s="34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155173.44409999999</v>
      </c>
      <c r="C25" s="40">
        <v>30166.288837420194</v>
      </c>
      <c r="D25" s="76">
        <f t="shared" si="1"/>
        <v>185339.73293742019</v>
      </c>
      <c r="E25" s="40">
        <v>3.3167</v>
      </c>
      <c r="F25" s="76">
        <f t="shared" si="2"/>
        <v>185343.04963742019</v>
      </c>
      <c r="G25" s="40">
        <v>0</v>
      </c>
      <c r="H25" s="40">
        <v>0</v>
      </c>
      <c r="I25" s="40">
        <v>0</v>
      </c>
      <c r="J25" s="40">
        <v>1933.3363999999999</v>
      </c>
      <c r="K25" s="40">
        <v>0</v>
      </c>
      <c r="L25" s="40">
        <v>0</v>
      </c>
      <c r="M25" s="40">
        <v>0</v>
      </c>
      <c r="N25" s="40">
        <v>449.1318</v>
      </c>
      <c r="O25" s="40">
        <v>759.904</v>
      </c>
      <c r="P25" s="40">
        <v>177.39700425271263</v>
      </c>
      <c r="Q25" s="40">
        <v>2287.9366</v>
      </c>
      <c r="R25" s="40">
        <v>431.87684439935009</v>
      </c>
      <c r="S25" s="40">
        <v>0</v>
      </c>
      <c r="T25" s="40">
        <v>234.74195504247496</v>
      </c>
      <c r="U25" s="40">
        <v>2.5</v>
      </c>
      <c r="V25" s="40">
        <v>894.08480000000009</v>
      </c>
      <c r="W25" s="76">
        <f t="shared" si="0"/>
        <v>192513.95904111472</v>
      </c>
      <c r="X25" s="36"/>
      <c r="Y25" s="42">
        <v>11915.152942000001</v>
      </c>
      <c r="Z25" s="38"/>
      <c r="AA25" s="43">
        <v>0</v>
      </c>
      <c r="AB25" s="36"/>
      <c r="AC25" s="76">
        <f t="shared" si="3"/>
        <v>204429.11198311474</v>
      </c>
      <c r="AD25" s="165"/>
      <c r="AE25" s="167"/>
      <c r="AF25" s="163"/>
      <c r="AG25" s="2"/>
      <c r="AH25" s="34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143734.81109999999</v>
      </c>
      <c r="C26" s="40">
        <v>19718.069005610167</v>
      </c>
      <c r="D26" s="76">
        <f t="shared" si="1"/>
        <v>163452.88010561015</v>
      </c>
      <c r="E26" s="40">
        <v>2.5083000000000002</v>
      </c>
      <c r="F26" s="76">
        <f t="shared" si="2"/>
        <v>163455.38840561014</v>
      </c>
      <c r="G26" s="40">
        <v>0</v>
      </c>
      <c r="H26" s="40">
        <v>0</v>
      </c>
      <c r="I26" s="40">
        <v>0</v>
      </c>
      <c r="J26" s="40">
        <v>1705.0278000000001</v>
      </c>
      <c r="K26" s="40">
        <v>0</v>
      </c>
      <c r="L26" s="40">
        <v>0</v>
      </c>
      <c r="M26" s="40">
        <v>0</v>
      </c>
      <c r="N26" s="40">
        <v>396.0915</v>
      </c>
      <c r="O26" s="40">
        <v>556.91210000000001</v>
      </c>
      <c r="P26" s="40">
        <v>164.34479490890308</v>
      </c>
      <c r="Q26" s="40">
        <v>2087.7420999999999</v>
      </c>
      <c r="R26" s="40">
        <v>275.00223738348797</v>
      </c>
      <c r="S26" s="40">
        <v>0</v>
      </c>
      <c r="T26" s="40">
        <v>217.47051828242465</v>
      </c>
      <c r="U26" s="40">
        <v>2.2000000000000002</v>
      </c>
      <c r="V26" s="40">
        <v>788.49759999999992</v>
      </c>
      <c r="W26" s="76">
        <f t="shared" si="0"/>
        <v>169648.67705618497</v>
      </c>
      <c r="X26" s="36"/>
      <c r="Y26" s="42">
        <v>3077.2564459999999</v>
      </c>
      <c r="Z26" s="38"/>
      <c r="AA26" s="43">
        <v>0</v>
      </c>
      <c r="AB26" s="36"/>
      <c r="AC26" s="76">
        <f t="shared" si="3"/>
        <v>172725.93350218498</v>
      </c>
      <c r="AD26" s="165"/>
      <c r="AE26" s="167"/>
      <c r="AF26" s="163"/>
      <c r="AG26" s="2"/>
      <c r="AH26" s="3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98974.703500000003</v>
      </c>
      <c r="C27" s="40">
        <v>11390.916357849937</v>
      </c>
      <c r="D27" s="76">
        <f t="shared" si="1"/>
        <v>110365.61985784995</v>
      </c>
      <c r="E27" s="40">
        <v>1.5751000000000002</v>
      </c>
      <c r="F27" s="76">
        <f t="shared" si="2"/>
        <v>110367.19495784995</v>
      </c>
      <c r="G27" s="40">
        <v>0</v>
      </c>
      <c r="H27" s="40">
        <v>0</v>
      </c>
      <c r="I27" s="40">
        <v>0</v>
      </c>
      <c r="J27" s="40">
        <v>1151.2581</v>
      </c>
      <c r="K27" s="40">
        <v>0</v>
      </c>
      <c r="L27" s="40">
        <v>0</v>
      </c>
      <c r="M27" s="40">
        <v>0</v>
      </c>
      <c r="N27" s="40">
        <v>267.43990000000002</v>
      </c>
      <c r="O27" s="40">
        <v>471.6302</v>
      </c>
      <c r="P27" s="40">
        <v>160.99591068702478</v>
      </c>
      <c r="Q27" s="40">
        <v>2087.7420999999999</v>
      </c>
      <c r="R27" s="40">
        <v>315.86019788307169</v>
      </c>
      <c r="S27" s="40">
        <v>0</v>
      </c>
      <c r="T27" s="40">
        <v>213.03908140318291</v>
      </c>
      <c r="U27" s="40">
        <v>2.2000000000000002</v>
      </c>
      <c r="V27" s="40">
        <v>532.39149999999995</v>
      </c>
      <c r="W27" s="76">
        <f t="shared" si="0"/>
        <v>115569.75194782323</v>
      </c>
      <c r="X27" s="36"/>
      <c r="Y27" s="42">
        <v>0</v>
      </c>
      <c r="Z27" s="38"/>
      <c r="AA27" s="43">
        <v>0</v>
      </c>
      <c r="AB27" s="36"/>
      <c r="AC27" s="76">
        <f t="shared" si="3"/>
        <v>115569.75194782323</v>
      </c>
      <c r="AD27" s="165"/>
      <c r="AE27" s="167"/>
      <c r="AF27" s="163"/>
      <c r="AG27" s="2"/>
      <c r="AH27" s="34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70344.490099999995</v>
      </c>
      <c r="C28" s="40">
        <v>6127.5274201800839</v>
      </c>
      <c r="D28" s="76">
        <f t="shared" si="1"/>
        <v>76472.017520180074</v>
      </c>
      <c r="E28" s="40">
        <v>0.70829999999999993</v>
      </c>
      <c r="F28" s="76">
        <f t="shared" si="2"/>
        <v>76472.725820180072</v>
      </c>
      <c r="G28" s="40">
        <v>0</v>
      </c>
      <c r="H28" s="40">
        <v>0</v>
      </c>
      <c r="I28" s="40">
        <v>0</v>
      </c>
      <c r="J28" s="40">
        <v>797.70339999999999</v>
      </c>
      <c r="K28" s="40">
        <v>72.092600000000004</v>
      </c>
      <c r="L28" s="40">
        <v>0</v>
      </c>
      <c r="M28" s="40">
        <v>466.95140000000004</v>
      </c>
      <c r="N28" s="40">
        <v>185.31560000000002</v>
      </c>
      <c r="O28" s="40">
        <v>498.48480000000001</v>
      </c>
      <c r="P28" s="40">
        <v>226.53030211081202</v>
      </c>
      <c r="Q28" s="40">
        <v>1830.3491999999999</v>
      </c>
      <c r="R28" s="40">
        <v>625.40967553059863</v>
      </c>
      <c r="S28" s="40">
        <v>0</v>
      </c>
      <c r="T28" s="40">
        <v>299.75797065419368</v>
      </c>
      <c r="U28" s="40">
        <v>3</v>
      </c>
      <c r="V28" s="40">
        <v>368.90690000000001</v>
      </c>
      <c r="W28" s="76">
        <f t="shared" si="0"/>
        <v>81847.22766847568</v>
      </c>
      <c r="X28" s="36"/>
      <c r="Y28" s="42">
        <v>565.56643000000008</v>
      </c>
      <c r="Z28" s="38"/>
      <c r="AA28" s="43">
        <v>0</v>
      </c>
      <c r="AB28" s="36"/>
      <c r="AC28" s="76">
        <f t="shared" si="3"/>
        <v>82412.794098475686</v>
      </c>
      <c r="AD28" s="165"/>
      <c r="AE28" s="167"/>
      <c r="AF28" s="163"/>
      <c r="AG28" s="2"/>
      <c r="AH28" s="34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388195.81069999997</v>
      </c>
      <c r="C29" s="40">
        <v>52398.215246110172</v>
      </c>
      <c r="D29" s="76">
        <f t="shared" si="1"/>
        <v>440594.02594611014</v>
      </c>
      <c r="E29" s="40">
        <v>11.290799999999999</v>
      </c>
      <c r="F29" s="76">
        <f t="shared" si="2"/>
        <v>440605.31674611015</v>
      </c>
      <c r="G29" s="40">
        <v>0</v>
      </c>
      <c r="H29" s="40">
        <v>0</v>
      </c>
      <c r="I29" s="40">
        <v>0</v>
      </c>
      <c r="J29" s="40">
        <v>4595.1779000000006</v>
      </c>
      <c r="K29" s="40">
        <v>991.12980000000016</v>
      </c>
      <c r="L29" s="40">
        <v>5.0899999999999995E-6</v>
      </c>
      <c r="M29" s="40">
        <v>6421.5843999999997</v>
      </c>
      <c r="N29" s="40">
        <v>1067.4921999999999</v>
      </c>
      <c r="O29" s="40">
        <v>2211.6770999999999</v>
      </c>
      <c r="P29" s="40">
        <v>142.73409719188612</v>
      </c>
      <c r="Q29" s="40">
        <v>3294.2939999999999</v>
      </c>
      <c r="R29" s="40">
        <v>226.42524678792569</v>
      </c>
      <c r="S29" s="40">
        <v>0</v>
      </c>
      <c r="T29" s="40">
        <v>188.87399573877684</v>
      </c>
      <c r="U29" s="40">
        <v>0.5</v>
      </c>
      <c r="V29" s="40">
        <v>2125.0573999999997</v>
      </c>
      <c r="W29" s="76">
        <f t="shared" si="0"/>
        <v>461870.2628909187</v>
      </c>
      <c r="X29" s="36"/>
      <c r="Y29" s="42">
        <v>7814.0783600000004</v>
      </c>
      <c r="Z29" s="38"/>
      <c r="AA29" s="43">
        <v>0</v>
      </c>
      <c r="AB29" s="36"/>
      <c r="AC29" s="76">
        <f t="shared" si="3"/>
        <v>469684.34125091869</v>
      </c>
      <c r="AD29" s="165"/>
      <c r="AE29" s="167"/>
      <c r="AF29" s="163"/>
      <c r="AG29" s="2"/>
      <c r="AH29" s="34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173773.02980000002</v>
      </c>
      <c r="C30" s="40">
        <v>26002.712513540253</v>
      </c>
      <c r="D30" s="76">
        <f t="shared" si="1"/>
        <v>199775.74231354028</v>
      </c>
      <c r="E30" s="40">
        <v>2.6333000000000002</v>
      </c>
      <c r="F30" s="76">
        <f t="shared" si="2"/>
        <v>199778.37561354027</v>
      </c>
      <c r="G30" s="40">
        <v>0</v>
      </c>
      <c r="H30" s="40">
        <v>0</v>
      </c>
      <c r="I30" s="40">
        <v>0</v>
      </c>
      <c r="J30" s="40">
        <v>2083.9229</v>
      </c>
      <c r="K30" s="40">
        <v>0</v>
      </c>
      <c r="L30" s="40">
        <v>0</v>
      </c>
      <c r="M30" s="40">
        <v>0</v>
      </c>
      <c r="N30" s="40">
        <v>484.11309999999997</v>
      </c>
      <c r="O30" s="40">
        <v>994.56</v>
      </c>
      <c r="P30" s="40">
        <v>190.30965959606141</v>
      </c>
      <c r="Q30" s="40">
        <v>2459.5317999999997</v>
      </c>
      <c r="R30" s="40">
        <v>348.53814231941686</v>
      </c>
      <c r="S30" s="40">
        <v>0</v>
      </c>
      <c r="T30" s="40">
        <v>251.82872588589007</v>
      </c>
      <c r="U30" s="40">
        <v>2.2000000000000002</v>
      </c>
      <c r="V30" s="40">
        <v>963.72190000000001</v>
      </c>
      <c r="W30" s="76">
        <f t="shared" si="0"/>
        <v>207557.10184134165</v>
      </c>
      <c r="X30" s="36"/>
      <c r="Y30" s="42">
        <v>7633.3687759999993</v>
      </c>
      <c r="Z30" s="38"/>
      <c r="AA30" s="43">
        <v>0</v>
      </c>
      <c r="AB30" s="36"/>
      <c r="AC30" s="76">
        <f t="shared" si="3"/>
        <v>215190.47061734163</v>
      </c>
      <c r="AD30" s="165"/>
      <c r="AE30" s="167"/>
      <c r="AF30" s="163"/>
      <c r="AG30" s="2"/>
      <c r="AH30" s="3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197521.764</v>
      </c>
      <c r="C31" s="40">
        <v>32523.030152750001</v>
      </c>
      <c r="D31" s="76">
        <f t="shared" si="1"/>
        <v>230044.79415274999</v>
      </c>
      <c r="E31" s="40">
        <v>4.6500000000000004</v>
      </c>
      <c r="F31" s="76">
        <f t="shared" si="2"/>
        <v>230049.44415274999</v>
      </c>
      <c r="G31" s="40">
        <v>0</v>
      </c>
      <c r="H31" s="40">
        <v>0</v>
      </c>
      <c r="I31" s="40">
        <v>0</v>
      </c>
      <c r="J31" s="40">
        <v>2399.6687999999999</v>
      </c>
      <c r="K31" s="40">
        <v>0</v>
      </c>
      <c r="L31" s="40">
        <v>0</v>
      </c>
      <c r="M31" s="40">
        <v>0</v>
      </c>
      <c r="N31" s="40">
        <v>557.46249999999998</v>
      </c>
      <c r="O31" s="40">
        <v>739.23209999999995</v>
      </c>
      <c r="P31" s="40">
        <v>146.57985947506023</v>
      </c>
      <c r="Q31" s="40">
        <v>2402.3334</v>
      </c>
      <c r="R31" s="40">
        <v>321.28148872097228</v>
      </c>
      <c r="S31" s="40">
        <v>0</v>
      </c>
      <c r="T31" s="40">
        <v>193.96293039445507</v>
      </c>
      <c r="U31" s="40">
        <v>2.2000000000000002</v>
      </c>
      <c r="V31" s="40">
        <v>1109.7383</v>
      </c>
      <c r="W31" s="76">
        <f t="shared" si="0"/>
        <v>237921.90353134047</v>
      </c>
      <c r="X31" s="36"/>
      <c r="Y31" s="42">
        <v>11558.327716</v>
      </c>
      <c r="Z31" s="38"/>
      <c r="AA31" s="43">
        <v>0</v>
      </c>
      <c r="AB31" s="36"/>
      <c r="AC31" s="76">
        <f t="shared" si="3"/>
        <v>249480.23124734047</v>
      </c>
      <c r="AD31" s="165"/>
      <c r="AE31" s="167"/>
      <c r="AF31" s="163"/>
      <c r="AG31" s="2"/>
      <c r="AH31" s="34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56651.841100000005</v>
      </c>
      <c r="C32" s="40">
        <v>2985.2056661000161</v>
      </c>
      <c r="D32" s="76">
        <f t="shared" si="1"/>
        <v>59637.046766100022</v>
      </c>
      <c r="E32" s="40">
        <v>1</v>
      </c>
      <c r="F32" s="76">
        <f t="shared" si="2"/>
        <v>59638.046766100022</v>
      </c>
      <c r="G32" s="40">
        <v>0</v>
      </c>
      <c r="H32" s="40">
        <v>0</v>
      </c>
      <c r="I32" s="40">
        <v>0</v>
      </c>
      <c r="J32" s="40">
        <v>622.08940000000007</v>
      </c>
      <c r="K32" s="40">
        <v>6.3948</v>
      </c>
      <c r="L32" s="40">
        <v>0</v>
      </c>
      <c r="M32" s="40">
        <v>41.419499999999999</v>
      </c>
      <c r="N32" s="40">
        <v>144.51990000000001</v>
      </c>
      <c r="O32" s="40">
        <v>407.14009999999996</v>
      </c>
      <c r="P32" s="40">
        <v>166.58877374778623</v>
      </c>
      <c r="Q32" s="40">
        <v>1515.758</v>
      </c>
      <c r="R32" s="40">
        <v>220.55665708775413</v>
      </c>
      <c r="S32" s="40">
        <v>0</v>
      </c>
      <c r="T32" s="40">
        <v>220.43988061392244</v>
      </c>
      <c r="U32" s="40">
        <v>3</v>
      </c>
      <c r="V32" s="40">
        <v>287.69509999999997</v>
      </c>
      <c r="W32" s="76">
        <f t="shared" si="0"/>
        <v>63273.648877549487</v>
      </c>
      <c r="X32" s="36"/>
      <c r="Y32" s="42">
        <v>341.61463600000002</v>
      </c>
      <c r="Z32" s="38"/>
      <c r="AA32" s="37">
        <v>0</v>
      </c>
      <c r="AB32" s="36"/>
      <c r="AC32" s="76">
        <f t="shared" si="3"/>
        <v>63615.263513549486</v>
      </c>
      <c r="AD32" s="165"/>
      <c r="AE32" s="167"/>
      <c r="AF32" s="163"/>
      <c r="AG32" s="2"/>
      <c r="AH32" s="34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>SUM(B10:B32)</f>
        <v>4152215.7846999988</v>
      </c>
      <c r="C33" s="79">
        <f>SUM(C10:C32)</f>
        <v>744808.81371701928</v>
      </c>
      <c r="D33" s="79">
        <f>SUM(D10:D32)</f>
        <v>4897024.5984170204</v>
      </c>
      <c r="E33" s="79">
        <f t="shared" ref="E33:W33" si="4">SUM(E10:E32)</f>
        <v>107.0158</v>
      </c>
      <c r="F33" s="79">
        <f>SUM(F10:F32)</f>
        <v>4897131.6142170206</v>
      </c>
      <c r="G33" s="79">
        <f t="shared" si="4"/>
        <v>0</v>
      </c>
      <c r="H33" s="79">
        <f t="shared" si="4"/>
        <v>0</v>
      </c>
      <c r="I33" s="79">
        <f t="shared" si="4"/>
        <v>0</v>
      </c>
      <c r="J33" s="79">
        <f t="shared" si="4"/>
        <v>51081.421099999992</v>
      </c>
      <c r="K33" s="79">
        <f t="shared" si="4"/>
        <v>5963.3456999999999</v>
      </c>
      <c r="L33" s="79">
        <f t="shared" si="4"/>
        <v>6.37E-6</v>
      </c>
      <c r="M33" s="79">
        <f t="shared" si="4"/>
        <v>38627.290800000002</v>
      </c>
      <c r="N33" s="79">
        <f t="shared" si="4"/>
        <v>11866.548699999998</v>
      </c>
      <c r="O33" s="79">
        <f t="shared" si="4"/>
        <v>23738.376200000002</v>
      </c>
      <c r="P33" s="79">
        <f t="shared" si="4"/>
        <v>4116.6370232400004</v>
      </c>
      <c r="Q33" s="79">
        <f t="shared" si="4"/>
        <v>56539.571700000008</v>
      </c>
      <c r="R33" s="79">
        <f>SUM(R10:R32)</f>
        <v>8169.3584525200013</v>
      </c>
      <c r="S33" s="79">
        <f t="shared" si="4"/>
        <v>0</v>
      </c>
      <c r="T33" s="79">
        <f t="shared" si="4"/>
        <v>5447.3717135300003</v>
      </c>
      <c r="U33" s="79">
        <f t="shared" si="4"/>
        <v>45.800000000000004</v>
      </c>
      <c r="V33" s="79">
        <f t="shared" si="4"/>
        <v>23622.694800000008</v>
      </c>
      <c r="W33" s="79">
        <f t="shared" si="4"/>
        <v>5126350.0304126814</v>
      </c>
      <c r="X33" s="47"/>
      <c r="Y33" s="78">
        <f>SUM(Y10:Y32)</f>
        <v>238706.35623000003</v>
      </c>
      <c r="Z33" s="38"/>
      <c r="AA33" s="110">
        <f>SUM(AA10:AA32)</f>
        <v>0</v>
      </c>
      <c r="AB33" s="46"/>
      <c r="AC33" s="77">
        <f>SUM(AC10:AC32)</f>
        <v>5365056.3866426796</v>
      </c>
      <c r="AD33" s="165"/>
      <c r="AE33" s="167"/>
      <c r="AF33" s="163"/>
      <c r="AG33" s="46"/>
      <c r="AH33" s="34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78504.468900000007</v>
      </c>
      <c r="C34" s="40">
        <v>40771.62475675001</v>
      </c>
      <c r="D34" s="76">
        <f>B34+C34</f>
        <v>119276.09365675002</v>
      </c>
      <c r="E34" s="40">
        <v>0</v>
      </c>
      <c r="F34" s="76">
        <f>D34+E34</f>
        <v>119276.09365675002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743.57940000000008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120019.67305675002</v>
      </c>
      <c r="X34" s="36"/>
      <c r="Y34" s="42"/>
      <c r="Z34" s="38"/>
      <c r="AA34" s="109">
        <v>0</v>
      </c>
      <c r="AB34" s="36"/>
      <c r="AC34" s="76">
        <f>+W34+Y34+AA34</f>
        <v>120019.67305675002</v>
      </c>
      <c r="AD34" s="165"/>
      <c r="AE34" s="167"/>
      <c r="AF34" s="163"/>
      <c r="AG34" s="2"/>
      <c r="AH34" s="34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 t="shared" si="3"/>
        <v>0</v>
      </c>
      <c r="AD35" s="165"/>
      <c r="AE35" s="164"/>
      <c r="AF35" s="163"/>
      <c r="AG35" s="2"/>
      <c r="AH35" s="34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3428335.7196</v>
      </c>
      <c r="C36" s="40">
        <v>0</v>
      </c>
      <c r="D36" s="76">
        <f>B36+C36</f>
        <v>3428335.7196</v>
      </c>
      <c r="E36" s="40">
        <v>0</v>
      </c>
      <c r="F36" s="76">
        <f>D36+E36</f>
        <v>3428335.7196</v>
      </c>
      <c r="G36" s="40">
        <v>0</v>
      </c>
      <c r="H36" s="40">
        <v>0</v>
      </c>
      <c r="I36" s="40">
        <v>0</v>
      </c>
      <c r="J36" s="40">
        <v>37005.429700000001</v>
      </c>
      <c r="K36" s="40">
        <v>0</v>
      </c>
      <c r="L36" s="40">
        <v>2.2359999999999999E-5</v>
      </c>
      <c r="M36" s="40">
        <v>0</v>
      </c>
      <c r="N36" s="40">
        <v>0</v>
      </c>
      <c r="O36" s="40">
        <v>39473.358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3504814.5073223603</v>
      </c>
      <c r="X36" s="36"/>
      <c r="Y36" s="42">
        <f>-SUM(Y33)</f>
        <v>-238706.35623000003</v>
      </c>
      <c r="Z36" s="38"/>
      <c r="AA36" s="43">
        <f>-(AA33+AA34)</f>
        <v>0</v>
      </c>
      <c r="AB36" s="36"/>
      <c r="AC36" s="76">
        <f>+W36+Y36+AA36</f>
        <v>3266108.1510923603</v>
      </c>
      <c r="AD36" s="165"/>
      <c r="AE36" s="167"/>
      <c r="AF36" s="163"/>
      <c r="AG36" s="2"/>
      <c r="AH36" s="3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575619.54940000002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55005.614299999994</v>
      </c>
      <c r="W37" s="76">
        <f>SUM(F37:V37)</f>
        <v>630625.16370000003</v>
      </c>
      <c r="X37" s="36"/>
      <c r="Y37" s="42"/>
      <c r="Z37" s="38"/>
      <c r="AA37" s="43"/>
      <c r="AB37" s="36"/>
      <c r="AC37" s="76">
        <f t="shared" si="3"/>
        <v>630625.16370000003</v>
      </c>
      <c r="AD37" s="165"/>
      <c r="AE37" s="167"/>
      <c r="AF37" s="163"/>
      <c r="AG37" s="2"/>
      <c r="AH37" s="34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85197.209700000007</v>
      </c>
      <c r="C38" s="39">
        <v>0</v>
      </c>
      <c r="D38" s="76">
        <f>B38+C38</f>
        <v>85197.209700000007</v>
      </c>
      <c r="E38" s="39">
        <v>0</v>
      </c>
      <c r="F38" s="76">
        <f>D38+E38</f>
        <v>85197.209700000007</v>
      </c>
      <c r="G38" s="39">
        <v>0</v>
      </c>
      <c r="H38" s="39">
        <v>0</v>
      </c>
      <c r="I38" s="39">
        <v>0</v>
      </c>
      <c r="J38" s="39">
        <v>888.69909999999993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86085.908800000005</v>
      </c>
      <c r="X38" s="36"/>
      <c r="Y38" s="35"/>
      <c r="Z38" s="38"/>
      <c r="AA38" s="37"/>
      <c r="AB38" s="36"/>
      <c r="AC38" s="75">
        <f t="shared" si="3"/>
        <v>86085.908800000005</v>
      </c>
      <c r="AD38" s="165"/>
      <c r="AE38" s="167"/>
      <c r="AF38" s="163"/>
      <c r="AG38" s="2"/>
      <c r="AH38" s="3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45" customFormat="1" ht="20.100000000000001" customHeight="1" x14ac:dyDescent="0.2">
      <c r="A39" s="74" t="s">
        <v>15</v>
      </c>
      <c r="B39" s="73">
        <f>+SUM(B33:B38)</f>
        <v>7744298.9828999974</v>
      </c>
      <c r="C39" s="73">
        <f>+SUM(C33:C38)</f>
        <v>785580.43847376923</v>
      </c>
      <c r="D39" s="73">
        <f>+SUM(D33:D38)</f>
        <v>8529879.4213737696</v>
      </c>
      <c r="E39" s="73">
        <f t="shared" ref="E39:V39" si="5">+SUM(E33:E38)</f>
        <v>107.0158</v>
      </c>
      <c r="F39" s="73">
        <f>SUM(F33:F38)</f>
        <v>8529986.4371737707</v>
      </c>
      <c r="G39" s="73">
        <f t="shared" si="5"/>
        <v>0</v>
      </c>
      <c r="H39" s="73">
        <f t="shared" si="5"/>
        <v>0</v>
      </c>
      <c r="I39" s="73">
        <f t="shared" si="5"/>
        <v>0</v>
      </c>
      <c r="J39" s="73">
        <f t="shared" si="5"/>
        <v>88975.549899999984</v>
      </c>
      <c r="K39" s="73">
        <f t="shared" si="5"/>
        <v>5963.3456999999999</v>
      </c>
      <c r="L39" s="73">
        <f t="shared" si="5"/>
        <v>2.8729999999999998E-5</v>
      </c>
      <c r="M39" s="73">
        <f t="shared" si="5"/>
        <v>614246.84019999998</v>
      </c>
      <c r="N39" s="73">
        <f t="shared" si="5"/>
        <v>11866.548699999998</v>
      </c>
      <c r="O39" s="73">
        <f t="shared" si="5"/>
        <v>63211.734200000006</v>
      </c>
      <c r="P39" s="73">
        <f t="shared" si="5"/>
        <v>4116.6370232400004</v>
      </c>
      <c r="Q39" s="73">
        <f t="shared" si="5"/>
        <v>57283.15110000001</v>
      </c>
      <c r="R39" s="73">
        <f t="shared" si="5"/>
        <v>8169.3584525200013</v>
      </c>
      <c r="S39" s="73">
        <f t="shared" si="5"/>
        <v>0</v>
      </c>
      <c r="T39" s="73">
        <f t="shared" si="5"/>
        <v>5447.3717135300003</v>
      </c>
      <c r="U39" s="73">
        <f t="shared" si="5"/>
        <v>45.800000000000004</v>
      </c>
      <c r="V39" s="73">
        <f t="shared" si="5"/>
        <v>78628.309099999999</v>
      </c>
      <c r="W39" s="73">
        <f>+SUM(W33:W38)</f>
        <v>9467895.2832917906</v>
      </c>
      <c r="X39" s="33"/>
      <c r="Y39" s="32">
        <f>+SUM(Y33:Y38)</f>
        <v>0</v>
      </c>
      <c r="Z39" s="31"/>
      <c r="AA39" s="111"/>
      <c r="AB39" s="30"/>
      <c r="AC39" s="72">
        <f>+SUM(AC33:AC38)</f>
        <v>9467895.2832917888</v>
      </c>
      <c r="AD39" s="165"/>
      <c r="AE39" s="167"/>
      <c r="AF39" s="163"/>
      <c r="AG39" s="46"/>
      <c r="AH39" s="34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</row>
    <row r="40" spans="1:52" ht="15" customHeight="1" x14ac:dyDescent="0.2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5"/>
      <c r="S40" s="164"/>
      <c r="T40" s="165"/>
      <c r="U40" s="164"/>
      <c r="V40" s="164"/>
      <c r="W40" s="164"/>
      <c r="X40" s="167"/>
      <c r="Y40" s="167"/>
      <c r="Z40" s="167"/>
      <c r="AA40" s="167"/>
      <c r="AB40" s="167"/>
      <c r="AC40" s="167"/>
      <c r="AD40" s="164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A41" s="164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4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64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3"/>
      <c r="Y42" s="163"/>
      <c r="Z42" s="163"/>
      <c r="AA42" s="163"/>
      <c r="AB42" s="163"/>
      <c r="AC42" s="163"/>
      <c r="AD42" s="164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16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2" customFormat="1" ht="15" customHeight="1" x14ac:dyDescent="0.2">
      <c r="A44" s="204" t="s">
        <v>14</v>
      </c>
      <c r="B44" s="205"/>
      <c r="C44" s="205"/>
      <c r="D44" s="21"/>
      <c r="E44" s="17">
        <v>3211043.111</v>
      </c>
      <c r="F44" s="170"/>
      <c r="J44" s="11" t="s">
        <v>13</v>
      </c>
      <c r="K44" s="1" t="s">
        <v>12</v>
      </c>
      <c r="W44" s="34"/>
      <c r="AD44" s="1"/>
      <c r="AE44" s="1"/>
      <c r="AF44" s="1"/>
    </row>
    <row r="45" spans="1:52" s="2" customFormat="1" ht="15" customHeight="1" x14ac:dyDescent="0.2">
      <c r="A45" s="223" t="s">
        <v>11</v>
      </c>
      <c r="B45" s="224"/>
      <c r="C45" s="224"/>
      <c r="D45" s="18"/>
      <c r="E45" s="17">
        <v>4968734.2812000001</v>
      </c>
      <c r="F45" s="170"/>
      <c r="K45" s="1" t="s">
        <v>10</v>
      </c>
      <c r="W45" s="11"/>
      <c r="Y45" s="11"/>
      <c r="AA45" s="11"/>
      <c r="AC45" s="11"/>
      <c r="AD45" s="1"/>
      <c r="AE45" s="1"/>
      <c r="AF45" s="1"/>
    </row>
    <row r="46" spans="1:52" s="2" customFormat="1" ht="15" hidden="1" customHeight="1" x14ac:dyDescent="0.2">
      <c r="A46" s="253"/>
      <c r="B46" s="254"/>
      <c r="C46" s="254"/>
      <c r="D46" s="18"/>
      <c r="E46" s="17"/>
      <c r="F46" s="170"/>
      <c r="K46" s="2" t="s">
        <v>9</v>
      </c>
      <c r="AD46" s="1"/>
      <c r="AE46" s="1"/>
      <c r="AF46" s="1"/>
    </row>
    <row r="47" spans="1:52" s="2" customFormat="1" ht="15" customHeight="1" x14ac:dyDescent="0.2">
      <c r="A47" s="19" t="s">
        <v>8</v>
      </c>
      <c r="B47" s="224"/>
      <c r="C47" s="224"/>
      <c r="D47" s="18"/>
      <c r="E47" s="17">
        <v>319155.27299999999</v>
      </c>
      <c r="F47" s="170"/>
      <c r="K47" s="1" t="s">
        <v>7</v>
      </c>
      <c r="AD47" s="1"/>
      <c r="AE47" s="1"/>
      <c r="AF47" s="1"/>
    </row>
    <row r="48" spans="1:52" s="2" customFormat="1" ht="15" customHeight="1" x14ac:dyDescent="0.2">
      <c r="A48" s="19" t="s">
        <v>6</v>
      </c>
      <c r="B48" s="224"/>
      <c r="C48" s="224"/>
      <c r="D48" s="18"/>
      <c r="E48" s="17">
        <v>225.02600000000001</v>
      </c>
      <c r="F48" s="170"/>
      <c r="K48" s="1" t="s">
        <v>116</v>
      </c>
      <c r="AD48" s="1"/>
      <c r="AE48" s="1"/>
      <c r="AF48" s="1"/>
    </row>
    <row r="49" spans="1:52" s="2" customFormat="1" ht="15" customHeight="1" x14ac:dyDescent="0.2">
      <c r="A49" s="223" t="s">
        <v>5</v>
      </c>
      <c r="B49" s="224"/>
      <c r="C49" s="224"/>
      <c r="D49" s="18"/>
      <c r="E49" s="17">
        <v>8547.0313000000006</v>
      </c>
      <c r="F49" s="170"/>
      <c r="AD49" s="1"/>
      <c r="AE49" s="1"/>
      <c r="AF49" s="1"/>
    </row>
    <row r="50" spans="1:52" s="2" customFormat="1" ht="15" customHeight="1" x14ac:dyDescent="0.2">
      <c r="A50" s="223" t="s">
        <v>4</v>
      </c>
      <c r="B50" s="224"/>
      <c r="C50" s="224"/>
      <c r="D50" s="18"/>
      <c r="E50" s="17">
        <v>12062.0506</v>
      </c>
      <c r="F50" s="170"/>
    </row>
    <row r="51" spans="1:52" s="2" customFormat="1" ht="15" customHeight="1" x14ac:dyDescent="0.2">
      <c r="A51" s="19" t="s">
        <v>3</v>
      </c>
      <c r="B51" s="224"/>
      <c r="C51" s="224"/>
      <c r="D51" s="18"/>
      <c r="E51" s="17">
        <v>10219.664073769569</v>
      </c>
      <c r="F51" s="170"/>
    </row>
    <row r="52" spans="1:52" s="209" customFormat="1" ht="20.100000000000001" customHeight="1" x14ac:dyDescent="0.2">
      <c r="A52" s="237" t="s">
        <v>100</v>
      </c>
      <c r="B52" s="252"/>
      <c r="C52" s="252"/>
      <c r="D52" s="208"/>
      <c r="E52" s="71">
        <f>SUM(E44:E51)</f>
        <v>8529986.4371737707</v>
      </c>
      <c r="F52" s="173"/>
    </row>
    <row r="53" spans="1:52" s="2" customFormat="1" ht="15" customHeight="1" x14ac:dyDescent="0.2">
      <c r="A53" s="253"/>
      <c r="B53" s="254"/>
      <c r="C53" s="254"/>
      <c r="D53" s="18"/>
      <c r="E53" s="17">
        <v>0</v>
      </c>
      <c r="F53" s="170"/>
    </row>
    <row r="54" spans="1:52" s="2" customFormat="1" ht="15" customHeight="1" x14ac:dyDescent="0.2">
      <c r="A54" s="253" t="s">
        <v>2</v>
      </c>
      <c r="B54" s="254"/>
      <c r="C54" s="254"/>
      <c r="D54" s="18"/>
      <c r="E54" s="17">
        <v>45.8</v>
      </c>
      <c r="F54" s="170"/>
    </row>
    <row r="55" spans="1:52" s="2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8529940.63717377</v>
      </c>
      <c r="F55" s="170"/>
    </row>
    <row r="56" spans="1:52" x14ac:dyDescent="0.2">
      <c r="A56" s="2"/>
      <c r="B56" s="2"/>
      <c r="C56" s="2"/>
      <c r="D56" s="2"/>
      <c r="E56" s="2"/>
      <c r="F56" s="225"/>
      <c r="G56" s="210"/>
      <c r="H56" s="210"/>
      <c r="I56" s="210"/>
      <c r="J56" s="211"/>
      <c r="K56" s="2"/>
      <c r="L56" s="210"/>
      <c r="M56" s="210"/>
      <c r="N56" s="210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212" t="s">
        <v>113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213" t="s">
        <v>96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V60" s="2"/>
      <c r="W60" s="11"/>
      <c r="X60" s="2"/>
      <c r="Y60" s="199"/>
      <c r="Z60" s="2"/>
      <c r="AA60" s="11"/>
      <c r="AB60" s="2"/>
      <c r="AC60" s="11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11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F39 D33 F33 W33 AC33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2FD8-4E45-419C-94B3-E6C5910F0E3D}">
  <sheetPr>
    <pageSetUpPr fitToPage="1"/>
  </sheetPr>
  <dimension ref="A1:AZ77"/>
  <sheetViews>
    <sheetView showGridLines="0" showZeros="0" topLeftCell="J25" zoomScaleNormal="100" workbookViewId="0">
      <selection activeCell="L51" sqref="L51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256" width="27.5546875" style="1"/>
    <col min="257" max="257" width="19.44140625" style="1" customWidth="1"/>
    <col min="258" max="259" width="12.77734375" style="1" customWidth="1"/>
    <col min="260" max="260" width="13" style="1" customWidth="1"/>
    <col min="261" max="262" width="12.77734375" style="1" customWidth="1"/>
    <col min="263" max="265" width="0" style="1" hidden="1" customWidth="1"/>
    <col min="266" max="274" width="12.77734375" style="1" customWidth="1"/>
    <col min="275" max="275" width="0" style="1" hidden="1" customWidth="1"/>
    <col min="276" max="279" width="12.77734375" style="1" customWidth="1"/>
    <col min="280" max="280" width="1.77734375" style="1" customWidth="1"/>
    <col min="281" max="281" width="12.77734375" style="1" customWidth="1"/>
    <col min="282" max="282" width="1.77734375" style="1" customWidth="1"/>
    <col min="283" max="284" width="0" style="1" hidden="1" customWidth="1"/>
    <col min="285" max="285" width="12.77734375" style="1" customWidth="1"/>
    <col min="286" max="286" width="17.88671875" style="1" customWidth="1"/>
    <col min="287" max="287" width="11.77734375" style="1" customWidth="1"/>
    <col min="288" max="288" width="12" style="1" customWidth="1"/>
    <col min="289" max="512" width="27.5546875" style="1"/>
    <col min="513" max="513" width="19.44140625" style="1" customWidth="1"/>
    <col min="514" max="515" width="12.77734375" style="1" customWidth="1"/>
    <col min="516" max="516" width="13" style="1" customWidth="1"/>
    <col min="517" max="518" width="12.77734375" style="1" customWidth="1"/>
    <col min="519" max="521" width="0" style="1" hidden="1" customWidth="1"/>
    <col min="522" max="530" width="12.77734375" style="1" customWidth="1"/>
    <col min="531" max="531" width="0" style="1" hidden="1" customWidth="1"/>
    <col min="532" max="535" width="12.77734375" style="1" customWidth="1"/>
    <col min="536" max="536" width="1.77734375" style="1" customWidth="1"/>
    <col min="537" max="537" width="12.77734375" style="1" customWidth="1"/>
    <col min="538" max="538" width="1.77734375" style="1" customWidth="1"/>
    <col min="539" max="540" width="0" style="1" hidden="1" customWidth="1"/>
    <col min="541" max="541" width="12.77734375" style="1" customWidth="1"/>
    <col min="542" max="542" width="17.88671875" style="1" customWidth="1"/>
    <col min="543" max="543" width="11.77734375" style="1" customWidth="1"/>
    <col min="544" max="544" width="12" style="1" customWidth="1"/>
    <col min="545" max="768" width="27.5546875" style="1"/>
    <col min="769" max="769" width="19.44140625" style="1" customWidth="1"/>
    <col min="770" max="771" width="12.77734375" style="1" customWidth="1"/>
    <col min="772" max="772" width="13" style="1" customWidth="1"/>
    <col min="773" max="774" width="12.77734375" style="1" customWidth="1"/>
    <col min="775" max="777" width="0" style="1" hidden="1" customWidth="1"/>
    <col min="778" max="786" width="12.77734375" style="1" customWidth="1"/>
    <col min="787" max="787" width="0" style="1" hidden="1" customWidth="1"/>
    <col min="788" max="791" width="12.77734375" style="1" customWidth="1"/>
    <col min="792" max="792" width="1.77734375" style="1" customWidth="1"/>
    <col min="793" max="793" width="12.77734375" style="1" customWidth="1"/>
    <col min="794" max="794" width="1.77734375" style="1" customWidth="1"/>
    <col min="795" max="796" width="0" style="1" hidden="1" customWidth="1"/>
    <col min="797" max="797" width="12.77734375" style="1" customWidth="1"/>
    <col min="798" max="798" width="17.88671875" style="1" customWidth="1"/>
    <col min="799" max="799" width="11.77734375" style="1" customWidth="1"/>
    <col min="800" max="800" width="12" style="1" customWidth="1"/>
    <col min="801" max="1024" width="27.5546875" style="1"/>
    <col min="1025" max="1025" width="19.44140625" style="1" customWidth="1"/>
    <col min="1026" max="1027" width="12.77734375" style="1" customWidth="1"/>
    <col min="1028" max="1028" width="13" style="1" customWidth="1"/>
    <col min="1029" max="1030" width="12.77734375" style="1" customWidth="1"/>
    <col min="1031" max="1033" width="0" style="1" hidden="1" customWidth="1"/>
    <col min="1034" max="1042" width="12.77734375" style="1" customWidth="1"/>
    <col min="1043" max="1043" width="0" style="1" hidden="1" customWidth="1"/>
    <col min="1044" max="1047" width="12.77734375" style="1" customWidth="1"/>
    <col min="1048" max="1048" width="1.77734375" style="1" customWidth="1"/>
    <col min="1049" max="1049" width="12.77734375" style="1" customWidth="1"/>
    <col min="1050" max="1050" width="1.77734375" style="1" customWidth="1"/>
    <col min="1051" max="1052" width="0" style="1" hidden="1" customWidth="1"/>
    <col min="1053" max="1053" width="12.77734375" style="1" customWidth="1"/>
    <col min="1054" max="1054" width="17.88671875" style="1" customWidth="1"/>
    <col min="1055" max="1055" width="11.77734375" style="1" customWidth="1"/>
    <col min="1056" max="1056" width="12" style="1" customWidth="1"/>
    <col min="1057" max="1280" width="27.5546875" style="1"/>
    <col min="1281" max="1281" width="19.44140625" style="1" customWidth="1"/>
    <col min="1282" max="1283" width="12.77734375" style="1" customWidth="1"/>
    <col min="1284" max="1284" width="13" style="1" customWidth="1"/>
    <col min="1285" max="1286" width="12.77734375" style="1" customWidth="1"/>
    <col min="1287" max="1289" width="0" style="1" hidden="1" customWidth="1"/>
    <col min="1290" max="1298" width="12.77734375" style="1" customWidth="1"/>
    <col min="1299" max="1299" width="0" style="1" hidden="1" customWidth="1"/>
    <col min="1300" max="1303" width="12.77734375" style="1" customWidth="1"/>
    <col min="1304" max="1304" width="1.77734375" style="1" customWidth="1"/>
    <col min="1305" max="1305" width="12.77734375" style="1" customWidth="1"/>
    <col min="1306" max="1306" width="1.77734375" style="1" customWidth="1"/>
    <col min="1307" max="1308" width="0" style="1" hidden="1" customWidth="1"/>
    <col min="1309" max="1309" width="12.77734375" style="1" customWidth="1"/>
    <col min="1310" max="1310" width="17.88671875" style="1" customWidth="1"/>
    <col min="1311" max="1311" width="11.77734375" style="1" customWidth="1"/>
    <col min="1312" max="1312" width="12" style="1" customWidth="1"/>
    <col min="1313" max="1536" width="27.5546875" style="1"/>
    <col min="1537" max="1537" width="19.44140625" style="1" customWidth="1"/>
    <col min="1538" max="1539" width="12.77734375" style="1" customWidth="1"/>
    <col min="1540" max="1540" width="13" style="1" customWidth="1"/>
    <col min="1541" max="1542" width="12.77734375" style="1" customWidth="1"/>
    <col min="1543" max="1545" width="0" style="1" hidden="1" customWidth="1"/>
    <col min="1546" max="1554" width="12.77734375" style="1" customWidth="1"/>
    <col min="1555" max="1555" width="0" style="1" hidden="1" customWidth="1"/>
    <col min="1556" max="1559" width="12.77734375" style="1" customWidth="1"/>
    <col min="1560" max="1560" width="1.77734375" style="1" customWidth="1"/>
    <col min="1561" max="1561" width="12.77734375" style="1" customWidth="1"/>
    <col min="1562" max="1562" width="1.77734375" style="1" customWidth="1"/>
    <col min="1563" max="1564" width="0" style="1" hidden="1" customWidth="1"/>
    <col min="1565" max="1565" width="12.77734375" style="1" customWidth="1"/>
    <col min="1566" max="1566" width="17.88671875" style="1" customWidth="1"/>
    <col min="1567" max="1567" width="11.77734375" style="1" customWidth="1"/>
    <col min="1568" max="1568" width="12" style="1" customWidth="1"/>
    <col min="1569" max="1792" width="27.5546875" style="1"/>
    <col min="1793" max="1793" width="19.44140625" style="1" customWidth="1"/>
    <col min="1794" max="1795" width="12.77734375" style="1" customWidth="1"/>
    <col min="1796" max="1796" width="13" style="1" customWidth="1"/>
    <col min="1797" max="1798" width="12.77734375" style="1" customWidth="1"/>
    <col min="1799" max="1801" width="0" style="1" hidden="1" customWidth="1"/>
    <col min="1802" max="1810" width="12.77734375" style="1" customWidth="1"/>
    <col min="1811" max="1811" width="0" style="1" hidden="1" customWidth="1"/>
    <col min="1812" max="1815" width="12.77734375" style="1" customWidth="1"/>
    <col min="1816" max="1816" width="1.77734375" style="1" customWidth="1"/>
    <col min="1817" max="1817" width="12.77734375" style="1" customWidth="1"/>
    <col min="1818" max="1818" width="1.77734375" style="1" customWidth="1"/>
    <col min="1819" max="1820" width="0" style="1" hidden="1" customWidth="1"/>
    <col min="1821" max="1821" width="12.77734375" style="1" customWidth="1"/>
    <col min="1822" max="1822" width="17.88671875" style="1" customWidth="1"/>
    <col min="1823" max="1823" width="11.77734375" style="1" customWidth="1"/>
    <col min="1824" max="1824" width="12" style="1" customWidth="1"/>
    <col min="1825" max="2048" width="27.5546875" style="1"/>
    <col min="2049" max="2049" width="19.44140625" style="1" customWidth="1"/>
    <col min="2050" max="2051" width="12.77734375" style="1" customWidth="1"/>
    <col min="2052" max="2052" width="13" style="1" customWidth="1"/>
    <col min="2053" max="2054" width="12.77734375" style="1" customWidth="1"/>
    <col min="2055" max="2057" width="0" style="1" hidden="1" customWidth="1"/>
    <col min="2058" max="2066" width="12.77734375" style="1" customWidth="1"/>
    <col min="2067" max="2067" width="0" style="1" hidden="1" customWidth="1"/>
    <col min="2068" max="2071" width="12.77734375" style="1" customWidth="1"/>
    <col min="2072" max="2072" width="1.77734375" style="1" customWidth="1"/>
    <col min="2073" max="2073" width="12.77734375" style="1" customWidth="1"/>
    <col min="2074" max="2074" width="1.77734375" style="1" customWidth="1"/>
    <col min="2075" max="2076" width="0" style="1" hidden="1" customWidth="1"/>
    <col min="2077" max="2077" width="12.77734375" style="1" customWidth="1"/>
    <col min="2078" max="2078" width="17.88671875" style="1" customWidth="1"/>
    <col min="2079" max="2079" width="11.77734375" style="1" customWidth="1"/>
    <col min="2080" max="2080" width="12" style="1" customWidth="1"/>
    <col min="2081" max="2304" width="27.5546875" style="1"/>
    <col min="2305" max="2305" width="19.44140625" style="1" customWidth="1"/>
    <col min="2306" max="2307" width="12.77734375" style="1" customWidth="1"/>
    <col min="2308" max="2308" width="13" style="1" customWidth="1"/>
    <col min="2309" max="2310" width="12.77734375" style="1" customWidth="1"/>
    <col min="2311" max="2313" width="0" style="1" hidden="1" customWidth="1"/>
    <col min="2314" max="2322" width="12.77734375" style="1" customWidth="1"/>
    <col min="2323" max="2323" width="0" style="1" hidden="1" customWidth="1"/>
    <col min="2324" max="2327" width="12.77734375" style="1" customWidth="1"/>
    <col min="2328" max="2328" width="1.77734375" style="1" customWidth="1"/>
    <col min="2329" max="2329" width="12.77734375" style="1" customWidth="1"/>
    <col min="2330" max="2330" width="1.77734375" style="1" customWidth="1"/>
    <col min="2331" max="2332" width="0" style="1" hidden="1" customWidth="1"/>
    <col min="2333" max="2333" width="12.77734375" style="1" customWidth="1"/>
    <col min="2334" max="2334" width="17.88671875" style="1" customWidth="1"/>
    <col min="2335" max="2335" width="11.77734375" style="1" customWidth="1"/>
    <col min="2336" max="2336" width="12" style="1" customWidth="1"/>
    <col min="2337" max="2560" width="27.5546875" style="1"/>
    <col min="2561" max="2561" width="19.44140625" style="1" customWidth="1"/>
    <col min="2562" max="2563" width="12.77734375" style="1" customWidth="1"/>
    <col min="2564" max="2564" width="13" style="1" customWidth="1"/>
    <col min="2565" max="2566" width="12.77734375" style="1" customWidth="1"/>
    <col min="2567" max="2569" width="0" style="1" hidden="1" customWidth="1"/>
    <col min="2570" max="2578" width="12.77734375" style="1" customWidth="1"/>
    <col min="2579" max="2579" width="0" style="1" hidden="1" customWidth="1"/>
    <col min="2580" max="2583" width="12.77734375" style="1" customWidth="1"/>
    <col min="2584" max="2584" width="1.77734375" style="1" customWidth="1"/>
    <col min="2585" max="2585" width="12.77734375" style="1" customWidth="1"/>
    <col min="2586" max="2586" width="1.77734375" style="1" customWidth="1"/>
    <col min="2587" max="2588" width="0" style="1" hidden="1" customWidth="1"/>
    <col min="2589" max="2589" width="12.77734375" style="1" customWidth="1"/>
    <col min="2590" max="2590" width="17.88671875" style="1" customWidth="1"/>
    <col min="2591" max="2591" width="11.77734375" style="1" customWidth="1"/>
    <col min="2592" max="2592" width="12" style="1" customWidth="1"/>
    <col min="2593" max="2816" width="27.5546875" style="1"/>
    <col min="2817" max="2817" width="19.44140625" style="1" customWidth="1"/>
    <col min="2818" max="2819" width="12.77734375" style="1" customWidth="1"/>
    <col min="2820" max="2820" width="13" style="1" customWidth="1"/>
    <col min="2821" max="2822" width="12.77734375" style="1" customWidth="1"/>
    <col min="2823" max="2825" width="0" style="1" hidden="1" customWidth="1"/>
    <col min="2826" max="2834" width="12.77734375" style="1" customWidth="1"/>
    <col min="2835" max="2835" width="0" style="1" hidden="1" customWidth="1"/>
    <col min="2836" max="2839" width="12.77734375" style="1" customWidth="1"/>
    <col min="2840" max="2840" width="1.77734375" style="1" customWidth="1"/>
    <col min="2841" max="2841" width="12.77734375" style="1" customWidth="1"/>
    <col min="2842" max="2842" width="1.77734375" style="1" customWidth="1"/>
    <col min="2843" max="2844" width="0" style="1" hidden="1" customWidth="1"/>
    <col min="2845" max="2845" width="12.77734375" style="1" customWidth="1"/>
    <col min="2846" max="2846" width="17.88671875" style="1" customWidth="1"/>
    <col min="2847" max="2847" width="11.77734375" style="1" customWidth="1"/>
    <col min="2848" max="2848" width="12" style="1" customWidth="1"/>
    <col min="2849" max="3072" width="27.5546875" style="1"/>
    <col min="3073" max="3073" width="19.44140625" style="1" customWidth="1"/>
    <col min="3074" max="3075" width="12.77734375" style="1" customWidth="1"/>
    <col min="3076" max="3076" width="13" style="1" customWidth="1"/>
    <col min="3077" max="3078" width="12.77734375" style="1" customWidth="1"/>
    <col min="3079" max="3081" width="0" style="1" hidden="1" customWidth="1"/>
    <col min="3082" max="3090" width="12.77734375" style="1" customWidth="1"/>
    <col min="3091" max="3091" width="0" style="1" hidden="1" customWidth="1"/>
    <col min="3092" max="3095" width="12.77734375" style="1" customWidth="1"/>
    <col min="3096" max="3096" width="1.77734375" style="1" customWidth="1"/>
    <col min="3097" max="3097" width="12.77734375" style="1" customWidth="1"/>
    <col min="3098" max="3098" width="1.77734375" style="1" customWidth="1"/>
    <col min="3099" max="3100" width="0" style="1" hidden="1" customWidth="1"/>
    <col min="3101" max="3101" width="12.77734375" style="1" customWidth="1"/>
    <col min="3102" max="3102" width="17.88671875" style="1" customWidth="1"/>
    <col min="3103" max="3103" width="11.77734375" style="1" customWidth="1"/>
    <col min="3104" max="3104" width="12" style="1" customWidth="1"/>
    <col min="3105" max="3328" width="27.5546875" style="1"/>
    <col min="3329" max="3329" width="19.44140625" style="1" customWidth="1"/>
    <col min="3330" max="3331" width="12.77734375" style="1" customWidth="1"/>
    <col min="3332" max="3332" width="13" style="1" customWidth="1"/>
    <col min="3333" max="3334" width="12.77734375" style="1" customWidth="1"/>
    <col min="3335" max="3337" width="0" style="1" hidden="1" customWidth="1"/>
    <col min="3338" max="3346" width="12.77734375" style="1" customWidth="1"/>
    <col min="3347" max="3347" width="0" style="1" hidden="1" customWidth="1"/>
    <col min="3348" max="3351" width="12.77734375" style="1" customWidth="1"/>
    <col min="3352" max="3352" width="1.77734375" style="1" customWidth="1"/>
    <col min="3353" max="3353" width="12.77734375" style="1" customWidth="1"/>
    <col min="3354" max="3354" width="1.77734375" style="1" customWidth="1"/>
    <col min="3355" max="3356" width="0" style="1" hidden="1" customWidth="1"/>
    <col min="3357" max="3357" width="12.77734375" style="1" customWidth="1"/>
    <col min="3358" max="3358" width="17.88671875" style="1" customWidth="1"/>
    <col min="3359" max="3359" width="11.77734375" style="1" customWidth="1"/>
    <col min="3360" max="3360" width="12" style="1" customWidth="1"/>
    <col min="3361" max="3584" width="27.5546875" style="1"/>
    <col min="3585" max="3585" width="19.44140625" style="1" customWidth="1"/>
    <col min="3586" max="3587" width="12.77734375" style="1" customWidth="1"/>
    <col min="3588" max="3588" width="13" style="1" customWidth="1"/>
    <col min="3589" max="3590" width="12.77734375" style="1" customWidth="1"/>
    <col min="3591" max="3593" width="0" style="1" hidden="1" customWidth="1"/>
    <col min="3594" max="3602" width="12.77734375" style="1" customWidth="1"/>
    <col min="3603" max="3603" width="0" style="1" hidden="1" customWidth="1"/>
    <col min="3604" max="3607" width="12.77734375" style="1" customWidth="1"/>
    <col min="3608" max="3608" width="1.77734375" style="1" customWidth="1"/>
    <col min="3609" max="3609" width="12.77734375" style="1" customWidth="1"/>
    <col min="3610" max="3610" width="1.77734375" style="1" customWidth="1"/>
    <col min="3611" max="3612" width="0" style="1" hidden="1" customWidth="1"/>
    <col min="3613" max="3613" width="12.77734375" style="1" customWidth="1"/>
    <col min="3614" max="3614" width="17.88671875" style="1" customWidth="1"/>
    <col min="3615" max="3615" width="11.77734375" style="1" customWidth="1"/>
    <col min="3616" max="3616" width="12" style="1" customWidth="1"/>
    <col min="3617" max="3840" width="27.5546875" style="1"/>
    <col min="3841" max="3841" width="19.44140625" style="1" customWidth="1"/>
    <col min="3842" max="3843" width="12.77734375" style="1" customWidth="1"/>
    <col min="3844" max="3844" width="13" style="1" customWidth="1"/>
    <col min="3845" max="3846" width="12.77734375" style="1" customWidth="1"/>
    <col min="3847" max="3849" width="0" style="1" hidden="1" customWidth="1"/>
    <col min="3850" max="3858" width="12.77734375" style="1" customWidth="1"/>
    <col min="3859" max="3859" width="0" style="1" hidden="1" customWidth="1"/>
    <col min="3860" max="3863" width="12.77734375" style="1" customWidth="1"/>
    <col min="3864" max="3864" width="1.77734375" style="1" customWidth="1"/>
    <col min="3865" max="3865" width="12.77734375" style="1" customWidth="1"/>
    <col min="3866" max="3866" width="1.77734375" style="1" customWidth="1"/>
    <col min="3867" max="3868" width="0" style="1" hidden="1" customWidth="1"/>
    <col min="3869" max="3869" width="12.77734375" style="1" customWidth="1"/>
    <col min="3870" max="3870" width="17.88671875" style="1" customWidth="1"/>
    <col min="3871" max="3871" width="11.77734375" style="1" customWidth="1"/>
    <col min="3872" max="3872" width="12" style="1" customWidth="1"/>
    <col min="3873" max="4096" width="27.5546875" style="1"/>
    <col min="4097" max="4097" width="19.44140625" style="1" customWidth="1"/>
    <col min="4098" max="4099" width="12.77734375" style="1" customWidth="1"/>
    <col min="4100" max="4100" width="13" style="1" customWidth="1"/>
    <col min="4101" max="4102" width="12.77734375" style="1" customWidth="1"/>
    <col min="4103" max="4105" width="0" style="1" hidden="1" customWidth="1"/>
    <col min="4106" max="4114" width="12.77734375" style="1" customWidth="1"/>
    <col min="4115" max="4115" width="0" style="1" hidden="1" customWidth="1"/>
    <col min="4116" max="4119" width="12.77734375" style="1" customWidth="1"/>
    <col min="4120" max="4120" width="1.77734375" style="1" customWidth="1"/>
    <col min="4121" max="4121" width="12.77734375" style="1" customWidth="1"/>
    <col min="4122" max="4122" width="1.77734375" style="1" customWidth="1"/>
    <col min="4123" max="4124" width="0" style="1" hidden="1" customWidth="1"/>
    <col min="4125" max="4125" width="12.77734375" style="1" customWidth="1"/>
    <col min="4126" max="4126" width="17.88671875" style="1" customWidth="1"/>
    <col min="4127" max="4127" width="11.77734375" style="1" customWidth="1"/>
    <col min="4128" max="4128" width="12" style="1" customWidth="1"/>
    <col min="4129" max="4352" width="27.5546875" style="1"/>
    <col min="4353" max="4353" width="19.44140625" style="1" customWidth="1"/>
    <col min="4354" max="4355" width="12.77734375" style="1" customWidth="1"/>
    <col min="4356" max="4356" width="13" style="1" customWidth="1"/>
    <col min="4357" max="4358" width="12.77734375" style="1" customWidth="1"/>
    <col min="4359" max="4361" width="0" style="1" hidden="1" customWidth="1"/>
    <col min="4362" max="4370" width="12.77734375" style="1" customWidth="1"/>
    <col min="4371" max="4371" width="0" style="1" hidden="1" customWidth="1"/>
    <col min="4372" max="4375" width="12.77734375" style="1" customWidth="1"/>
    <col min="4376" max="4376" width="1.77734375" style="1" customWidth="1"/>
    <col min="4377" max="4377" width="12.77734375" style="1" customWidth="1"/>
    <col min="4378" max="4378" width="1.77734375" style="1" customWidth="1"/>
    <col min="4379" max="4380" width="0" style="1" hidden="1" customWidth="1"/>
    <col min="4381" max="4381" width="12.77734375" style="1" customWidth="1"/>
    <col min="4382" max="4382" width="17.88671875" style="1" customWidth="1"/>
    <col min="4383" max="4383" width="11.77734375" style="1" customWidth="1"/>
    <col min="4384" max="4384" width="12" style="1" customWidth="1"/>
    <col min="4385" max="4608" width="27.5546875" style="1"/>
    <col min="4609" max="4609" width="19.44140625" style="1" customWidth="1"/>
    <col min="4610" max="4611" width="12.77734375" style="1" customWidth="1"/>
    <col min="4612" max="4612" width="13" style="1" customWidth="1"/>
    <col min="4613" max="4614" width="12.77734375" style="1" customWidth="1"/>
    <col min="4615" max="4617" width="0" style="1" hidden="1" customWidth="1"/>
    <col min="4618" max="4626" width="12.77734375" style="1" customWidth="1"/>
    <col min="4627" max="4627" width="0" style="1" hidden="1" customWidth="1"/>
    <col min="4628" max="4631" width="12.77734375" style="1" customWidth="1"/>
    <col min="4632" max="4632" width="1.77734375" style="1" customWidth="1"/>
    <col min="4633" max="4633" width="12.77734375" style="1" customWidth="1"/>
    <col min="4634" max="4634" width="1.77734375" style="1" customWidth="1"/>
    <col min="4635" max="4636" width="0" style="1" hidden="1" customWidth="1"/>
    <col min="4637" max="4637" width="12.77734375" style="1" customWidth="1"/>
    <col min="4638" max="4638" width="17.88671875" style="1" customWidth="1"/>
    <col min="4639" max="4639" width="11.77734375" style="1" customWidth="1"/>
    <col min="4640" max="4640" width="12" style="1" customWidth="1"/>
    <col min="4641" max="4864" width="27.5546875" style="1"/>
    <col min="4865" max="4865" width="19.44140625" style="1" customWidth="1"/>
    <col min="4866" max="4867" width="12.77734375" style="1" customWidth="1"/>
    <col min="4868" max="4868" width="13" style="1" customWidth="1"/>
    <col min="4869" max="4870" width="12.77734375" style="1" customWidth="1"/>
    <col min="4871" max="4873" width="0" style="1" hidden="1" customWidth="1"/>
    <col min="4874" max="4882" width="12.77734375" style="1" customWidth="1"/>
    <col min="4883" max="4883" width="0" style="1" hidden="1" customWidth="1"/>
    <col min="4884" max="4887" width="12.77734375" style="1" customWidth="1"/>
    <col min="4888" max="4888" width="1.77734375" style="1" customWidth="1"/>
    <col min="4889" max="4889" width="12.77734375" style="1" customWidth="1"/>
    <col min="4890" max="4890" width="1.77734375" style="1" customWidth="1"/>
    <col min="4891" max="4892" width="0" style="1" hidden="1" customWidth="1"/>
    <col min="4893" max="4893" width="12.77734375" style="1" customWidth="1"/>
    <col min="4894" max="4894" width="17.88671875" style="1" customWidth="1"/>
    <col min="4895" max="4895" width="11.77734375" style="1" customWidth="1"/>
    <col min="4896" max="4896" width="12" style="1" customWidth="1"/>
    <col min="4897" max="5120" width="27.5546875" style="1"/>
    <col min="5121" max="5121" width="19.44140625" style="1" customWidth="1"/>
    <col min="5122" max="5123" width="12.77734375" style="1" customWidth="1"/>
    <col min="5124" max="5124" width="13" style="1" customWidth="1"/>
    <col min="5125" max="5126" width="12.77734375" style="1" customWidth="1"/>
    <col min="5127" max="5129" width="0" style="1" hidden="1" customWidth="1"/>
    <col min="5130" max="5138" width="12.77734375" style="1" customWidth="1"/>
    <col min="5139" max="5139" width="0" style="1" hidden="1" customWidth="1"/>
    <col min="5140" max="5143" width="12.77734375" style="1" customWidth="1"/>
    <col min="5144" max="5144" width="1.77734375" style="1" customWidth="1"/>
    <col min="5145" max="5145" width="12.77734375" style="1" customWidth="1"/>
    <col min="5146" max="5146" width="1.77734375" style="1" customWidth="1"/>
    <col min="5147" max="5148" width="0" style="1" hidden="1" customWidth="1"/>
    <col min="5149" max="5149" width="12.77734375" style="1" customWidth="1"/>
    <col min="5150" max="5150" width="17.88671875" style="1" customWidth="1"/>
    <col min="5151" max="5151" width="11.77734375" style="1" customWidth="1"/>
    <col min="5152" max="5152" width="12" style="1" customWidth="1"/>
    <col min="5153" max="5376" width="27.5546875" style="1"/>
    <col min="5377" max="5377" width="19.44140625" style="1" customWidth="1"/>
    <col min="5378" max="5379" width="12.77734375" style="1" customWidth="1"/>
    <col min="5380" max="5380" width="13" style="1" customWidth="1"/>
    <col min="5381" max="5382" width="12.77734375" style="1" customWidth="1"/>
    <col min="5383" max="5385" width="0" style="1" hidden="1" customWidth="1"/>
    <col min="5386" max="5394" width="12.77734375" style="1" customWidth="1"/>
    <col min="5395" max="5395" width="0" style="1" hidden="1" customWidth="1"/>
    <col min="5396" max="5399" width="12.77734375" style="1" customWidth="1"/>
    <col min="5400" max="5400" width="1.77734375" style="1" customWidth="1"/>
    <col min="5401" max="5401" width="12.77734375" style="1" customWidth="1"/>
    <col min="5402" max="5402" width="1.77734375" style="1" customWidth="1"/>
    <col min="5403" max="5404" width="0" style="1" hidden="1" customWidth="1"/>
    <col min="5405" max="5405" width="12.77734375" style="1" customWidth="1"/>
    <col min="5406" max="5406" width="17.88671875" style="1" customWidth="1"/>
    <col min="5407" max="5407" width="11.77734375" style="1" customWidth="1"/>
    <col min="5408" max="5408" width="12" style="1" customWidth="1"/>
    <col min="5409" max="5632" width="27.5546875" style="1"/>
    <col min="5633" max="5633" width="19.44140625" style="1" customWidth="1"/>
    <col min="5634" max="5635" width="12.77734375" style="1" customWidth="1"/>
    <col min="5636" max="5636" width="13" style="1" customWidth="1"/>
    <col min="5637" max="5638" width="12.77734375" style="1" customWidth="1"/>
    <col min="5639" max="5641" width="0" style="1" hidden="1" customWidth="1"/>
    <col min="5642" max="5650" width="12.77734375" style="1" customWidth="1"/>
    <col min="5651" max="5651" width="0" style="1" hidden="1" customWidth="1"/>
    <col min="5652" max="5655" width="12.77734375" style="1" customWidth="1"/>
    <col min="5656" max="5656" width="1.77734375" style="1" customWidth="1"/>
    <col min="5657" max="5657" width="12.77734375" style="1" customWidth="1"/>
    <col min="5658" max="5658" width="1.77734375" style="1" customWidth="1"/>
    <col min="5659" max="5660" width="0" style="1" hidden="1" customWidth="1"/>
    <col min="5661" max="5661" width="12.77734375" style="1" customWidth="1"/>
    <col min="5662" max="5662" width="17.88671875" style="1" customWidth="1"/>
    <col min="5663" max="5663" width="11.77734375" style="1" customWidth="1"/>
    <col min="5664" max="5664" width="12" style="1" customWidth="1"/>
    <col min="5665" max="5888" width="27.5546875" style="1"/>
    <col min="5889" max="5889" width="19.44140625" style="1" customWidth="1"/>
    <col min="5890" max="5891" width="12.77734375" style="1" customWidth="1"/>
    <col min="5892" max="5892" width="13" style="1" customWidth="1"/>
    <col min="5893" max="5894" width="12.77734375" style="1" customWidth="1"/>
    <col min="5895" max="5897" width="0" style="1" hidden="1" customWidth="1"/>
    <col min="5898" max="5906" width="12.77734375" style="1" customWidth="1"/>
    <col min="5907" max="5907" width="0" style="1" hidden="1" customWidth="1"/>
    <col min="5908" max="5911" width="12.77734375" style="1" customWidth="1"/>
    <col min="5912" max="5912" width="1.77734375" style="1" customWidth="1"/>
    <col min="5913" max="5913" width="12.77734375" style="1" customWidth="1"/>
    <col min="5914" max="5914" width="1.77734375" style="1" customWidth="1"/>
    <col min="5915" max="5916" width="0" style="1" hidden="1" customWidth="1"/>
    <col min="5917" max="5917" width="12.77734375" style="1" customWidth="1"/>
    <col min="5918" max="5918" width="17.88671875" style="1" customWidth="1"/>
    <col min="5919" max="5919" width="11.77734375" style="1" customWidth="1"/>
    <col min="5920" max="5920" width="12" style="1" customWidth="1"/>
    <col min="5921" max="6144" width="27.5546875" style="1"/>
    <col min="6145" max="6145" width="19.44140625" style="1" customWidth="1"/>
    <col min="6146" max="6147" width="12.77734375" style="1" customWidth="1"/>
    <col min="6148" max="6148" width="13" style="1" customWidth="1"/>
    <col min="6149" max="6150" width="12.77734375" style="1" customWidth="1"/>
    <col min="6151" max="6153" width="0" style="1" hidden="1" customWidth="1"/>
    <col min="6154" max="6162" width="12.77734375" style="1" customWidth="1"/>
    <col min="6163" max="6163" width="0" style="1" hidden="1" customWidth="1"/>
    <col min="6164" max="6167" width="12.77734375" style="1" customWidth="1"/>
    <col min="6168" max="6168" width="1.77734375" style="1" customWidth="1"/>
    <col min="6169" max="6169" width="12.77734375" style="1" customWidth="1"/>
    <col min="6170" max="6170" width="1.77734375" style="1" customWidth="1"/>
    <col min="6171" max="6172" width="0" style="1" hidden="1" customWidth="1"/>
    <col min="6173" max="6173" width="12.77734375" style="1" customWidth="1"/>
    <col min="6174" max="6174" width="17.88671875" style="1" customWidth="1"/>
    <col min="6175" max="6175" width="11.77734375" style="1" customWidth="1"/>
    <col min="6176" max="6176" width="12" style="1" customWidth="1"/>
    <col min="6177" max="6400" width="27.5546875" style="1"/>
    <col min="6401" max="6401" width="19.44140625" style="1" customWidth="1"/>
    <col min="6402" max="6403" width="12.77734375" style="1" customWidth="1"/>
    <col min="6404" max="6404" width="13" style="1" customWidth="1"/>
    <col min="6405" max="6406" width="12.77734375" style="1" customWidth="1"/>
    <col min="6407" max="6409" width="0" style="1" hidden="1" customWidth="1"/>
    <col min="6410" max="6418" width="12.77734375" style="1" customWidth="1"/>
    <col min="6419" max="6419" width="0" style="1" hidden="1" customWidth="1"/>
    <col min="6420" max="6423" width="12.77734375" style="1" customWidth="1"/>
    <col min="6424" max="6424" width="1.77734375" style="1" customWidth="1"/>
    <col min="6425" max="6425" width="12.77734375" style="1" customWidth="1"/>
    <col min="6426" max="6426" width="1.77734375" style="1" customWidth="1"/>
    <col min="6427" max="6428" width="0" style="1" hidden="1" customWidth="1"/>
    <col min="6429" max="6429" width="12.77734375" style="1" customWidth="1"/>
    <col min="6430" max="6430" width="17.88671875" style="1" customWidth="1"/>
    <col min="6431" max="6431" width="11.77734375" style="1" customWidth="1"/>
    <col min="6432" max="6432" width="12" style="1" customWidth="1"/>
    <col min="6433" max="6656" width="27.5546875" style="1"/>
    <col min="6657" max="6657" width="19.44140625" style="1" customWidth="1"/>
    <col min="6658" max="6659" width="12.77734375" style="1" customWidth="1"/>
    <col min="6660" max="6660" width="13" style="1" customWidth="1"/>
    <col min="6661" max="6662" width="12.77734375" style="1" customWidth="1"/>
    <col min="6663" max="6665" width="0" style="1" hidden="1" customWidth="1"/>
    <col min="6666" max="6674" width="12.77734375" style="1" customWidth="1"/>
    <col min="6675" max="6675" width="0" style="1" hidden="1" customWidth="1"/>
    <col min="6676" max="6679" width="12.77734375" style="1" customWidth="1"/>
    <col min="6680" max="6680" width="1.77734375" style="1" customWidth="1"/>
    <col min="6681" max="6681" width="12.77734375" style="1" customWidth="1"/>
    <col min="6682" max="6682" width="1.77734375" style="1" customWidth="1"/>
    <col min="6683" max="6684" width="0" style="1" hidden="1" customWidth="1"/>
    <col min="6685" max="6685" width="12.77734375" style="1" customWidth="1"/>
    <col min="6686" max="6686" width="17.88671875" style="1" customWidth="1"/>
    <col min="6687" max="6687" width="11.77734375" style="1" customWidth="1"/>
    <col min="6688" max="6688" width="12" style="1" customWidth="1"/>
    <col min="6689" max="6912" width="27.5546875" style="1"/>
    <col min="6913" max="6913" width="19.44140625" style="1" customWidth="1"/>
    <col min="6914" max="6915" width="12.77734375" style="1" customWidth="1"/>
    <col min="6916" max="6916" width="13" style="1" customWidth="1"/>
    <col min="6917" max="6918" width="12.77734375" style="1" customWidth="1"/>
    <col min="6919" max="6921" width="0" style="1" hidden="1" customWidth="1"/>
    <col min="6922" max="6930" width="12.77734375" style="1" customWidth="1"/>
    <col min="6931" max="6931" width="0" style="1" hidden="1" customWidth="1"/>
    <col min="6932" max="6935" width="12.77734375" style="1" customWidth="1"/>
    <col min="6936" max="6936" width="1.77734375" style="1" customWidth="1"/>
    <col min="6937" max="6937" width="12.77734375" style="1" customWidth="1"/>
    <col min="6938" max="6938" width="1.77734375" style="1" customWidth="1"/>
    <col min="6939" max="6940" width="0" style="1" hidden="1" customWidth="1"/>
    <col min="6941" max="6941" width="12.77734375" style="1" customWidth="1"/>
    <col min="6942" max="6942" width="17.88671875" style="1" customWidth="1"/>
    <col min="6943" max="6943" width="11.77734375" style="1" customWidth="1"/>
    <col min="6944" max="6944" width="12" style="1" customWidth="1"/>
    <col min="6945" max="7168" width="27.5546875" style="1"/>
    <col min="7169" max="7169" width="19.44140625" style="1" customWidth="1"/>
    <col min="7170" max="7171" width="12.77734375" style="1" customWidth="1"/>
    <col min="7172" max="7172" width="13" style="1" customWidth="1"/>
    <col min="7173" max="7174" width="12.77734375" style="1" customWidth="1"/>
    <col min="7175" max="7177" width="0" style="1" hidden="1" customWidth="1"/>
    <col min="7178" max="7186" width="12.77734375" style="1" customWidth="1"/>
    <col min="7187" max="7187" width="0" style="1" hidden="1" customWidth="1"/>
    <col min="7188" max="7191" width="12.77734375" style="1" customWidth="1"/>
    <col min="7192" max="7192" width="1.77734375" style="1" customWidth="1"/>
    <col min="7193" max="7193" width="12.77734375" style="1" customWidth="1"/>
    <col min="7194" max="7194" width="1.77734375" style="1" customWidth="1"/>
    <col min="7195" max="7196" width="0" style="1" hidden="1" customWidth="1"/>
    <col min="7197" max="7197" width="12.77734375" style="1" customWidth="1"/>
    <col min="7198" max="7198" width="17.88671875" style="1" customWidth="1"/>
    <col min="7199" max="7199" width="11.77734375" style="1" customWidth="1"/>
    <col min="7200" max="7200" width="12" style="1" customWidth="1"/>
    <col min="7201" max="7424" width="27.5546875" style="1"/>
    <col min="7425" max="7425" width="19.44140625" style="1" customWidth="1"/>
    <col min="7426" max="7427" width="12.77734375" style="1" customWidth="1"/>
    <col min="7428" max="7428" width="13" style="1" customWidth="1"/>
    <col min="7429" max="7430" width="12.77734375" style="1" customWidth="1"/>
    <col min="7431" max="7433" width="0" style="1" hidden="1" customWidth="1"/>
    <col min="7434" max="7442" width="12.77734375" style="1" customWidth="1"/>
    <col min="7443" max="7443" width="0" style="1" hidden="1" customWidth="1"/>
    <col min="7444" max="7447" width="12.77734375" style="1" customWidth="1"/>
    <col min="7448" max="7448" width="1.77734375" style="1" customWidth="1"/>
    <col min="7449" max="7449" width="12.77734375" style="1" customWidth="1"/>
    <col min="7450" max="7450" width="1.77734375" style="1" customWidth="1"/>
    <col min="7451" max="7452" width="0" style="1" hidden="1" customWidth="1"/>
    <col min="7453" max="7453" width="12.77734375" style="1" customWidth="1"/>
    <col min="7454" max="7454" width="17.88671875" style="1" customWidth="1"/>
    <col min="7455" max="7455" width="11.77734375" style="1" customWidth="1"/>
    <col min="7456" max="7456" width="12" style="1" customWidth="1"/>
    <col min="7457" max="7680" width="27.5546875" style="1"/>
    <col min="7681" max="7681" width="19.44140625" style="1" customWidth="1"/>
    <col min="7682" max="7683" width="12.77734375" style="1" customWidth="1"/>
    <col min="7684" max="7684" width="13" style="1" customWidth="1"/>
    <col min="7685" max="7686" width="12.77734375" style="1" customWidth="1"/>
    <col min="7687" max="7689" width="0" style="1" hidden="1" customWidth="1"/>
    <col min="7690" max="7698" width="12.77734375" style="1" customWidth="1"/>
    <col min="7699" max="7699" width="0" style="1" hidden="1" customWidth="1"/>
    <col min="7700" max="7703" width="12.77734375" style="1" customWidth="1"/>
    <col min="7704" max="7704" width="1.77734375" style="1" customWidth="1"/>
    <col min="7705" max="7705" width="12.77734375" style="1" customWidth="1"/>
    <col min="7706" max="7706" width="1.77734375" style="1" customWidth="1"/>
    <col min="7707" max="7708" width="0" style="1" hidden="1" customWidth="1"/>
    <col min="7709" max="7709" width="12.77734375" style="1" customWidth="1"/>
    <col min="7710" max="7710" width="17.88671875" style="1" customWidth="1"/>
    <col min="7711" max="7711" width="11.77734375" style="1" customWidth="1"/>
    <col min="7712" max="7712" width="12" style="1" customWidth="1"/>
    <col min="7713" max="7936" width="27.5546875" style="1"/>
    <col min="7937" max="7937" width="19.44140625" style="1" customWidth="1"/>
    <col min="7938" max="7939" width="12.77734375" style="1" customWidth="1"/>
    <col min="7940" max="7940" width="13" style="1" customWidth="1"/>
    <col min="7941" max="7942" width="12.77734375" style="1" customWidth="1"/>
    <col min="7943" max="7945" width="0" style="1" hidden="1" customWidth="1"/>
    <col min="7946" max="7954" width="12.77734375" style="1" customWidth="1"/>
    <col min="7955" max="7955" width="0" style="1" hidden="1" customWidth="1"/>
    <col min="7956" max="7959" width="12.77734375" style="1" customWidth="1"/>
    <col min="7960" max="7960" width="1.77734375" style="1" customWidth="1"/>
    <col min="7961" max="7961" width="12.77734375" style="1" customWidth="1"/>
    <col min="7962" max="7962" width="1.77734375" style="1" customWidth="1"/>
    <col min="7963" max="7964" width="0" style="1" hidden="1" customWidth="1"/>
    <col min="7965" max="7965" width="12.77734375" style="1" customWidth="1"/>
    <col min="7966" max="7966" width="17.88671875" style="1" customWidth="1"/>
    <col min="7967" max="7967" width="11.77734375" style="1" customWidth="1"/>
    <col min="7968" max="7968" width="12" style="1" customWidth="1"/>
    <col min="7969" max="8192" width="27.5546875" style="1"/>
    <col min="8193" max="8193" width="19.44140625" style="1" customWidth="1"/>
    <col min="8194" max="8195" width="12.77734375" style="1" customWidth="1"/>
    <col min="8196" max="8196" width="13" style="1" customWidth="1"/>
    <col min="8197" max="8198" width="12.77734375" style="1" customWidth="1"/>
    <col min="8199" max="8201" width="0" style="1" hidden="1" customWidth="1"/>
    <col min="8202" max="8210" width="12.77734375" style="1" customWidth="1"/>
    <col min="8211" max="8211" width="0" style="1" hidden="1" customWidth="1"/>
    <col min="8212" max="8215" width="12.77734375" style="1" customWidth="1"/>
    <col min="8216" max="8216" width="1.77734375" style="1" customWidth="1"/>
    <col min="8217" max="8217" width="12.77734375" style="1" customWidth="1"/>
    <col min="8218" max="8218" width="1.77734375" style="1" customWidth="1"/>
    <col min="8219" max="8220" width="0" style="1" hidden="1" customWidth="1"/>
    <col min="8221" max="8221" width="12.77734375" style="1" customWidth="1"/>
    <col min="8222" max="8222" width="17.88671875" style="1" customWidth="1"/>
    <col min="8223" max="8223" width="11.77734375" style="1" customWidth="1"/>
    <col min="8224" max="8224" width="12" style="1" customWidth="1"/>
    <col min="8225" max="8448" width="27.5546875" style="1"/>
    <col min="8449" max="8449" width="19.44140625" style="1" customWidth="1"/>
    <col min="8450" max="8451" width="12.77734375" style="1" customWidth="1"/>
    <col min="8452" max="8452" width="13" style="1" customWidth="1"/>
    <col min="8453" max="8454" width="12.77734375" style="1" customWidth="1"/>
    <col min="8455" max="8457" width="0" style="1" hidden="1" customWidth="1"/>
    <col min="8458" max="8466" width="12.77734375" style="1" customWidth="1"/>
    <col min="8467" max="8467" width="0" style="1" hidden="1" customWidth="1"/>
    <col min="8468" max="8471" width="12.77734375" style="1" customWidth="1"/>
    <col min="8472" max="8472" width="1.77734375" style="1" customWidth="1"/>
    <col min="8473" max="8473" width="12.77734375" style="1" customWidth="1"/>
    <col min="8474" max="8474" width="1.77734375" style="1" customWidth="1"/>
    <col min="8475" max="8476" width="0" style="1" hidden="1" customWidth="1"/>
    <col min="8477" max="8477" width="12.77734375" style="1" customWidth="1"/>
    <col min="8478" max="8478" width="17.88671875" style="1" customWidth="1"/>
    <col min="8479" max="8479" width="11.77734375" style="1" customWidth="1"/>
    <col min="8480" max="8480" width="12" style="1" customWidth="1"/>
    <col min="8481" max="8704" width="27.5546875" style="1"/>
    <col min="8705" max="8705" width="19.44140625" style="1" customWidth="1"/>
    <col min="8706" max="8707" width="12.77734375" style="1" customWidth="1"/>
    <col min="8708" max="8708" width="13" style="1" customWidth="1"/>
    <col min="8709" max="8710" width="12.77734375" style="1" customWidth="1"/>
    <col min="8711" max="8713" width="0" style="1" hidden="1" customWidth="1"/>
    <col min="8714" max="8722" width="12.77734375" style="1" customWidth="1"/>
    <col min="8723" max="8723" width="0" style="1" hidden="1" customWidth="1"/>
    <col min="8724" max="8727" width="12.77734375" style="1" customWidth="1"/>
    <col min="8728" max="8728" width="1.77734375" style="1" customWidth="1"/>
    <col min="8729" max="8729" width="12.77734375" style="1" customWidth="1"/>
    <col min="8730" max="8730" width="1.77734375" style="1" customWidth="1"/>
    <col min="8731" max="8732" width="0" style="1" hidden="1" customWidth="1"/>
    <col min="8733" max="8733" width="12.77734375" style="1" customWidth="1"/>
    <col min="8734" max="8734" width="17.88671875" style="1" customWidth="1"/>
    <col min="8735" max="8735" width="11.77734375" style="1" customWidth="1"/>
    <col min="8736" max="8736" width="12" style="1" customWidth="1"/>
    <col min="8737" max="8960" width="27.5546875" style="1"/>
    <col min="8961" max="8961" width="19.44140625" style="1" customWidth="1"/>
    <col min="8962" max="8963" width="12.77734375" style="1" customWidth="1"/>
    <col min="8964" max="8964" width="13" style="1" customWidth="1"/>
    <col min="8965" max="8966" width="12.77734375" style="1" customWidth="1"/>
    <col min="8967" max="8969" width="0" style="1" hidden="1" customWidth="1"/>
    <col min="8970" max="8978" width="12.77734375" style="1" customWidth="1"/>
    <col min="8979" max="8979" width="0" style="1" hidden="1" customWidth="1"/>
    <col min="8980" max="8983" width="12.77734375" style="1" customWidth="1"/>
    <col min="8984" max="8984" width="1.77734375" style="1" customWidth="1"/>
    <col min="8985" max="8985" width="12.77734375" style="1" customWidth="1"/>
    <col min="8986" max="8986" width="1.77734375" style="1" customWidth="1"/>
    <col min="8987" max="8988" width="0" style="1" hidden="1" customWidth="1"/>
    <col min="8989" max="8989" width="12.77734375" style="1" customWidth="1"/>
    <col min="8990" max="8990" width="17.88671875" style="1" customWidth="1"/>
    <col min="8991" max="8991" width="11.77734375" style="1" customWidth="1"/>
    <col min="8992" max="8992" width="12" style="1" customWidth="1"/>
    <col min="8993" max="9216" width="27.5546875" style="1"/>
    <col min="9217" max="9217" width="19.44140625" style="1" customWidth="1"/>
    <col min="9218" max="9219" width="12.77734375" style="1" customWidth="1"/>
    <col min="9220" max="9220" width="13" style="1" customWidth="1"/>
    <col min="9221" max="9222" width="12.77734375" style="1" customWidth="1"/>
    <col min="9223" max="9225" width="0" style="1" hidden="1" customWidth="1"/>
    <col min="9226" max="9234" width="12.77734375" style="1" customWidth="1"/>
    <col min="9235" max="9235" width="0" style="1" hidden="1" customWidth="1"/>
    <col min="9236" max="9239" width="12.77734375" style="1" customWidth="1"/>
    <col min="9240" max="9240" width="1.77734375" style="1" customWidth="1"/>
    <col min="9241" max="9241" width="12.77734375" style="1" customWidth="1"/>
    <col min="9242" max="9242" width="1.77734375" style="1" customWidth="1"/>
    <col min="9243" max="9244" width="0" style="1" hidden="1" customWidth="1"/>
    <col min="9245" max="9245" width="12.77734375" style="1" customWidth="1"/>
    <col min="9246" max="9246" width="17.88671875" style="1" customWidth="1"/>
    <col min="9247" max="9247" width="11.77734375" style="1" customWidth="1"/>
    <col min="9248" max="9248" width="12" style="1" customWidth="1"/>
    <col min="9249" max="9472" width="27.5546875" style="1"/>
    <col min="9473" max="9473" width="19.44140625" style="1" customWidth="1"/>
    <col min="9474" max="9475" width="12.77734375" style="1" customWidth="1"/>
    <col min="9476" max="9476" width="13" style="1" customWidth="1"/>
    <col min="9477" max="9478" width="12.77734375" style="1" customWidth="1"/>
    <col min="9479" max="9481" width="0" style="1" hidden="1" customWidth="1"/>
    <col min="9482" max="9490" width="12.77734375" style="1" customWidth="1"/>
    <col min="9491" max="9491" width="0" style="1" hidden="1" customWidth="1"/>
    <col min="9492" max="9495" width="12.77734375" style="1" customWidth="1"/>
    <col min="9496" max="9496" width="1.77734375" style="1" customWidth="1"/>
    <col min="9497" max="9497" width="12.77734375" style="1" customWidth="1"/>
    <col min="9498" max="9498" width="1.77734375" style="1" customWidth="1"/>
    <col min="9499" max="9500" width="0" style="1" hidden="1" customWidth="1"/>
    <col min="9501" max="9501" width="12.77734375" style="1" customWidth="1"/>
    <col min="9502" max="9502" width="17.88671875" style="1" customWidth="1"/>
    <col min="9503" max="9503" width="11.77734375" style="1" customWidth="1"/>
    <col min="9504" max="9504" width="12" style="1" customWidth="1"/>
    <col min="9505" max="9728" width="27.5546875" style="1"/>
    <col min="9729" max="9729" width="19.44140625" style="1" customWidth="1"/>
    <col min="9730" max="9731" width="12.77734375" style="1" customWidth="1"/>
    <col min="9732" max="9732" width="13" style="1" customWidth="1"/>
    <col min="9733" max="9734" width="12.77734375" style="1" customWidth="1"/>
    <col min="9735" max="9737" width="0" style="1" hidden="1" customWidth="1"/>
    <col min="9738" max="9746" width="12.77734375" style="1" customWidth="1"/>
    <col min="9747" max="9747" width="0" style="1" hidden="1" customWidth="1"/>
    <col min="9748" max="9751" width="12.77734375" style="1" customWidth="1"/>
    <col min="9752" max="9752" width="1.77734375" style="1" customWidth="1"/>
    <col min="9753" max="9753" width="12.77734375" style="1" customWidth="1"/>
    <col min="9754" max="9754" width="1.77734375" style="1" customWidth="1"/>
    <col min="9755" max="9756" width="0" style="1" hidden="1" customWidth="1"/>
    <col min="9757" max="9757" width="12.77734375" style="1" customWidth="1"/>
    <col min="9758" max="9758" width="17.88671875" style="1" customWidth="1"/>
    <col min="9759" max="9759" width="11.77734375" style="1" customWidth="1"/>
    <col min="9760" max="9760" width="12" style="1" customWidth="1"/>
    <col min="9761" max="9984" width="27.5546875" style="1"/>
    <col min="9985" max="9985" width="19.44140625" style="1" customWidth="1"/>
    <col min="9986" max="9987" width="12.77734375" style="1" customWidth="1"/>
    <col min="9988" max="9988" width="13" style="1" customWidth="1"/>
    <col min="9989" max="9990" width="12.77734375" style="1" customWidth="1"/>
    <col min="9991" max="9993" width="0" style="1" hidden="1" customWidth="1"/>
    <col min="9994" max="10002" width="12.77734375" style="1" customWidth="1"/>
    <col min="10003" max="10003" width="0" style="1" hidden="1" customWidth="1"/>
    <col min="10004" max="10007" width="12.77734375" style="1" customWidth="1"/>
    <col min="10008" max="10008" width="1.77734375" style="1" customWidth="1"/>
    <col min="10009" max="10009" width="12.77734375" style="1" customWidth="1"/>
    <col min="10010" max="10010" width="1.77734375" style="1" customWidth="1"/>
    <col min="10011" max="10012" width="0" style="1" hidden="1" customWidth="1"/>
    <col min="10013" max="10013" width="12.77734375" style="1" customWidth="1"/>
    <col min="10014" max="10014" width="17.88671875" style="1" customWidth="1"/>
    <col min="10015" max="10015" width="11.77734375" style="1" customWidth="1"/>
    <col min="10016" max="10016" width="12" style="1" customWidth="1"/>
    <col min="10017" max="10240" width="27.5546875" style="1"/>
    <col min="10241" max="10241" width="19.44140625" style="1" customWidth="1"/>
    <col min="10242" max="10243" width="12.77734375" style="1" customWidth="1"/>
    <col min="10244" max="10244" width="13" style="1" customWidth="1"/>
    <col min="10245" max="10246" width="12.77734375" style="1" customWidth="1"/>
    <col min="10247" max="10249" width="0" style="1" hidden="1" customWidth="1"/>
    <col min="10250" max="10258" width="12.77734375" style="1" customWidth="1"/>
    <col min="10259" max="10259" width="0" style="1" hidden="1" customWidth="1"/>
    <col min="10260" max="10263" width="12.77734375" style="1" customWidth="1"/>
    <col min="10264" max="10264" width="1.77734375" style="1" customWidth="1"/>
    <col min="10265" max="10265" width="12.77734375" style="1" customWidth="1"/>
    <col min="10266" max="10266" width="1.77734375" style="1" customWidth="1"/>
    <col min="10267" max="10268" width="0" style="1" hidden="1" customWidth="1"/>
    <col min="10269" max="10269" width="12.77734375" style="1" customWidth="1"/>
    <col min="10270" max="10270" width="17.88671875" style="1" customWidth="1"/>
    <col min="10271" max="10271" width="11.77734375" style="1" customWidth="1"/>
    <col min="10272" max="10272" width="12" style="1" customWidth="1"/>
    <col min="10273" max="10496" width="27.5546875" style="1"/>
    <col min="10497" max="10497" width="19.44140625" style="1" customWidth="1"/>
    <col min="10498" max="10499" width="12.77734375" style="1" customWidth="1"/>
    <col min="10500" max="10500" width="13" style="1" customWidth="1"/>
    <col min="10501" max="10502" width="12.77734375" style="1" customWidth="1"/>
    <col min="10503" max="10505" width="0" style="1" hidden="1" customWidth="1"/>
    <col min="10506" max="10514" width="12.77734375" style="1" customWidth="1"/>
    <col min="10515" max="10515" width="0" style="1" hidden="1" customWidth="1"/>
    <col min="10516" max="10519" width="12.77734375" style="1" customWidth="1"/>
    <col min="10520" max="10520" width="1.77734375" style="1" customWidth="1"/>
    <col min="10521" max="10521" width="12.77734375" style="1" customWidth="1"/>
    <col min="10522" max="10522" width="1.77734375" style="1" customWidth="1"/>
    <col min="10523" max="10524" width="0" style="1" hidden="1" customWidth="1"/>
    <col min="10525" max="10525" width="12.77734375" style="1" customWidth="1"/>
    <col min="10526" max="10526" width="17.88671875" style="1" customWidth="1"/>
    <col min="10527" max="10527" width="11.77734375" style="1" customWidth="1"/>
    <col min="10528" max="10528" width="12" style="1" customWidth="1"/>
    <col min="10529" max="10752" width="27.5546875" style="1"/>
    <col min="10753" max="10753" width="19.44140625" style="1" customWidth="1"/>
    <col min="10754" max="10755" width="12.77734375" style="1" customWidth="1"/>
    <col min="10756" max="10756" width="13" style="1" customWidth="1"/>
    <col min="10757" max="10758" width="12.77734375" style="1" customWidth="1"/>
    <col min="10759" max="10761" width="0" style="1" hidden="1" customWidth="1"/>
    <col min="10762" max="10770" width="12.77734375" style="1" customWidth="1"/>
    <col min="10771" max="10771" width="0" style="1" hidden="1" customWidth="1"/>
    <col min="10772" max="10775" width="12.77734375" style="1" customWidth="1"/>
    <col min="10776" max="10776" width="1.77734375" style="1" customWidth="1"/>
    <col min="10777" max="10777" width="12.77734375" style="1" customWidth="1"/>
    <col min="10778" max="10778" width="1.77734375" style="1" customWidth="1"/>
    <col min="10779" max="10780" width="0" style="1" hidden="1" customWidth="1"/>
    <col min="10781" max="10781" width="12.77734375" style="1" customWidth="1"/>
    <col min="10782" max="10782" width="17.88671875" style="1" customWidth="1"/>
    <col min="10783" max="10783" width="11.77734375" style="1" customWidth="1"/>
    <col min="10784" max="10784" width="12" style="1" customWidth="1"/>
    <col min="10785" max="11008" width="27.5546875" style="1"/>
    <col min="11009" max="11009" width="19.44140625" style="1" customWidth="1"/>
    <col min="11010" max="11011" width="12.77734375" style="1" customWidth="1"/>
    <col min="11012" max="11012" width="13" style="1" customWidth="1"/>
    <col min="11013" max="11014" width="12.77734375" style="1" customWidth="1"/>
    <col min="11015" max="11017" width="0" style="1" hidden="1" customWidth="1"/>
    <col min="11018" max="11026" width="12.77734375" style="1" customWidth="1"/>
    <col min="11027" max="11027" width="0" style="1" hidden="1" customWidth="1"/>
    <col min="11028" max="11031" width="12.77734375" style="1" customWidth="1"/>
    <col min="11032" max="11032" width="1.77734375" style="1" customWidth="1"/>
    <col min="11033" max="11033" width="12.77734375" style="1" customWidth="1"/>
    <col min="11034" max="11034" width="1.77734375" style="1" customWidth="1"/>
    <col min="11035" max="11036" width="0" style="1" hidden="1" customWidth="1"/>
    <col min="11037" max="11037" width="12.77734375" style="1" customWidth="1"/>
    <col min="11038" max="11038" width="17.88671875" style="1" customWidth="1"/>
    <col min="11039" max="11039" width="11.77734375" style="1" customWidth="1"/>
    <col min="11040" max="11040" width="12" style="1" customWidth="1"/>
    <col min="11041" max="11264" width="27.5546875" style="1"/>
    <col min="11265" max="11265" width="19.44140625" style="1" customWidth="1"/>
    <col min="11266" max="11267" width="12.77734375" style="1" customWidth="1"/>
    <col min="11268" max="11268" width="13" style="1" customWidth="1"/>
    <col min="11269" max="11270" width="12.77734375" style="1" customWidth="1"/>
    <col min="11271" max="11273" width="0" style="1" hidden="1" customWidth="1"/>
    <col min="11274" max="11282" width="12.77734375" style="1" customWidth="1"/>
    <col min="11283" max="11283" width="0" style="1" hidden="1" customWidth="1"/>
    <col min="11284" max="11287" width="12.77734375" style="1" customWidth="1"/>
    <col min="11288" max="11288" width="1.77734375" style="1" customWidth="1"/>
    <col min="11289" max="11289" width="12.77734375" style="1" customWidth="1"/>
    <col min="11290" max="11290" width="1.77734375" style="1" customWidth="1"/>
    <col min="11291" max="11292" width="0" style="1" hidden="1" customWidth="1"/>
    <col min="11293" max="11293" width="12.77734375" style="1" customWidth="1"/>
    <col min="11294" max="11294" width="17.88671875" style="1" customWidth="1"/>
    <col min="11295" max="11295" width="11.77734375" style="1" customWidth="1"/>
    <col min="11296" max="11296" width="12" style="1" customWidth="1"/>
    <col min="11297" max="11520" width="27.5546875" style="1"/>
    <col min="11521" max="11521" width="19.44140625" style="1" customWidth="1"/>
    <col min="11522" max="11523" width="12.77734375" style="1" customWidth="1"/>
    <col min="11524" max="11524" width="13" style="1" customWidth="1"/>
    <col min="11525" max="11526" width="12.77734375" style="1" customWidth="1"/>
    <col min="11527" max="11529" width="0" style="1" hidden="1" customWidth="1"/>
    <col min="11530" max="11538" width="12.77734375" style="1" customWidth="1"/>
    <col min="11539" max="11539" width="0" style="1" hidden="1" customWidth="1"/>
    <col min="11540" max="11543" width="12.77734375" style="1" customWidth="1"/>
    <col min="11544" max="11544" width="1.77734375" style="1" customWidth="1"/>
    <col min="11545" max="11545" width="12.77734375" style="1" customWidth="1"/>
    <col min="11546" max="11546" width="1.77734375" style="1" customWidth="1"/>
    <col min="11547" max="11548" width="0" style="1" hidden="1" customWidth="1"/>
    <col min="11549" max="11549" width="12.77734375" style="1" customWidth="1"/>
    <col min="11550" max="11550" width="17.88671875" style="1" customWidth="1"/>
    <col min="11551" max="11551" width="11.77734375" style="1" customWidth="1"/>
    <col min="11552" max="11552" width="12" style="1" customWidth="1"/>
    <col min="11553" max="11776" width="27.5546875" style="1"/>
    <col min="11777" max="11777" width="19.44140625" style="1" customWidth="1"/>
    <col min="11778" max="11779" width="12.77734375" style="1" customWidth="1"/>
    <col min="11780" max="11780" width="13" style="1" customWidth="1"/>
    <col min="11781" max="11782" width="12.77734375" style="1" customWidth="1"/>
    <col min="11783" max="11785" width="0" style="1" hidden="1" customWidth="1"/>
    <col min="11786" max="11794" width="12.77734375" style="1" customWidth="1"/>
    <col min="11795" max="11795" width="0" style="1" hidden="1" customWidth="1"/>
    <col min="11796" max="11799" width="12.77734375" style="1" customWidth="1"/>
    <col min="11800" max="11800" width="1.77734375" style="1" customWidth="1"/>
    <col min="11801" max="11801" width="12.77734375" style="1" customWidth="1"/>
    <col min="11802" max="11802" width="1.77734375" style="1" customWidth="1"/>
    <col min="11803" max="11804" width="0" style="1" hidden="1" customWidth="1"/>
    <col min="11805" max="11805" width="12.77734375" style="1" customWidth="1"/>
    <col min="11806" max="11806" width="17.88671875" style="1" customWidth="1"/>
    <col min="11807" max="11807" width="11.77734375" style="1" customWidth="1"/>
    <col min="11808" max="11808" width="12" style="1" customWidth="1"/>
    <col min="11809" max="12032" width="27.5546875" style="1"/>
    <col min="12033" max="12033" width="19.44140625" style="1" customWidth="1"/>
    <col min="12034" max="12035" width="12.77734375" style="1" customWidth="1"/>
    <col min="12036" max="12036" width="13" style="1" customWidth="1"/>
    <col min="12037" max="12038" width="12.77734375" style="1" customWidth="1"/>
    <col min="12039" max="12041" width="0" style="1" hidden="1" customWidth="1"/>
    <col min="12042" max="12050" width="12.77734375" style="1" customWidth="1"/>
    <col min="12051" max="12051" width="0" style="1" hidden="1" customWidth="1"/>
    <col min="12052" max="12055" width="12.77734375" style="1" customWidth="1"/>
    <col min="12056" max="12056" width="1.77734375" style="1" customWidth="1"/>
    <col min="12057" max="12057" width="12.77734375" style="1" customWidth="1"/>
    <col min="12058" max="12058" width="1.77734375" style="1" customWidth="1"/>
    <col min="12059" max="12060" width="0" style="1" hidden="1" customWidth="1"/>
    <col min="12061" max="12061" width="12.77734375" style="1" customWidth="1"/>
    <col min="12062" max="12062" width="17.88671875" style="1" customWidth="1"/>
    <col min="12063" max="12063" width="11.77734375" style="1" customWidth="1"/>
    <col min="12064" max="12064" width="12" style="1" customWidth="1"/>
    <col min="12065" max="12288" width="27.5546875" style="1"/>
    <col min="12289" max="12289" width="19.44140625" style="1" customWidth="1"/>
    <col min="12290" max="12291" width="12.77734375" style="1" customWidth="1"/>
    <col min="12292" max="12292" width="13" style="1" customWidth="1"/>
    <col min="12293" max="12294" width="12.77734375" style="1" customWidth="1"/>
    <col min="12295" max="12297" width="0" style="1" hidden="1" customWidth="1"/>
    <col min="12298" max="12306" width="12.77734375" style="1" customWidth="1"/>
    <col min="12307" max="12307" width="0" style="1" hidden="1" customWidth="1"/>
    <col min="12308" max="12311" width="12.77734375" style="1" customWidth="1"/>
    <col min="12312" max="12312" width="1.77734375" style="1" customWidth="1"/>
    <col min="12313" max="12313" width="12.77734375" style="1" customWidth="1"/>
    <col min="12314" max="12314" width="1.77734375" style="1" customWidth="1"/>
    <col min="12315" max="12316" width="0" style="1" hidden="1" customWidth="1"/>
    <col min="12317" max="12317" width="12.77734375" style="1" customWidth="1"/>
    <col min="12318" max="12318" width="17.88671875" style="1" customWidth="1"/>
    <col min="12319" max="12319" width="11.77734375" style="1" customWidth="1"/>
    <col min="12320" max="12320" width="12" style="1" customWidth="1"/>
    <col min="12321" max="12544" width="27.5546875" style="1"/>
    <col min="12545" max="12545" width="19.44140625" style="1" customWidth="1"/>
    <col min="12546" max="12547" width="12.77734375" style="1" customWidth="1"/>
    <col min="12548" max="12548" width="13" style="1" customWidth="1"/>
    <col min="12549" max="12550" width="12.77734375" style="1" customWidth="1"/>
    <col min="12551" max="12553" width="0" style="1" hidden="1" customWidth="1"/>
    <col min="12554" max="12562" width="12.77734375" style="1" customWidth="1"/>
    <col min="12563" max="12563" width="0" style="1" hidden="1" customWidth="1"/>
    <col min="12564" max="12567" width="12.77734375" style="1" customWidth="1"/>
    <col min="12568" max="12568" width="1.77734375" style="1" customWidth="1"/>
    <col min="12569" max="12569" width="12.77734375" style="1" customWidth="1"/>
    <col min="12570" max="12570" width="1.77734375" style="1" customWidth="1"/>
    <col min="12571" max="12572" width="0" style="1" hidden="1" customWidth="1"/>
    <col min="12573" max="12573" width="12.77734375" style="1" customWidth="1"/>
    <col min="12574" max="12574" width="17.88671875" style="1" customWidth="1"/>
    <col min="12575" max="12575" width="11.77734375" style="1" customWidth="1"/>
    <col min="12576" max="12576" width="12" style="1" customWidth="1"/>
    <col min="12577" max="12800" width="27.5546875" style="1"/>
    <col min="12801" max="12801" width="19.44140625" style="1" customWidth="1"/>
    <col min="12802" max="12803" width="12.77734375" style="1" customWidth="1"/>
    <col min="12804" max="12804" width="13" style="1" customWidth="1"/>
    <col min="12805" max="12806" width="12.77734375" style="1" customWidth="1"/>
    <col min="12807" max="12809" width="0" style="1" hidden="1" customWidth="1"/>
    <col min="12810" max="12818" width="12.77734375" style="1" customWidth="1"/>
    <col min="12819" max="12819" width="0" style="1" hidden="1" customWidth="1"/>
    <col min="12820" max="12823" width="12.77734375" style="1" customWidth="1"/>
    <col min="12824" max="12824" width="1.77734375" style="1" customWidth="1"/>
    <col min="12825" max="12825" width="12.77734375" style="1" customWidth="1"/>
    <col min="12826" max="12826" width="1.77734375" style="1" customWidth="1"/>
    <col min="12827" max="12828" width="0" style="1" hidden="1" customWidth="1"/>
    <col min="12829" max="12829" width="12.77734375" style="1" customWidth="1"/>
    <col min="12830" max="12830" width="17.88671875" style="1" customWidth="1"/>
    <col min="12831" max="12831" width="11.77734375" style="1" customWidth="1"/>
    <col min="12832" max="12832" width="12" style="1" customWidth="1"/>
    <col min="12833" max="13056" width="27.5546875" style="1"/>
    <col min="13057" max="13057" width="19.44140625" style="1" customWidth="1"/>
    <col min="13058" max="13059" width="12.77734375" style="1" customWidth="1"/>
    <col min="13060" max="13060" width="13" style="1" customWidth="1"/>
    <col min="13061" max="13062" width="12.77734375" style="1" customWidth="1"/>
    <col min="13063" max="13065" width="0" style="1" hidden="1" customWidth="1"/>
    <col min="13066" max="13074" width="12.77734375" style="1" customWidth="1"/>
    <col min="13075" max="13075" width="0" style="1" hidden="1" customWidth="1"/>
    <col min="13076" max="13079" width="12.77734375" style="1" customWidth="1"/>
    <col min="13080" max="13080" width="1.77734375" style="1" customWidth="1"/>
    <col min="13081" max="13081" width="12.77734375" style="1" customWidth="1"/>
    <col min="13082" max="13082" width="1.77734375" style="1" customWidth="1"/>
    <col min="13083" max="13084" width="0" style="1" hidden="1" customWidth="1"/>
    <col min="13085" max="13085" width="12.77734375" style="1" customWidth="1"/>
    <col min="13086" max="13086" width="17.88671875" style="1" customWidth="1"/>
    <col min="13087" max="13087" width="11.77734375" style="1" customWidth="1"/>
    <col min="13088" max="13088" width="12" style="1" customWidth="1"/>
    <col min="13089" max="13312" width="27.5546875" style="1"/>
    <col min="13313" max="13313" width="19.44140625" style="1" customWidth="1"/>
    <col min="13314" max="13315" width="12.77734375" style="1" customWidth="1"/>
    <col min="13316" max="13316" width="13" style="1" customWidth="1"/>
    <col min="13317" max="13318" width="12.77734375" style="1" customWidth="1"/>
    <col min="13319" max="13321" width="0" style="1" hidden="1" customWidth="1"/>
    <col min="13322" max="13330" width="12.77734375" style="1" customWidth="1"/>
    <col min="13331" max="13331" width="0" style="1" hidden="1" customWidth="1"/>
    <col min="13332" max="13335" width="12.77734375" style="1" customWidth="1"/>
    <col min="13336" max="13336" width="1.77734375" style="1" customWidth="1"/>
    <col min="13337" max="13337" width="12.77734375" style="1" customWidth="1"/>
    <col min="13338" max="13338" width="1.77734375" style="1" customWidth="1"/>
    <col min="13339" max="13340" width="0" style="1" hidden="1" customWidth="1"/>
    <col min="13341" max="13341" width="12.77734375" style="1" customWidth="1"/>
    <col min="13342" max="13342" width="17.88671875" style="1" customWidth="1"/>
    <col min="13343" max="13343" width="11.77734375" style="1" customWidth="1"/>
    <col min="13344" max="13344" width="12" style="1" customWidth="1"/>
    <col min="13345" max="13568" width="27.5546875" style="1"/>
    <col min="13569" max="13569" width="19.44140625" style="1" customWidth="1"/>
    <col min="13570" max="13571" width="12.77734375" style="1" customWidth="1"/>
    <col min="13572" max="13572" width="13" style="1" customWidth="1"/>
    <col min="13573" max="13574" width="12.77734375" style="1" customWidth="1"/>
    <col min="13575" max="13577" width="0" style="1" hidden="1" customWidth="1"/>
    <col min="13578" max="13586" width="12.77734375" style="1" customWidth="1"/>
    <col min="13587" max="13587" width="0" style="1" hidden="1" customWidth="1"/>
    <col min="13588" max="13591" width="12.77734375" style="1" customWidth="1"/>
    <col min="13592" max="13592" width="1.77734375" style="1" customWidth="1"/>
    <col min="13593" max="13593" width="12.77734375" style="1" customWidth="1"/>
    <col min="13594" max="13594" width="1.77734375" style="1" customWidth="1"/>
    <col min="13595" max="13596" width="0" style="1" hidden="1" customWidth="1"/>
    <col min="13597" max="13597" width="12.77734375" style="1" customWidth="1"/>
    <col min="13598" max="13598" width="17.88671875" style="1" customWidth="1"/>
    <col min="13599" max="13599" width="11.77734375" style="1" customWidth="1"/>
    <col min="13600" max="13600" width="12" style="1" customWidth="1"/>
    <col min="13601" max="13824" width="27.5546875" style="1"/>
    <col min="13825" max="13825" width="19.44140625" style="1" customWidth="1"/>
    <col min="13826" max="13827" width="12.77734375" style="1" customWidth="1"/>
    <col min="13828" max="13828" width="13" style="1" customWidth="1"/>
    <col min="13829" max="13830" width="12.77734375" style="1" customWidth="1"/>
    <col min="13831" max="13833" width="0" style="1" hidden="1" customWidth="1"/>
    <col min="13834" max="13842" width="12.77734375" style="1" customWidth="1"/>
    <col min="13843" max="13843" width="0" style="1" hidden="1" customWidth="1"/>
    <col min="13844" max="13847" width="12.77734375" style="1" customWidth="1"/>
    <col min="13848" max="13848" width="1.77734375" style="1" customWidth="1"/>
    <col min="13849" max="13849" width="12.77734375" style="1" customWidth="1"/>
    <col min="13850" max="13850" width="1.77734375" style="1" customWidth="1"/>
    <col min="13851" max="13852" width="0" style="1" hidden="1" customWidth="1"/>
    <col min="13853" max="13853" width="12.77734375" style="1" customWidth="1"/>
    <col min="13854" max="13854" width="17.88671875" style="1" customWidth="1"/>
    <col min="13855" max="13855" width="11.77734375" style="1" customWidth="1"/>
    <col min="13856" max="13856" width="12" style="1" customWidth="1"/>
    <col min="13857" max="14080" width="27.5546875" style="1"/>
    <col min="14081" max="14081" width="19.44140625" style="1" customWidth="1"/>
    <col min="14082" max="14083" width="12.77734375" style="1" customWidth="1"/>
    <col min="14084" max="14084" width="13" style="1" customWidth="1"/>
    <col min="14085" max="14086" width="12.77734375" style="1" customWidth="1"/>
    <col min="14087" max="14089" width="0" style="1" hidden="1" customWidth="1"/>
    <col min="14090" max="14098" width="12.77734375" style="1" customWidth="1"/>
    <col min="14099" max="14099" width="0" style="1" hidden="1" customWidth="1"/>
    <col min="14100" max="14103" width="12.77734375" style="1" customWidth="1"/>
    <col min="14104" max="14104" width="1.77734375" style="1" customWidth="1"/>
    <col min="14105" max="14105" width="12.77734375" style="1" customWidth="1"/>
    <col min="14106" max="14106" width="1.77734375" style="1" customWidth="1"/>
    <col min="14107" max="14108" width="0" style="1" hidden="1" customWidth="1"/>
    <col min="14109" max="14109" width="12.77734375" style="1" customWidth="1"/>
    <col min="14110" max="14110" width="17.88671875" style="1" customWidth="1"/>
    <col min="14111" max="14111" width="11.77734375" style="1" customWidth="1"/>
    <col min="14112" max="14112" width="12" style="1" customWidth="1"/>
    <col min="14113" max="14336" width="27.5546875" style="1"/>
    <col min="14337" max="14337" width="19.44140625" style="1" customWidth="1"/>
    <col min="14338" max="14339" width="12.77734375" style="1" customWidth="1"/>
    <col min="14340" max="14340" width="13" style="1" customWidth="1"/>
    <col min="14341" max="14342" width="12.77734375" style="1" customWidth="1"/>
    <col min="14343" max="14345" width="0" style="1" hidden="1" customWidth="1"/>
    <col min="14346" max="14354" width="12.77734375" style="1" customWidth="1"/>
    <col min="14355" max="14355" width="0" style="1" hidden="1" customWidth="1"/>
    <col min="14356" max="14359" width="12.77734375" style="1" customWidth="1"/>
    <col min="14360" max="14360" width="1.77734375" style="1" customWidth="1"/>
    <col min="14361" max="14361" width="12.77734375" style="1" customWidth="1"/>
    <col min="14362" max="14362" width="1.77734375" style="1" customWidth="1"/>
    <col min="14363" max="14364" width="0" style="1" hidden="1" customWidth="1"/>
    <col min="14365" max="14365" width="12.77734375" style="1" customWidth="1"/>
    <col min="14366" max="14366" width="17.88671875" style="1" customWidth="1"/>
    <col min="14367" max="14367" width="11.77734375" style="1" customWidth="1"/>
    <col min="14368" max="14368" width="12" style="1" customWidth="1"/>
    <col min="14369" max="14592" width="27.5546875" style="1"/>
    <col min="14593" max="14593" width="19.44140625" style="1" customWidth="1"/>
    <col min="14594" max="14595" width="12.77734375" style="1" customWidth="1"/>
    <col min="14596" max="14596" width="13" style="1" customWidth="1"/>
    <col min="14597" max="14598" width="12.77734375" style="1" customWidth="1"/>
    <col min="14599" max="14601" width="0" style="1" hidden="1" customWidth="1"/>
    <col min="14602" max="14610" width="12.77734375" style="1" customWidth="1"/>
    <col min="14611" max="14611" width="0" style="1" hidden="1" customWidth="1"/>
    <col min="14612" max="14615" width="12.77734375" style="1" customWidth="1"/>
    <col min="14616" max="14616" width="1.77734375" style="1" customWidth="1"/>
    <col min="14617" max="14617" width="12.77734375" style="1" customWidth="1"/>
    <col min="14618" max="14618" width="1.77734375" style="1" customWidth="1"/>
    <col min="14619" max="14620" width="0" style="1" hidden="1" customWidth="1"/>
    <col min="14621" max="14621" width="12.77734375" style="1" customWidth="1"/>
    <col min="14622" max="14622" width="17.88671875" style="1" customWidth="1"/>
    <col min="14623" max="14623" width="11.77734375" style="1" customWidth="1"/>
    <col min="14624" max="14624" width="12" style="1" customWidth="1"/>
    <col min="14625" max="14848" width="27.5546875" style="1"/>
    <col min="14849" max="14849" width="19.44140625" style="1" customWidth="1"/>
    <col min="14850" max="14851" width="12.77734375" style="1" customWidth="1"/>
    <col min="14852" max="14852" width="13" style="1" customWidth="1"/>
    <col min="14853" max="14854" width="12.77734375" style="1" customWidth="1"/>
    <col min="14855" max="14857" width="0" style="1" hidden="1" customWidth="1"/>
    <col min="14858" max="14866" width="12.77734375" style="1" customWidth="1"/>
    <col min="14867" max="14867" width="0" style="1" hidden="1" customWidth="1"/>
    <col min="14868" max="14871" width="12.77734375" style="1" customWidth="1"/>
    <col min="14872" max="14872" width="1.77734375" style="1" customWidth="1"/>
    <col min="14873" max="14873" width="12.77734375" style="1" customWidth="1"/>
    <col min="14874" max="14874" width="1.77734375" style="1" customWidth="1"/>
    <col min="14875" max="14876" width="0" style="1" hidden="1" customWidth="1"/>
    <col min="14877" max="14877" width="12.77734375" style="1" customWidth="1"/>
    <col min="14878" max="14878" width="17.88671875" style="1" customWidth="1"/>
    <col min="14879" max="14879" width="11.77734375" style="1" customWidth="1"/>
    <col min="14880" max="14880" width="12" style="1" customWidth="1"/>
    <col min="14881" max="15104" width="27.5546875" style="1"/>
    <col min="15105" max="15105" width="19.44140625" style="1" customWidth="1"/>
    <col min="15106" max="15107" width="12.77734375" style="1" customWidth="1"/>
    <col min="15108" max="15108" width="13" style="1" customWidth="1"/>
    <col min="15109" max="15110" width="12.77734375" style="1" customWidth="1"/>
    <col min="15111" max="15113" width="0" style="1" hidden="1" customWidth="1"/>
    <col min="15114" max="15122" width="12.77734375" style="1" customWidth="1"/>
    <col min="15123" max="15123" width="0" style="1" hidden="1" customWidth="1"/>
    <col min="15124" max="15127" width="12.77734375" style="1" customWidth="1"/>
    <col min="15128" max="15128" width="1.77734375" style="1" customWidth="1"/>
    <col min="15129" max="15129" width="12.77734375" style="1" customWidth="1"/>
    <col min="15130" max="15130" width="1.77734375" style="1" customWidth="1"/>
    <col min="15131" max="15132" width="0" style="1" hidden="1" customWidth="1"/>
    <col min="15133" max="15133" width="12.77734375" style="1" customWidth="1"/>
    <col min="15134" max="15134" width="17.88671875" style="1" customWidth="1"/>
    <col min="15135" max="15135" width="11.77734375" style="1" customWidth="1"/>
    <col min="15136" max="15136" width="12" style="1" customWidth="1"/>
    <col min="15137" max="15360" width="27.5546875" style="1"/>
    <col min="15361" max="15361" width="19.44140625" style="1" customWidth="1"/>
    <col min="15362" max="15363" width="12.77734375" style="1" customWidth="1"/>
    <col min="15364" max="15364" width="13" style="1" customWidth="1"/>
    <col min="15365" max="15366" width="12.77734375" style="1" customWidth="1"/>
    <col min="15367" max="15369" width="0" style="1" hidden="1" customWidth="1"/>
    <col min="15370" max="15378" width="12.77734375" style="1" customWidth="1"/>
    <col min="15379" max="15379" width="0" style="1" hidden="1" customWidth="1"/>
    <col min="15380" max="15383" width="12.77734375" style="1" customWidth="1"/>
    <col min="15384" max="15384" width="1.77734375" style="1" customWidth="1"/>
    <col min="15385" max="15385" width="12.77734375" style="1" customWidth="1"/>
    <col min="15386" max="15386" width="1.77734375" style="1" customWidth="1"/>
    <col min="15387" max="15388" width="0" style="1" hidden="1" customWidth="1"/>
    <col min="15389" max="15389" width="12.77734375" style="1" customWidth="1"/>
    <col min="15390" max="15390" width="17.88671875" style="1" customWidth="1"/>
    <col min="15391" max="15391" width="11.77734375" style="1" customWidth="1"/>
    <col min="15392" max="15392" width="12" style="1" customWidth="1"/>
    <col min="15393" max="15616" width="27.5546875" style="1"/>
    <col min="15617" max="15617" width="19.44140625" style="1" customWidth="1"/>
    <col min="15618" max="15619" width="12.77734375" style="1" customWidth="1"/>
    <col min="15620" max="15620" width="13" style="1" customWidth="1"/>
    <col min="15621" max="15622" width="12.77734375" style="1" customWidth="1"/>
    <col min="15623" max="15625" width="0" style="1" hidden="1" customWidth="1"/>
    <col min="15626" max="15634" width="12.77734375" style="1" customWidth="1"/>
    <col min="15635" max="15635" width="0" style="1" hidden="1" customWidth="1"/>
    <col min="15636" max="15639" width="12.77734375" style="1" customWidth="1"/>
    <col min="15640" max="15640" width="1.77734375" style="1" customWidth="1"/>
    <col min="15641" max="15641" width="12.77734375" style="1" customWidth="1"/>
    <col min="15642" max="15642" width="1.77734375" style="1" customWidth="1"/>
    <col min="15643" max="15644" width="0" style="1" hidden="1" customWidth="1"/>
    <col min="15645" max="15645" width="12.77734375" style="1" customWidth="1"/>
    <col min="15646" max="15646" width="17.88671875" style="1" customWidth="1"/>
    <col min="15647" max="15647" width="11.77734375" style="1" customWidth="1"/>
    <col min="15648" max="15648" width="12" style="1" customWidth="1"/>
    <col min="15649" max="15872" width="27.5546875" style="1"/>
    <col min="15873" max="15873" width="19.44140625" style="1" customWidth="1"/>
    <col min="15874" max="15875" width="12.77734375" style="1" customWidth="1"/>
    <col min="15876" max="15876" width="13" style="1" customWidth="1"/>
    <col min="15877" max="15878" width="12.77734375" style="1" customWidth="1"/>
    <col min="15879" max="15881" width="0" style="1" hidden="1" customWidth="1"/>
    <col min="15882" max="15890" width="12.77734375" style="1" customWidth="1"/>
    <col min="15891" max="15891" width="0" style="1" hidden="1" customWidth="1"/>
    <col min="15892" max="15895" width="12.77734375" style="1" customWidth="1"/>
    <col min="15896" max="15896" width="1.77734375" style="1" customWidth="1"/>
    <col min="15897" max="15897" width="12.77734375" style="1" customWidth="1"/>
    <col min="15898" max="15898" width="1.77734375" style="1" customWidth="1"/>
    <col min="15899" max="15900" width="0" style="1" hidden="1" customWidth="1"/>
    <col min="15901" max="15901" width="12.77734375" style="1" customWidth="1"/>
    <col min="15902" max="15902" width="17.88671875" style="1" customWidth="1"/>
    <col min="15903" max="15903" width="11.77734375" style="1" customWidth="1"/>
    <col min="15904" max="15904" width="12" style="1" customWidth="1"/>
    <col min="15905" max="16128" width="27.5546875" style="1"/>
    <col min="16129" max="16129" width="19.44140625" style="1" customWidth="1"/>
    <col min="16130" max="16131" width="12.77734375" style="1" customWidth="1"/>
    <col min="16132" max="16132" width="13" style="1" customWidth="1"/>
    <col min="16133" max="16134" width="12.77734375" style="1" customWidth="1"/>
    <col min="16135" max="16137" width="0" style="1" hidden="1" customWidth="1"/>
    <col min="16138" max="16146" width="12.77734375" style="1" customWidth="1"/>
    <col min="16147" max="16147" width="0" style="1" hidden="1" customWidth="1"/>
    <col min="16148" max="16151" width="12.77734375" style="1" customWidth="1"/>
    <col min="16152" max="16152" width="1.77734375" style="1" customWidth="1"/>
    <col min="16153" max="16153" width="12.77734375" style="1" customWidth="1"/>
    <col min="16154" max="16154" width="1.77734375" style="1" customWidth="1"/>
    <col min="16155" max="16156" width="0" style="1" hidden="1" customWidth="1"/>
    <col min="16157" max="16157" width="12.77734375" style="1" customWidth="1"/>
    <col min="16158" max="16158" width="17.88671875" style="1" customWidth="1"/>
    <col min="16159" max="16159" width="11.77734375" style="1" customWidth="1"/>
    <col min="16160" max="16160" width="12" style="1" customWidth="1"/>
    <col min="16161" max="16384" width="27.5546875" style="1"/>
  </cols>
  <sheetData>
    <row r="1" spans="1:52" ht="36.75" customHeight="1" x14ac:dyDescent="0.25">
      <c r="A1" s="191"/>
      <c r="B1" s="192"/>
      <c r="C1" s="193"/>
      <c r="D1" s="192"/>
      <c r="E1" s="192"/>
      <c r="F1" s="192"/>
      <c r="G1" s="192"/>
      <c r="H1" s="192"/>
      <c r="I1" s="192"/>
      <c r="J1" s="192"/>
      <c r="K1" s="192"/>
      <c r="M1" s="194"/>
      <c r="O1" s="192"/>
      <c r="P1" s="192"/>
      <c r="Q1" s="192"/>
      <c r="R1" s="192"/>
      <c r="S1" s="192"/>
      <c r="T1" s="192"/>
      <c r="U1" s="192"/>
      <c r="V1" s="192"/>
      <c r="W1" s="195" t="s">
        <v>94</v>
      </c>
      <c r="Y1" s="196"/>
      <c r="AA1" s="196"/>
      <c r="AC1" s="196"/>
    </row>
    <row r="2" spans="1:52" s="57" customFormat="1" ht="18" customHeight="1" x14ac:dyDescent="0.2">
      <c r="A2" s="197"/>
      <c r="B2" s="45"/>
      <c r="C2" s="45"/>
      <c r="D2" s="46"/>
      <c r="E2" s="45"/>
      <c r="F2" s="45"/>
      <c r="G2" s="45"/>
      <c r="H2" s="45"/>
      <c r="I2" s="45"/>
      <c r="J2" s="45"/>
      <c r="K2" s="45"/>
      <c r="M2" s="198"/>
      <c r="N2" s="58"/>
      <c r="O2" s="45"/>
      <c r="P2" s="45"/>
      <c r="Q2" s="45"/>
      <c r="R2" s="45"/>
      <c r="S2" s="45"/>
      <c r="T2" s="45"/>
      <c r="U2" s="45"/>
      <c r="V2" s="45"/>
      <c r="W2" s="199"/>
      <c r="Y2" s="199"/>
      <c r="AA2" s="199"/>
      <c r="AC2" s="199"/>
    </row>
    <row r="3" spans="1:52" ht="21" customHeight="1" x14ac:dyDescent="0.2">
      <c r="A3" s="200"/>
      <c r="B3" s="192"/>
      <c r="C3" s="192"/>
      <c r="D3" s="200"/>
      <c r="E3" s="192"/>
      <c r="F3" s="12"/>
      <c r="G3" s="192"/>
      <c r="H3" s="192"/>
      <c r="I3" s="12"/>
      <c r="J3" s="192"/>
      <c r="K3" s="192"/>
      <c r="M3" s="201"/>
      <c r="N3" s="54"/>
      <c r="O3" s="192"/>
      <c r="P3" s="192"/>
      <c r="Q3" s="192"/>
      <c r="R3" s="192"/>
      <c r="S3" s="192"/>
      <c r="T3" s="192"/>
      <c r="U3" s="192"/>
      <c r="V3" s="192"/>
      <c r="W3" s="199"/>
      <c r="Y3" s="199"/>
      <c r="AA3" s="199"/>
      <c r="AC3" s="199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192"/>
      <c r="B5" s="192"/>
      <c r="C5" s="192"/>
      <c r="D5" s="192"/>
      <c r="E5" s="1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49"/>
      <c r="Y5" s="13"/>
      <c r="AA5" s="13"/>
      <c r="AC5" s="13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202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202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203"/>
      <c r="T8" s="245" t="s">
        <v>62</v>
      </c>
      <c r="U8" s="83" t="s">
        <v>61</v>
      </c>
      <c r="V8" s="202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13"/>
      <c r="AE8" s="13"/>
      <c r="AF8" s="24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202" t="s">
        <v>51</v>
      </c>
      <c r="O9" s="83" t="s">
        <v>50</v>
      </c>
      <c r="P9" s="251"/>
      <c r="Q9" s="83"/>
      <c r="R9" s="83" t="s">
        <v>49</v>
      </c>
      <c r="S9" s="202"/>
      <c r="T9" s="246"/>
      <c r="U9" s="83" t="s">
        <v>48</v>
      </c>
      <c r="V9" s="202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24"/>
      <c r="AE9" s="24"/>
      <c r="AF9" s="24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839309.603</v>
      </c>
      <c r="C10" s="40">
        <v>192716.54382612818</v>
      </c>
      <c r="D10" s="76">
        <f>B10+C10</f>
        <v>1032026.1468261282</v>
      </c>
      <c r="E10" s="40">
        <v>35.008399999999995</v>
      </c>
      <c r="F10" s="76">
        <f>D10+E10</f>
        <v>1032061.1552261283</v>
      </c>
      <c r="G10" s="40">
        <v>0</v>
      </c>
      <c r="H10" s="40">
        <v>0</v>
      </c>
      <c r="I10" s="40">
        <v>0</v>
      </c>
      <c r="J10" s="40">
        <v>6692.5873000000001</v>
      </c>
      <c r="K10" s="40">
        <v>1593.3093999999999</v>
      </c>
      <c r="L10" s="40">
        <v>0</v>
      </c>
      <c r="M10" s="40">
        <v>16001.204400000001</v>
      </c>
      <c r="N10" s="40">
        <v>2725.1386000000002</v>
      </c>
      <c r="O10" s="40">
        <v>5608.2262000000001</v>
      </c>
      <c r="P10" s="40">
        <v>0</v>
      </c>
      <c r="Q10" s="40">
        <v>8783.6600999999991</v>
      </c>
      <c r="R10" s="40">
        <v>0</v>
      </c>
      <c r="S10" s="40">
        <v>0</v>
      </c>
      <c r="T10" s="40">
        <v>0</v>
      </c>
      <c r="U10" s="40">
        <v>0</v>
      </c>
      <c r="V10" s="40">
        <v>5052.3702999999996</v>
      </c>
      <c r="W10" s="76">
        <f t="shared" ref="W10:W32" si="0">SUM(F10:V10)</f>
        <v>1078517.6515261282</v>
      </c>
      <c r="X10" s="36"/>
      <c r="Y10" s="42">
        <v>102603.82281299999</v>
      </c>
      <c r="Z10" s="38"/>
      <c r="AA10" s="109">
        <v>0</v>
      </c>
      <c r="AB10" s="36"/>
      <c r="AC10" s="76">
        <f>+W10+Y10+AA10</f>
        <v>1181121.4743391282</v>
      </c>
      <c r="AD10" s="29"/>
      <c r="AE10" s="25"/>
      <c r="AF10" s="113"/>
      <c r="AG10" s="129"/>
      <c r="AH10" s="130"/>
      <c r="AI10" s="129"/>
      <c r="AJ10" s="129"/>
      <c r="AK10" s="129"/>
      <c r="AL10" s="129"/>
      <c r="AM10" s="129"/>
      <c r="AN10" s="129"/>
      <c r="AO10" s="129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120441.78709999999</v>
      </c>
      <c r="C11" s="40">
        <v>9000.0193712300425</v>
      </c>
      <c r="D11" s="76">
        <f t="shared" ref="D11:D32" si="1">B11+C11</f>
        <v>129441.80647123003</v>
      </c>
      <c r="E11" s="40">
        <v>1.7832999999999999</v>
      </c>
      <c r="F11" s="76">
        <f t="shared" ref="F11:F32" si="2">D11+E11</f>
        <v>129443.58977123002</v>
      </c>
      <c r="G11" s="40">
        <v>0</v>
      </c>
      <c r="H11" s="40">
        <v>0</v>
      </c>
      <c r="I11" s="40">
        <v>0</v>
      </c>
      <c r="J11" s="40">
        <v>839.41730000000007</v>
      </c>
      <c r="K11" s="40">
        <v>0</v>
      </c>
      <c r="L11" s="40">
        <v>0</v>
      </c>
      <c r="M11" s="40">
        <v>0</v>
      </c>
      <c r="N11" s="40">
        <v>341.80559999999997</v>
      </c>
      <c r="O11" s="40">
        <v>588.18369999999993</v>
      </c>
      <c r="P11" s="40">
        <v>0</v>
      </c>
      <c r="Q11" s="40">
        <v>1272.1163000000001</v>
      </c>
      <c r="R11" s="40">
        <v>0</v>
      </c>
      <c r="S11" s="40">
        <v>0</v>
      </c>
      <c r="T11" s="40">
        <v>0</v>
      </c>
      <c r="U11" s="40">
        <v>2.2000000000000002</v>
      </c>
      <c r="V11" s="40">
        <v>633.7029</v>
      </c>
      <c r="W11" s="76">
        <f t="shared" si="0"/>
        <v>133121.01557123003</v>
      </c>
      <c r="X11" s="36"/>
      <c r="Y11" s="42">
        <v>1050.6581059999999</v>
      </c>
      <c r="Z11" s="38"/>
      <c r="AA11" s="43">
        <v>0</v>
      </c>
      <c r="AB11" s="36"/>
      <c r="AC11" s="76">
        <f t="shared" ref="AC11:AC38" si="3">+W11+Y11+AA11</f>
        <v>134171.67367723002</v>
      </c>
      <c r="AD11" s="29"/>
      <c r="AE11" s="25"/>
      <c r="AF11" s="113"/>
      <c r="AG11" s="129"/>
      <c r="AH11" s="130"/>
      <c r="AI11" s="129"/>
      <c r="AJ11" s="129"/>
      <c r="AK11" s="129"/>
      <c r="AL11" s="129"/>
      <c r="AM11" s="129"/>
      <c r="AN11" s="129"/>
      <c r="AO11" s="129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375891.32910000003</v>
      </c>
      <c r="C12" s="40">
        <v>41400.089107590335</v>
      </c>
      <c r="D12" s="76">
        <f t="shared" si="1"/>
        <v>417291.41820759035</v>
      </c>
      <c r="E12" s="40">
        <v>10.441700000000001</v>
      </c>
      <c r="F12" s="76">
        <f>D12+E12</f>
        <v>417301.85990759038</v>
      </c>
      <c r="G12" s="40">
        <v>0</v>
      </c>
      <c r="H12" s="40">
        <v>0</v>
      </c>
      <c r="I12" s="40">
        <v>0</v>
      </c>
      <c r="J12" s="40">
        <v>2706.0934999999999</v>
      </c>
      <c r="K12" s="40">
        <v>544.12199999999996</v>
      </c>
      <c r="L12" s="40">
        <v>0</v>
      </c>
      <c r="M12" s="40">
        <v>5464.48</v>
      </c>
      <c r="N12" s="40">
        <v>1101.8946000000001</v>
      </c>
      <c r="O12" s="40">
        <v>3075.4987000000001</v>
      </c>
      <c r="P12" s="40">
        <v>0</v>
      </c>
      <c r="Q12" s="40">
        <v>3422.5986000000003</v>
      </c>
      <c r="R12" s="40">
        <v>0</v>
      </c>
      <c r="S12" s="40">
        <v>0</v>
      </c>
      <c r="T12" s="40">
        <v>0</v>
      </c>
      <c r="U12" s="40">
        <v>0.5</v>
      </c>
      <c r="V12" s="40">
        <v>2042.8977</v>
      </c>
      <c r="W12" s="76">
        <f t="shared" si="0"/>
        <v>435659.94500759034</v>
      </c>
      <c r="X12" s="36"/>
      <c r="Y12" s="42">
        <v>5404.1948890000003</v>
      </c>
      <c r="Z12" s="38"/>
      <c r="AA12" s="43">
        <v>0</v>
      </c>
      <c r="AB12" s="36"/>
      <c r="AC12" s="76">
        <f t="shared" si="3"/>
        <v>441064.13989659032</v>
      </c>
      <c r="AD12" s="29"/>
      <c r="AE12" s="25"/>
      <c r="AF12" s="113"/>
      <c r="AG12" s="129"/>
      <c r="AH12" s="130"/>
      <c r="AI12" s="129"/>
      <c r="AJ12" s="129"/>
      <c r="AK12" s="129"/>
      <c r="AL12" s="129"/>
      <c r="AM12" s="129"/>
      <c r="AN12" s="129"/>
      <c r="AO12" s="129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155830.17110000001</v>
      </c>
      <c r="C13" s="40">
        <v>18871.008358910189</v>
      </c>
      <c r="D13" s="76">
        <f t="shared" si="1"/>
        <v>174701.17945891019</v>
      </c>
      <c r="E13" s="40">
        <v>3.2166999999999999</v>
      </c>
      <c r="F13" s="76">
        <f t="shared" si="2"/>
        <v>174704.39615891018</v>
      </c>
      <c r="G13" s="40">
        <v>0</v>
      </c>
      <c r="H13" s="40">
        <v>0</v>
      </c>
      <c r="I13" s="40">
        <v>0</v>
      </c>
      <c r="J13" s="40">
        <v>1132.9198000000001</v>
      </c>
      <c r="K13" s="40">
        <v>173.98500000000001</v>
      </c>
      <c r="L13" s="40">
        <v>0</v>
      </c>
      <c r="M13" s="40">
        <v>1747.2874999999999</v>
      </c>
      <c r="N13" s="40">
        <v>461.31329999999997</v>
      </c>
      <c r="O13" s="40">
        <v>749.73410000000001</v>
      </c>
      <c r="P13" s="40">
        <v>0</v>
      </c>
      <c r="Q13" s="40">
        <v>2998.5598</v>
      </c>
      <c r="R13" s="40">
        <v>0</v>
      </c>
      <c r="S13" s="40">
        <v>0</v>
      </c>
      <c r="T13" s="40">
        <v>0</v>
      </c>
      <c r="U13" s="40">
        <v>1.5</v>
      </c>
      <c r="V13" s="40">
        <v>855.26869999999997</v>
      </c>
      <c r="W13" s="76">
        <f t="shared" si="0"/>
        <v>182824.96435891016</v>
      </c>
      <c r="X13" s="36"/>
      <c r="Y13" s="42">
        <v>5929.6911879999998</v>
      </c>
      <c r="Z13" s="38"/>
      <c r="AA13" s="43">
        <v>0</v>
      </c>
      <c r="AB13" s="36"/>
      <c r="AC13" s="76">
        <f t="shared" si="3"/>
        <v>188754.65554691016</v>
      </c>
      <c r="AD13" s="29"/>
      <c r="AE13" s="25"/>
      <c r="AF13" s="113"/>
      <c r="AG13" s="129"/>
      <c r="AH13" s="130"/>
      <c r="AI13" s="129"/>
      <c r="AJ13" s="129"/>
      <c r="AK13" s="129"/>
      <c r="AL13" s="129"/>
      <c r="AM13" s="129"/>
      <c r="AN13" s="129"/>
      <c r="AO13" s="129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213366.08689999999</v>
      </c>
      <c r="C14" s="40">
        <v>21077.464720980042</v>
      </c>
      <c r="D14" s="76">
        <f t="shared" si="1"/>
        <v>234443.55162098003</v>
      </c>
      <c r="E14" s="40">
        <v>2.8</v>
      </c>
      <c r="F14" s="76">
        <f t="shared" si="2"/>
        <v>234446.35162098001</v>
      </c>
      <c r="G14" s="40">
        <v>0</v>
      </c>
      <c r="H14" s="40">
        <v>0</v>
      </c>
      <c r="I14" s="40">
        <v>0</v>
      </c>
      <c r="J14" s="40">
        <v>1520.3432</v>
      </c>
      <c r="K14" s="40">
        <v>136.78179999999998</v>
      </c>
      <c r="L14" s="40">
        <v>0</v>
      </c>
      <c r="M14" s="40">
        <v>1373.6647</v>
      </c>
      <c r="N14" s="40">
        <v>619.07259999999997</v>
      </c>
      <c r="O14" s="40">
        <v>776.93680000000006</v>
      </c>
      <c r="P14" s="40">
        <v>0</v>
      </c>
      <c r="Q14" s="40">
        <v>2786.5403999999999</v>
      </c>
      <c r="R14" s="40">
        <v>0</v>
      </c>
      <c r="S14" s="40">
        <v>0</v>
      </c>
      <c r="T14" s="40">
        <v>0</v>
      </c>
      <c r="U14" s="40">
        <v>0.5</v>
      </c>
      <c r="V14" s="40">
        <v>1147.7523000000001</v>
      </c>
      <c r="W14" s="76">
        <f t="shared" si="0"/>
        <v>242807.94342098001</v>
      </c>
      <c r="X14" s="36"/>
      <c r="Y14" s="42">
        <v>7278.7439020000002</v>
      </c>
      <c r="Z14" s="38"/>
      <c r="AA14" s="43">
        <v>0</v>
      </c>
      <c r="AB14" s="36"/>
      <c r="AC14" s="76">
        <f t="shared" si="3"/>
        <v>250086.68732298</v>
      </c>
      <c r="AD14" s="29"/>
      <c r="AE14" s="25"/>
      <c r="AF14" s="113"/>
      <c r="AG14" s="129"/>
      <c r="AH14" s="130"/>
      <c r="AI14" s="129"/>
      <c r="AJ14" s="129"/>
      <c r="AK14" s="129"/>
      <c r="AL14" s="129"/>
      <c r="AM14" s="129"/>
      <c r="AN14" s="129"/>
      <c r="AO14" s="129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65671.777199999997</v>
      </c>
      <c r="C15" s="40">
        <v>8651.6315246499471</v>
      </c>
      <c r="D15" s="76">
        <f t="shared" si="1"/>
        <v>74323.40872464994</v>
      </c>
      <c r="E15" s="40">
        <v>2.0167000000000002</v>
      </c>
      <c r="F15" s="76">
        <f t="shared" si="2"/>
        <v>74325.425424649933</v>
      </c>
      <c r="G15" s="40">
        <v>0</v>
      </c>
      <c r="H15" s="40">
        <v>0</v>
      </c>
      <c r="I15" s="40">
        <v>0</v>
      </c>
      <c r="J15" s="40">
        <v>481.97990000000004</v>
      </c>
      <c r="K15" s="40">
        <v>53.506500000000003</v>
      </c>
      <c r="L15" s="40">
        <v>0</v>
      </c>
      <c r="M15" s="40">
        <v>537.3519</v>
      </c>
      <c r="N15" s="40">
        <v>196.26170000000002</v>
      </c>
      <c r="O15" s="40">
        <v>660.56640000000004</v>
      </c>
      <c r="P15" s="40">
        <v>0</v>
      </c>
      <c r="Q15" s="40">
        <v>1938.4629</v>
      </c>
      <c r="R15" s="40">
        <v>0</v>
      </c>
      <c r="S15" s="40">
        <v>0</v>
      </c>
      <c r="T15" s="40">
        <v>0</v>
      </c>
      <c r="U15" s="40">
        <v>3</v>
      </c>
      <c r="V15" s="40">
        <v>363.86649999999997</v>
      </c>
      <c r="W15" s="76">
        <f t="shared" si="0"/>
        <v>78560.421224649937</v>
      </c>
      <c r="X15" s="36"/>
      <c r="Y15" s="42">
        <v>1447.829837</v>
      </c>
      <c r="Z15" s="38"/>
      <c r="AA15" s="43">
        <v>0</v>
      </c>
      <c r="AB15" s="36"/>
      <c r="AC15" s="76">
        <f t="shared" si="3"/>
        <v>80008.251061649935</v>
      </c>
      <c r="AD15" s="29"/>
      <c r="AE15" s="25"/>
      <c r="AF15" s="113"/>
      <c r="AG15" s="129"/>
      <c r="AH15" s="130"/>
      <c r="AI15" s="129"/>
      <c r="AJ15" s="129"/>
      <c r="AK15" s="129"/>
      <c r="AL15" s="129"/>
      <c r="AM15" s="129"/>
      <c r="AN15" s="129"/>
      <c r="AO15" s="129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211290.788</v>
      </c>
      <c r="C16" s="40">
        <v>18174.232665750002</v>
      </c>
      <c r="D16" s="76">
        <f t="shared" si="1"/>
        <v>229465.02066574999</v>
      </c>
      <c r="E16" s="40">
        <v>5.6249000000000002</v>
      </c>
      <c r="F16" s="76">
        <f t="shared" si="2"/>
        <v>229470.64556574999</v>
      </c>
      <c r="G16" s="40">
        <v>0</v>
      </c>
      <c r="H16" s="40">
        <v>0</v>
      </c>
      <c r="I16" s="40">
        <v>0</v>
      </c>
      <c r="J16" s="40">
        <v>1488.0579</v>
      </c>
      <c r="K16" s="40">
        <v>236.137</v>
      </c>
      <c r="L16" s="40">
        <v>0</v>
      </c>
      <c r="M16" s="40">
        <v>2371.4641000000001</v>
      </c>
      <c r="N16" s="40">
        <v>605.91660000000002</v>
      </c>
      <c r="O16" s="40">
        <v>1025.4086</v>
      </c>
      <c r="P16" s="40">
        <v>0</v>
      </c>
      <c r="Q16" s="40">
        <v>2362.5017000000003</v>
      </c>
      <c r="R16" s="40">
        <v>0</v>
      </c>
      <c r="S16" s="40">
        <v>0</v>
      </c>
      <c r="T16" s="40">
        <v>0</v>
      </c>
      <c r="U16" s="40">
        <v>1.8</v>
      </c>
      <c r="V16" s="40">
        <v>1123.3612000000001</v>
      </c>
      <c r="W16" s="76">
        <f t="shared" si="0"/>
        <v>238685.29266574999</v>
      </c>
      <c r="X16" s="36"/>
      <c r="Y16" s="42">
        <v>3615.16662</v>
      </c>
      <c r="Z16" s="38"/>
      <c r="AA16" s="43">
        <v>0</v>
      </c>
      <c r="AB16" s="36"/>
      <c r="AC16" s="76">
        <f t="shared" si="3"/>
        <v>242300.45928575</v>
      </c>
      <c r="AD16" s="29"/>
      <c r="AE16" s="25"/>
      <c r="AF16" s="113"/>
      <c r="AG16" s="129"/>
      <c r="AH16" s="130"/>
      <c r="AI16" s="129"/>
      <c r="AJ16" s="129"/>
      <c r="AK16" s="129"/>
      <c r="AL16" s="129"/>
      <c r="AM16" s="129"/>
      <c r="AN16" s="129"/>
      <c r="AO16" s="129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158770.72569999998</v>
      </c>
      <c r="C17" s="40">
        <v>12309.70391425</v>
      </c>
      <c r="D17" s="76">
        <f t="shared" si="1"/>
        <v>171080.42961424997</v>
      </c>
      <c r="E17" s="40">
        <v>1.7251000000000001</v>
      </c>
      <c r="F17" s="76">
        <f t="shared" si="2"/>
        <v>171082.15471424998</v>
      </c>
      <c r="G17" s="40">
        <v>0</v>
      </c>
      <c r="H17" s="40">
        <v>0</v>
      </c>
      <c r="I17" s="40">
        <v>0</v>
      </c>
      <c r="J17" s="40">
        <v>1109.4396000000002</v>
      </c>
      <c r="K17" s="40">
        <v>63.715600000000002</v>
      </c>
      <c r="L17" s="40">
        <v>0</v>
      </c>
      <c r="M17" s="40">
        <v>639.87980000000005</v>
      </c>
      <c r="N17" s="40">
        <v>451.75670000000002</v>
      </c>
      <c r="O17" s="40">
        <v>533.51589999999999</v>
      </c>
      <c r="P17" s="40">
        <v>0</v>
      </c>
      <c r="Q17" s="40">
        <v>2423.0787</v>
      </c>
      <c r="R17" s="40">
        <v>0</v>
      </c>
      <c r="S17" s="40">
        <v>0</v>
      </c>
      <c r="T17" s="40">
        <v>0</v>
      </c>
      <c r="U17" s="40">
        <v>2.2000000000000002</v>
      </c>
      <c r="V17" s="40">
        <v>837.55090000000007</v>
      </c>
      <c r="W17" s="76">
        <f t="shared" si="0"/>
        <v>177143.29191425</v>
      </c>
      <c r="X17" s="36"/>
      <c r="Y17" s="42">
        <v>3705.1340879999998</v>
      </c>
      <c r="Z17" s="38"/>
      <c r="AA17" s="43">
        <v>0</v>
      </c>
      <c r="AB17" s="36"/>
      <c r="AC17" s="76">
        <f t="shared" si="3"/>
        <v>180848.42600224999</v>
      </c>
      <c r="AD17" s="29"/>
      <c r="AE17" s="25"/>
      <c r="AF17" s="113"/>
      <c r="AG17" s="129"/>
      <c r="AH17" s="130"/>
      <c r="AI17" s="129"/>
      <c r="AJ17" s="129"/>
      <c r="AK17" s="129"/>
      <c r="AL17" s="129"/>
      <c r="AM17" s="129"/>
      <c r="AN17" s="129"/>
      <c r="AO17" s="129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121728.0279</v>
      </c>
      <c r="C18" s="40">
        <v>11787.122144210083</v>
      </c>
      <c r="D18" s="76">
        <f t="shared" si="1"/>
        <v>133515.15004421008</v>
      </c>
      <c r="E18" s="40">
        <v>2.7749999999999999</v>
      </c>
      <c r="F18" s="76">
        <f t="shared" si="2"/>
        <v>133517.92504421007</v>
      </c>
      <c r="G18" s="40">
        <v>0</v>
      </c>
      <c r="H18" s="40">
        <v>0</v>
      </c>
      <c r="I18" s="40">
        <v>0</v>
      </c>
      <c r="J18" s="40">
        <v>865.83249999999998</v>
      </c>
      <c r="K18" s="40">
        <v>0</v>
      </c>
      <c r="L18" s="40">
        <v>0</v>
      </c>
      <c r="M18" s="40">
        <v>0</v>
      </c>
      <c r="N18" s="40">
        <v>352.55359999999996</v>
      </c>
      <c r="O18" s="40">
        <v>545.95580000000007</v>
      </c>
      <c r="P18" s="40">
        <v>0</v>
      </c>
      <c r="Q18" s="40">
        <v>1817.309</v>
      </c>
      <c r="R18" s="40">
        <v>0</v>
      </c>
      <c r="S18" s="40">
        <v>0</v>
      </c>
      <c r="T18" s="40">
        <v>0</v>
      </c>
      <c r="U18" s="40">
        <v>2.2000000000000002</v>
      </c>
      <c r="V18" s="40">
        <v>653.62959999999998</v>
      </c>
      <c r="W18" s="76">
        <f t="shared" si="0"/>
        <v>137755.40554421008</v>
      </c>
      <c r="X18" s="36"/>
      <c r="Y18" s="42">
        <v>3516.9533190000002</v>
      </c>
      <c r="Z18" s="38"/>
      <c r="AA18" s="43">
        <v>0</v>
      </c>
      <c r="AB18" s="36"/>
      <c r="AC18" s="76">
        <f t="shared" si="3"/>
        <v>141272.35886321007</v>
      </c>
      <c r="AD18" s="29"/>
      <c r="AE18" s="25"/>
      <c r="AF18" s="113"/>
      <c r="AG18" s="129"/>
      <c r="AH18" s="130"/>
      <c r="AI18" s="129"/>
      <c r="AJ18" s="129"/>
      <c r="AK18" s="129"/>
      <c r="AL18" s="129"/>
      <c r="AM18" s="129"/>
      <c r="AN18" s="129"/>
      <c r="AO18" s="129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83820.905400000003</v>
      </c>
      <c r="C19" s="40">
        <v>6154.8519570400467</v>
      </c>
      <c r="D19" s="76">
        <f t="shared" si="1"/>
        <v>89975.757357040056</v>
      </c>
      <c r="E19" s="40">
        <v>1.6</v>
      </c>
      <c r="F19" s="76">
        <f t="shared" si="2"/>
        <v>89977.357357040062</v>
      </c>
      <c r="G19" s="40">
        <v>0</v>
      </c>
      <c r="H19" s="40">
        <v>0</v>
      </c>
      <c r="I19" s="40">
        <v>0</v>
      </c>
      <c r="J19" s="40">
        <v>583.41680000000008</v>
      </c>
      <c r="K19" s="40">
        <v>46.985900000000001</v>
      </c>
      <c r="L19" s="40">
        <v>1.5699999999999998E-6</v>
      </c>
      <c r="M19" s="40">
        <v>471.9579</v>
      </c>
      <c r="N19" s="40">
        <v>237.55970000000002</v>
      </c>
      <c r="O19" s="40">
        <v>688.19859999999994</v>
      </c>
      <c r="P19" s="40">
        <v>0</v>
      </c>
      <c r="Q19" s="40">
        <v>1235.0060000000001</v>
      </c>
      <c r="R19" s="40">
        <v>0</v>
      </c>
      <c r="S19" s="40">
        <v>0</v>
      </c>
      <c r="T19" s="40">
        <v>0</v>
      </c>
      <c r="U19" s="40">
        <v>2.5</v>
      </c>
      <c r="V19" s="40">
        <v>440.43200000000002</v>
      </c>
      <c r="W19" s="76">
        <f t="shared" si="0"/>
        <v>93683.414258610064</v>
      </c>
      <c r="X19" s="36"/>
      <c r="Y19" s="42">
        <v>0</v>
      </c>
      <c r="Z19" s="38"/>
      <c r="AA19" s="43">
        <v>0</v>
      </c>
      <c r="AB19" s="36"/>
      <c r="AC19" s="76">
        <f t="shared" si="3"/>
        <v>93683.414258610064</v>
      </c>
      <c r="AD19" s="29"/>
      <c r="AE19" s="25"/>
      <c r="AF19" s="113"/>
      <c r="AG19" s="129"/>
      <c r="AH19" s="130"/>
      <c r="AI19" s="129"/>
      <c r="AJ19" s="129"/>
      <c r="AK19" s="129"/>
      <c r="AL19" s="129"/>
      <c r="AM19" s="129"/>
      <c r="AN19" s="129"/>
      <c r="AO19" s="129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90281.830199999997</v>
      </c>
      <c r="C20" s="40">
        <v>7025.8215736600341</v>
      </c>
      <c r="D20" s="76">
        <f t="shared" si="1"/>
        <v>97307.651773660036</v>
      </c>
      <c r="E20" s="40">
        <v>1.6916</v>
      </c>
      <c r="F20" s="76">
        <f t="shared" si="2"/>
        <v>97309.343373660042</v>
      </c>
      <c r="G20" s="40">
        <v>0</v>
      </c>
      <c r="H20" s="40">
        <v>0</v>
      </c>
      <c r="I20" s="40">
        <v>0</v>
      </c>
      <c r="J20" s="40">
        <v>631.03049999999996</v>
      </c>
      <c r="K20" s="40">
        <v>0</v>
      </c>
      <c r="L20" s="40">
        <v>0</v>
      </c>
      <c r="M20" s="40">
        <v>0</v>
      </c>
      <c r="N20" s="40">
        <v>256.94990000000001</v>
      </c>
      <c r="O20" s="40">
        <v>533.51159999999993</v>
      </c>
      <c r="P20" s="40">
        <v>0</v>
      </c>
      <c r="Q20" s="40">
        <v>1211.5393000000001</v>
      </c>
      <c r="R20" s="40">
        <v>0</v>
      </c>
      <c r="S20" s="40">
        <v>0</v>
      </c>
      <c r="T20" s="40">
        <v>0</v>
      </c>
      <c r="U20" s="40">
        <v>2.2000000000000002</v>
      </c>
      <c r="V20" s="40">
        <v>476.38159999999999</v>
      </c>
      <c r="W20" s="76">
        <f t="shared" si="0"/>
        <v>100420.95627366003</v>
      </c>
      <c r="X20" s="36"/>
      <c r="Y20" s="42">
        <v>1216.7201580000001</v>
      </c>
      <c r="Z20" s="38"/>
      <c r="AA20" s="43">
        <v>0</v>
      </c>
      <c r="AB20" s="36"/>
      <c r="AC20" s="76">
        <f t="shared" si="3"/>
        <v>101637.67643166003</v>
      </c>
      <c r="AD20" s="29"/>
      <c r="AE20" s="25"/>
      <c r="AF20" s="113"/>
      <c r="AG20" s="129"/>
      <c r="AH20" s="130"/>
      <c r="AI20" s="129"/>
      <c r="AJ20" s="129"/>
      <c r="AK20" s="129"/>
      <c r="AL20" s="129"/>
      <c r="AM20" s="129"/>
      <c r="AN20" s="129"/>
      <c r="AO20" s="129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169437.54369999998</v>
      </c>
      <c r="C21" s="40">
        <v>26535.540984859774</v>
      </c>
      <c r="D21" s="76">
        <f t="shared" si="1"/>
        <v>195973.08468485976</v>
      </c>
      <c r="E21" s="40">
        <v>5.1416000000000004</v>
      </c>
      <c r="F21" s="76">
        <f t="shared" si="2"/>
        <v>195978.22628485976</v>
      </c>
      <c r="G21" s="40">
        <v>0</v>
      </c>
      <c r="H21" s="40">
        <v>0</v>
      </c>
      <c r="I21" s="40">
        <v>0</v>
      </c>
      <c r="J21" s="40">
        <v>1270.866</v>
      </c>
      <c r="K21" s="40">
        <v>0</v>
      </c>
      <c r="L21" s="40">
        <v>0</v>
      </c>
      <c r="M21" s="40">
        <v>0</v>
      </c>
      <c r="N21" s="40">
        <v>517.48659999999995</v>
      </c>
      <c r="O21" s="40">
        <v>1080.6639</v>
      </c>
      <c r="P21" s="40">
        <v>0</v>
      </c>
      <c r="Q21" s="40">
        <v>2423.0787</v>
      </c>
      <c r="R21" s="40">
        <v>0</v>
      </c>
      <c r="S21" s="40">
        <v>0</v>
      </c>
      <c r="T21" s="40">
        <v>0</v>
      </c>
      <c r="U21" s="40">
        <v>2.2000000000000002</v>
      </c>
      <c r="V21" s="40">
        <v>959.41319999999996</v>
      </c>
      <c r="W21" s="76">
        <f t="shared" si="0"/>
        <v>202231.93468485982</v>
      </c>
      <c r="X21" s="36"/>
      <c r="Y21" s="42">
        <v>5155.6989869999998</v>
      </c>
      <c r="Z21" s="38"/>
      <c r="AA21" s="43">
        <v>0</v>
      </c>
      <c r="AB21" s="36"/>
      <c r="AC21" s="76">
        <f t="shared" si="3"/>
        <v>207387.63367185983</v>
      </c>
      <c r="AD21" s="29"/>
      <c r="AE21" s="25"/>
      <c r="AF21" s="113"/>
      <c r="AG21" s="129"/>
      <c r="AH21" s="130"/>
      <c r="AI21" s="129"/>
      <c r="AJ21" s="129"/>
      <c r="AK21" s="129"/>
      <c r="AL21" s="129"/>
      <c r="AM21" s="129"/>
      <c r="AN21" s="129"/>
      <c r="AO21" s="129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132884.7622</v>
      </c>
      <c r="C22" s="40">
        <v>22354.886825220063</v>
      </c>
      <c r="D22" s="76">
        <f t="shared" si="1"/>
        <v>155239.64902522007</v>
      </c>
      <c r="E22" s="40">
        <v>2.8416999999999999</v>
      </c>
      <c r="F22" s="76">
        <f t="shared" si="2"/>
        <v>155242.49072522006</v>
      </c>
      <c r="G22" s="40">
        <v>0</v>
      </c>
      <c r="H22" s="40">
        <v>0</v>
      </c>
      <c r="I22" s="40">
        <v>0</v>
      </c>
      <c r="J22" s="40">
        <v>1006.7136999999999</v>
      </c>
      <c r="K22" s="40">
        <v>74.699600000000004</v>
      </c>
      <c r="L22" s="40">
        <v>0</v>
      </c>
      <c r="M22" s="40">
        <v>750.18949999999995</v>
      </c>
      <c r="N22" s="40">
        <v>409.91829999999999</v>
      </c>
      <c r="O22" s="40">
        <v>766.37180000000001</v>
      </c>
      <c r="P22" s="40">
        <v>0</v>
      </c>
      <c r="Q22" s="40">
        <v>2847.1174000000001</v>
      </c>
      <c r="R22" s="40">
        <v>0</v>
      </c>
      <c r="S22" s="40">
        <v>0</v>
      </c>
      <c r="T22" s="40">
        <v>0</v>
      </c>
      <c r="U22" s="40">
        <v>2.2000000000000002</v>
      </c>
      <c r="V22" s="40">
        <v>759.98309999999992</v>
      </c>
      <c r="W22" s="76">
        <f t="shared" si="0"/>
        <v>161859.68412522005</v>
      </c>
      <c r="X22" s="36"/>
      <c r="Y22" s="42">
        <v>6592.7548530000004</v>
      </c>
      <c r="Z22" s="38"/>
      <c r="AA22" s="43">
        <v>0</v>
      </c>
      <c r="AB22" s="36"/>
      <c r="AC22" s="76">
        <f t="shared" si="3"/>
        <v>168452.43897822005</v>
      </c>
      <c r="AD22" s="29"/>
      <c r="AE22" s="25"/>
      <c r="AF22" s="113"/>
      <c r="AG22" s="129"/>
      <c r="AH22" s="130"/>
      <c r="AI22" s="129"/>
      <c r="AJ22" s="129"/>
      <c r="AK22" s="129"/>
      <c r="AL22" s="129"/>
      <c r="AM22" s="129"/>
      <c r="AN22" s="129"/>
      <c r="AO22" s="129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71751.983999999997</v>
      </c>
      <c r="C23" s="40">
        <v>9812.9243466399676</v>
      </c>
      <c r="D23" s="76">
        <f t="shared" si="1"/>
        <v>81564.908346639961</v>
      </c>
      <c r="E23" s="40">
        <v>1.4499</v>
      </c>
      <c r="F23" s="76">
        <f t="shared" si="2"/>
        <v>81566.358246639968</v>
      </c>
      <c r="G23" s="40">
        <v>0</v>
      </c>
      <c r="H23" s="40">
        <v>0</v>
      </c>
      <c r="I23" s="40">
        <v>0</v>
      </c>
      <c r="J23" s="40">
        <v>528.94030000000009</v>
      </c>
      <c r="K23" s="40">
        <v>33.594499999999996</v>
      </c>
      <c r="L23" s="40">
        <v>0</v>
      </c>
      <c r="M23" s="40">
        <v>337.38119999999998</v>
      </c>
      <c r="N23" s="40">
        <v>215.3749</v>
      </c>
      <c r="O23" s="40">
        <v>822.45460000000003</v>
      </c>
      <c r="P23" s="40">
        <v>0</v>
      </c>
      <c r="Q23" s="40">
        <v>2604.8094999999998</v>
      </c>
      <c r="R23" s="40">
        <v>0</v>
      </c>
      <c r="S23" s="40">
        <v>0</v>
      </c>
      <c r="T23" s="40">
        <v>0</v>
      </c>
      <c r="U23" s="40">
        <v>2.5</v>
      </c>
      <c r="V23" s="40">
        <v>399.3021</v>
      </c>
      <c r="W23" s="76">
        <f t="shared" si="0"/>
        <v>86510.715346639976</v>
      </c>
      <c r="X23" s="36"/>
      <c r="Y23" s="42">
        <v>1909.0604410000001</v>
      </c>
      <c r="Z23" s="38"/>
      <c r="AA23" s="43">
        <v>0</v>
      </c>
      <c r="AB23" s="36"/>
      <c r="AC23" s="76">
        <f t="shared" si="3"/>
        <v>88419.77578763997</v>
      </c>
      <c r="AD23" s="29"/>
      <c r="AE23" s="25"/>
      <c r="AF23" s="113"/>
      <c r="AG23" s="129"/>
      <c r="AH23" s="130"/>
      <c r="AI23" s="129"/>
      <c r="AJ23" s="129"/>
      <c r="AK23" s="129"/>
      <c r="AL23" s="129"/>
      <c r="AM23" s="129"/>
      <c r="AN23" s="129"/>
      <c r="AO23" s="129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107953.7277</v>
      </c>
      <c r="C24" s="40">
        <v>10625.829322220063</v>
      </c>
      <c r="D24" s="76">
        <f t="shared" si="1"/>
        <v>118579.55702222006</v>
      </c>
      <c r="E24" s="40">
        <v>1.2167000000000001</v>
      </c>
      <c r="F24" s="76">
        <f t="shared" si="2"/>
        <v>118580.77372222007</v>
      </c>
      <c r="G24" s="40">
        <v>0</v>
      </c>
      <c r="H24" s="40">
        <v>0</v>
      </c>
      <c r="I24" s="40">
        <v>0</v>
      </c>
      <c r="J24" s="40">
        <v>768.97669999999994</v>
      </c>
      <c r="K24" s="40">
        <v>0</v>
      </c>
      <c r="L24" s="40">
        <v>0</v>
      </c>
      <c r="M24" s="40">
        <v>0</v>
      </c>
      <c r="N24" s="40">
        <v>313.1232</v>
      </c>
      <c r="O24" s="40">
        <v>653.59259999999995</v>
      </c>
      <c r="P24" s="40">
        <v>0</v>
      </c>
      <c r="Q24" s="40">
        <v>2725.9634999999998</v>
      </c>
      <c r="R24" s="40">
        <v>0</v>
      </c>
      <c r="S24" s="40">
        <v>0</v>
      </c>
      <c r="T24" s="40">
        <v>0</v>
      </c>
      <c r="U24" s="40">
        <v>2.5</v>
      </c>
      <c r="V24" s="40">
        <v>580.5261999999999</v>
      </c>
      <c r="W24" s="76">
        <f t="shared" si="0"/>
        <v>123625.45592222006</v>
      </c>
      <c r="X24" s="36"/>
      <c r="Y24" s="42">
        <v>1874.336513</v>
      </c>
      <c r="Z24" s="38"/>
      <c r="AA24" s="43">
        <v>0</v>
      </c>
      <c r="AB24" s="36"/>
      <c r="AC24" s="76">
        <f t="shared" si="3"/>
        <v>125499.79243522006</v>
      </c>
      <c r="AD24" s="29"/>
      <c r="AE24" s="25"/>
      <c r="AF24" s="113"/>
      <c r="AG24" s="129"/>
      <c r="AH24" s="130"/>
      <c r="AI24" s="129"/>
      <c r="AJ24" s="129"/>
      <c r="AK24" s="129"/>
      <c r="AL24" s="129"/>
      <c r="AM24" s="129"/>
      <c r="AN24" s="129"/>
      <c r="AO24" s="129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157835.48199999999</v>
      </c>
      <c r="C25" s="40">
        <v>22296.822184180146</v>
      </c>
      <c r="D25" s="76">
        <f t="shared" si="1"/>
        <v>180132.30418418013</v>
      </c>
      <c r="E25" s="40">
        <v>3.3167</v>
      </c>
      <c r="F25" s="76">
        <f t="shared" si="2"/>
        <v>180135.62088418013</v>
      </c>
      <c r="G25" s="40">
        <v>0</v>
      </c>
      <c r="H25" s="40">
        <v>0</v>
      </c>
      <c r="I25" s="40">
        <v>0</v>
      </c>
      <c r="J25" s="40">
        <v>1168.1401000000001</v>
      </c>
      <c r="K25" s="40">
        <v>0</v>
      </c>
      <c r="L25" s="40">
        <v>0</v>
      </c>
      <c r="M25" s="40">
        <v>0</v>
      </c>
      <c r="N25" s="40">
        <v>475.66079999999999</v>
      </c>
      <c r="O25" s="40">
        <v>804.7894</v>
      </c>
      <c r="P25" s="40">
        <v>0</v>
      </c>
      <c r="Q25" s="40">
        <v>2423.0787</v>
      </c>
      <c r="R25" s="40">
        <v>0</v>
      </c>
      <c r="S25" s="40">
        <v>0</v>
      </c>
      <c r="T25" s="40">
        <v>0</v>
      </c>
      <c r="U25" s="40">
        <v>2.5</v>
      </c>
      <c r="V25" s="40">
        <v>881.86869999999999</v>
      </c>
      <c r="W25" s="76">
        <f t="shared" si="0"/>
        <v>185891.65858418014</v>
      </c>
      <c r="X25" s="36"/>
      <c r="Y25" s="42">
        <v>14207.163637</v>
      </c>
      <c r="Z25" s="38"/>
      <c r="AA25" s="43">
        <v>0</v>
      </c>
      <c r="AB25" s="36"/>
      <c r="AC25" s="76">
        <f t="shared" si="3"/>
        <v>200098.82222118013</v>
      </c>
      <c r="AD25" s="29"/>
      <c r="AE25" s="25"/>
      <c r="AF25" s="113"/>
      <c r="AG25" s="129"/>
      <c r="AH25" s="130"/>
      <c r="AI25" s="129"/>
      <c r="AJ25" s="129"/>
      <c r="AK25" s="129"/>
      <c r="AL25" s="129"/>
      <c r="AM25" s="129"/>
      <c r="AN25" s="129"/>
      <c r="AO25" s="129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144286.174</v>
      </c>
      <c r="C26" s="40">
        <v>14574.224917190126</v>
      </c>
      <c r="D26" s="76">
        <f t="shared" si="1"/>
        <v>158860.39891719012</v>
      </c>
      <c r="E26" s="40">
        <v>2.5083000000000002</v>
      </c>
      <c r="F26" s="76">
        <f t="shared" si="2"/>
        <v>158862.90721719011</v>
      </c>
      <c r="G26" s="40">
        <v>0</v>
      </c>
      <c r="H26" s="40">
        <v>0</v>
      </c>
      <c r="I26" s="40">
        <v>0</v>
      </c>
      <c r="J26" s="40">
        <v>1030.1939</v>
      </c>
      <c r="K26" s="40">
        <v>0</v>
      </c>
      <c r="L26" s="40">
        <v>0</v>
      </c>
      <c r="M26" s="40">
        <v>0</v>
      </c>
      <c r="N26" s="40">
        <v>419.48750000000001</v>
      </c>
      <c r="O26" s="40">
        <v>589.80730000000005</v>
      </c>
      <c r="P26" s="40">
        <v>0</v>
      </c>
      <c r="Q26" s="40">
        <v>2211.0592999999999</v>
      </c>
      <c r="R26" s="40">
        <v>0</v>
      </c>
      <c r="S26" s="40">
        <v>0</v>
      </c>
      <c r="T26" s="40">
        <v>0</v>
      </c>
      <c r="U26" s="40">
        <v>2.2000000000000002</v>
      </c>
      <c r="V26" s="40">
        <v>777.72410000000002</v>
      </c>
      <c r="W26" s="76">
        <f t="shared" si="0"/>
        <v>163893.37931719009</v>
      </c>
      <c r="X26" s="36"/>
      <c r="Y26" s="42">
        <v>2377.879981</v>
      </c>
      <c r="Z26" s="38"/>
      <c r="AA26" s="43">
        <v>0</v>
      </c>
      <c r="AB26" s="36"/>
      <c r="AC26" s="76">
        <f t="shared" si="3"/>
        <v>166271.2592981901</v>
      </c>
      <c r="AD26" s="29"/>
      <c r="AE26" s="25"/>
      <c r="AF26" s="113"/>
      <c r="AG26" s="129"/>
      <c r="AH26" s="130"/>
      <c r="AI26" s="129"/>
      <c r="AJ26" s="129"/>
      <c r="AK26" s="129"/>
      <c r="AL26" s="129"/>
      <c r="AM26" s="129"/>
      <c r="AN26" s="129"/>
      <c r="AO26" s="129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98845.340799999991</v>
      </c>
      <c r="C27" s="40">
        <v>8419.3729601499472</v>
      </c>
      <c r="D27" s="76">
        <f t="shared" si="1"/>
        <v>107264.71376014994</v>
      </c>
      <c r="E27" s="40">
        <v>1.5751000000000002</v>
      </c>
      <c r="F27" s="76">
        <f t="shared" si="2"/>
        <v>107266.28886014994</v>
      </c>
      <c r="G27" s="40">
        <v>0</v>
      </c>
      <c r="H27" s="40">
        <v>0</v>
      </c>
      <c r="I27" s="40">
        <v>0</v>
      </c>
      <c r="J27" s="40">
        <v>695.601</v>
      </c>
      <c r="K27" s="40">
        <v>0</v>
      </c>
      <c r="L27" s="40">
        <v>0</v>
      </c>
      <c r="M27" s="40">
        <v>0</v>
      </c>
      <c r="N27" s="40">
        <v>283.23680000000002</v>
      </c>
      <c r="O27" s="40">
        <v>499.48809999999997</v>
      </c>
      <c r="P27" s="40">
        <v>0</v>
      </c>
      <c r="Q27" s="40">
        <v>2211.0592999999999</v>
      </c>
      <c r="R27" s="40">
        <v>0</v>
      </c>
      <c r="S27" s="40">
        <v>0</v>
      </c>
      <c r="T27" s="40">
        <v>0</v>
      </c>
      <c r="U27" s="40">
        <v>2.2000000000000002</v>
      </c>
      <c r="V27" s="40">
        <v>525.1173</v>
      </c>
      <c r="W27" s="76">
        <f t="shared" si="0"/>
        <v>111482.99136014993</v>
      </c>
      <c r="X27" s="36"/>
      <c r="Y27" s="42">
        <v>0</v>
      </c>
      <c r="Z27" s="38"/>
      <c r="AA27" s="43">
        <v>0</v>
      </c>
      <c r="AB27" s="36"/>
      <c r="AC27" s="76">
        <f t="shared" si="3"/>
        <v>111482.99136014993</v>
      </c>
      <c r="AD27" s="29"/>
      <c r="AE27" s="25"/>
      <c r="AF27" s="113"/>
      <c r="AG27" s="129"/>
      <c r="AH27" s="130"/>
      <c r="AI27" s="129"/>
      <c r="AJ27" s="129"/>
      <c r="AK27" s="129"/>
      <c r="AL27" s="129"/>
      <c r="AM27" s="129"/>
      <c r="AN27" s="129"/>
      <c r="AO27" s="129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69794.366699999999</v>
      </c>
      <c r="C28" s="40">
        <v>4529.0420062200619</v>
      </c>
      <c r="D28" s="76">
        <f t="shared" si="1"/>
        <v>74323.408706220056</v>
      </c>
      <c r="E28" s="40">
        <v>0.70829999999999993</v>
      </c>
      <c r="F28" s="76">
        <f t="shared" si="2"/>
        <v>74324.117006220054</v>
      </c>
      <c r="G28" s="40">
        <v>0</v>
      </c>
      <c r="H28" s="40">
        <v>0</v>
      </c>
      <c r="I28" s="40">
        <v>0</v>
      </c>
      <c r="J28" s="40">
        <v>481.97990000000004</v>
      </c>
      <c r="K28" s="40">
        <v>43.559100000000001</v>
      </c>
      <c r="L28" s="40">
        <v>0</v>
      </c>
      <c r="M28" s="40">
        <v>437.45259999999996</v>
      </c>
      <c r="N28" s="40">
        <v>196.26170000000002</v>
      </c>
      <c r="O28" s="40">
        <v>527.9289</v>
      </c>
      <c r="P28" s="40">
        <v>0</v>
      </c>
      <c r="Q28" s="40">
        <v>1938.4629</v>
      </c>
      <c r="R28" s="40">
        <v>0</v>
      </c>
      <c r="S28" s="40">
        <v>0</v>
      </c>
      <c r="T28" s="40">
        <v>0</v>
      </c>
      <c r="U28" s="40">
        <v>3</v>
      </c>
      <c r="V28" s="40">
        <v>363.86649999999997</v>
      </c>
      <c r="W28" s="76">
        <f t="shared" si="0"/>
        <v>78316.628606220067</v>
      </c>
      <c r="X28" s="36"/>
      <c r="Y28" s="42">
        <v>437.02860499999997</v>
      </c>
      <c r="Z28" s="38"/>
      <c r="AA28" s="43">
        <v>0</v>
      </c>
      <c r="AB28" s="36"/>
      <c r="AC28" s="76">
        <f t="shared" si="3"/>
        <v>78753.657211220067</v>
      </c>
      <c r="AD28" s="29"/>
      <c r="AE28" s="25"/>
      <c r="AF28" s="113"/>
      <c r="AG28" s="129"/>
      <c r="AH28" s="130"/>
      <c r="AI28" s="129"/>
      <c r="AJ28" s="129"/>
      <c r="AK28" s="129"/>
      <c r="AL28" s="129"/>
      <c r="AM28" s="129"/>
      <c r="AN28" s="129"/>
      <c r="AO28" s="129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389463.20669999998</v>
      </c>
      <c r="C29" s="40">
        <v>38729.11561669012</v>
      </c>
      <c r="D29" s="76">
        <f t="shared" si="1"/>
        <v>428192.32231669012</v>
      </c>
      <c r="E29" s="40">
        <v>11.290799999999999</v>
      </c>
      <c r="F29" s="76">
        <f t="shared" si="2"/>
        <v>428203.61311669013</v>
      </c>
      <c r="G29" s="40">
        <v>0</v>
      </c>
      <c r="H29" s="40">
        <v>0</v>
      </c>
      <c r="I29" s="40">
        <v>0</v>
      </c>
      <c r="J29" s="40">
        <v>2776.4654999999998</v>
      </c>
      <c r="K29" s="40">
        <v>598.85340000000008</v>
      </c>
      <c r="L29" s="40">
        <v>6.2500000000000003E-6</v>
      </c>
      <c r="M29" s="40">
        <v>6015.2835999999998</v>
      </c>
      <c r="N29" s="40">
        <v>1130.5501999999999</v>
      </c>
      <c r="O29" s="40">
        <v>2342.3235</v>
      </c>
      <c r="P29" s="40">
        <v>0</v>
      </c>
      <c r="Q29" s="40">
        <v>3488.8917999999999</v>
      </c>
      <c r="R29" s="40">
        <v>0</v>
      </c>
      <c r="S29" s="40">
        <v>0</v>
      </c>
      <c r="T29" s="40">
        <v>0</v>
      </c>
      <c r="U29" s="40">
        <v>0.5</v>
      </c>
      <c r="V29" s="40">
        <v>2096.0221999999999</v>
      </c>
      <c r="W29" s="76">
        <f t="shared" si="0"/>
        <v>446652.50332294015</v>
      </c>
      <c r="X29" s="36"/>
      <c r="Y29" s="42">
        <v>6038.15146</v>
      </c>
      <c r="Z29" s="38"/>
      <c r="AA29" s="43">
        <v>0</v>
      </c>
      <c r="AB29" s="36"/>
      <c r="AC29" s="76">
        <f t="shared" si="3"/>
        <v>452690.65478294017</v>
      </c>
      <c r="AD29" s="29"/>
      <c r="AE29" s="25"/>
      <c r="AF29" s="113"/>
      <c r="AG29" s="129"/>
      <c r="AH29" s="130"/>
      <c r="AI29" s="129"/>
      <c r="AJ29" s="129"/>
      <c r="AK29" s="129"/>
      <c r="AL29" s="129"/>
      <c r="AM29" s="129"/>
      <c r="AN29" s="129"/>
      <c r="AO29" s="129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174943.31359999999</v>
      </c>
      <c r="C30" s="40">
        <v>19219.396205660185</v>
      </c>
      <c r="D30" s="76">
        <f t="shared" si="1"/>
        <v>194162.70980566018</v>
      </c>
      <c r="E30" s="40">
        <v>2.6333000000000002</v>
      </c>
      <c r="F30" s="76">
        <f t="shared" si="2"/>
        <v>194165.34310566017</v>
      </c>
      <c r="G30" s="40">
        <v>0</v>
      </c>
      <c r="H30" s="40">
        <v>0</v>
      </c>
      <c r="I30" s="40">
        <v>0</v>
      </c>
      <c r="J30" s="40">
        <v>1259.1259</v>
      </c>
      <c r="K30" s="40">
        <v>0</v>
      </c>
      <c r="L30" s="40">
        <v>0</v>
      </c>
      <c r="M30" s="40">
        <v>0</v>
      </c>
      <c r="N30" s="40">
        <v>512.70830000000001</v>
      </c>
      <c r="O30" s="40">
        <v>1053.3058999999998</v>
      </c>
      <c r="P30" s="40">
        <v>0</v>
      </c>
      <c r="Q30" s="40">
        <v>2604.8094999999998</v>
      </c>
      <c r="R30" s="40">
        <v>0</v>
      </c>
      <c r="S30" s="40">
        <v>0</v>
      </c>
      <c r="T30" s="40">
        <v>0</v>
      </c>
      <c r="U30" s="40">
        <v>2.2000000000000002</v>
      </c>
      <c r="V30" s="40">
        <v>950.55430000000001</v>
      </c>
      <c r="W30" s="76">
        <f t="shared" si="0"/>
        <v>200548.04700566019</v>
      </c>
      <c r="X30" s="36"/>
      <c r="Y30" s="42">
        <v>5898.5122359999996</v>
      </c>
      <c r="Z30" s="38"/>
      <c r="AA30" s="43">
        <v>0</v>
      </c>
      <c r="AB30" s="36"/>
      <c r="AC30" s="76">
        <f t="shared" si="3"/>
        <v>206446.5592416602</v>
      </c>
      <c r="AD30" s="29"/>
      <c r="AE30" s="25"/>
      <c r="AF30" s="113"/>
      <c r="AG30" s="129"/>
      <c r="AH30" s="130"/>
      <c r="AI30" s="129"/>
      <c r="AJ30" s="129"/>
      <c r="AK30" s="129"/>
      <c r="AL30" s="129"/>
      <c r="AM30" s="129"/>
      <c r="AN30" s="129"/>
      <c r="AO30" s="129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199542.54069999998</v>
      </c>
      <c r="C31" s="40">
        <v>24038.76141725</v>
      </c>
      <c r="D31" s="76">
        <f t="shared" si="1"/>
        <v>223581.30211724999</v>
      </c>
      <c r="E31" s="40">
        <v>4.6500000000000004</v>
      </c>
      <c r="F31" s="76">
        <f t="shared" si="2"/>
        <v>223585.95211724998</v>
      </c>
      <c r="G31" s="40">
        <v>0</v>
      </c>
      <c r="H31" s="40">
        <v>0</v>
      </c>
      <c r="I31" s="40">
        <v>0</v>
      </c>
      <c r="J31" s="40">
        <v>1449.9026000000001</v>
      </c>
      <c r="K31" s="40">
        <v>0</v>
      </c>
      <c r="L31" s="40">
        <v>0</v>
      </c>
      <c r="M31" s="40">
        <v>0</v>
      </c>
      <c r="N31" s="40">
        <v>590.39030000000002</v>
      </c>
      <c r="O31" s="40">
        <v>782.89649999999995</v>
      </c>
      <c r="P31" s="40">
        <v>0</v>
      </c>
      <c r="Q31" s="40">
        <v>2544.2326000000003</v>
      </c>
      <c r="R31" s="40">
        <v>0</v>
      </c>
      <c r="S31" s="40">
        <v>0</v>
      </c>
      <c r="T31" s="40">
        <v>0</v>
      </c>
      <c r="U31" s="40">
        <v>2.2000000000000002</v>
      </c>
      <c r="V31" s="40">
        <v>1094.5756000000001</v>
      </c>
      <c r="W31" s="76">
        <f t="shared" si="0"/>
        <v>230050.14971724999</v>
      </c>
      <c r="X31" s="36"/>
      <c r="Y31" s="42">
        <v>9454.1623259999997</v>
      </c>
      <c r="Z31" s="38"/>
      <c r="AA31" s="43">
        <v>0</v>
      </c>
      <c r="AB31" s="36"/>
      <c r="AC31" s="76">
        <f t="shared" si="3"/>
        <v>239504.31204324999</v>
      </c>
      <c r="AD31" s="29"/>
      <c r="AE31" s="25"/>
      <c r="AF31" s="113"/>
      <c r="AG31" s="129"/>
      <c r="AH31" s="130"/>
      <c r="AI31" s="129"/>
      <c r="AJ31" s="129"/>
      <c r="AK31" s="129"/>
      <c r="AL31" s="129"/>
      <c r="AM31" s="129"/>
      <c r="AN31" s="129"/>
      <c r="AO31" s="129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55754.996899999998</v>
      </c>
      <c r="C32" s="40">
        <v>2206.4563619000128</v>
      </c>
      <c r="D32" s="76">
        <f t="shared" si="1"/>
        <v>57961.453261900009</v>
      </c>
      <c r="E32" s="40">
        <v>1</v>
      </c>
      <c r="F32" s="76">
        <f t="shared" si="2"/>
        <v>57962.453261900009</v>
      </c>
      <c r="G32" s="40">
        <v>0</v>
      </c>
      <c r="H32" s="40">
        <v>0</v>
      </c>
      <c r="I32" s="40">
        <v>0</v>
      </c>
      <c r="J32" s="40">
        <v>375.8723</v>
      </c>
      <c r="K32" s="40">
        <v>3.8638000000000003</v>
      </c>
      <c r="L32" s="40">
        <v>0</v>
      </c>
      <c r="M32" s="40">
        <v>38.802900000000001</v>
      </c>
      <c r="N32" s="40">
        <v>153.05620000000002</v>
      </c>
      <c r="O32" s="40">
        <v>431.18870000000004</v>
      </c>
      <c r="P32" s="40">
        <v>0</v>
      </c>
      <c r="Q32" s="40">
        <v>1605.2896000000001</v>
      </c>
      <c r="R32" s="40">
        <v>0</v>
      </c>
      <c r="S32" s="40">
        <v>0</v>
      </c>
      <c r="T32" s="40">
        <v>0</v>
      </c>
      <c r="U32" s="40">
        <v>3</v>
      </c>
      <c r="V32" s="40">
        <v>283.76420000000002</v>
      </c>
      <c r="W32" s="76">
        <f t="shared" si="0"/>
        <v>60857.290961900006</v>
      </c>
      <c r="X32" s="36"/>
      <c r="Y32" s="42">
        <v>263.97494599999999</v>
      </c>
      <c r="Z32" s="38"/>
      <c r="AA32" s="37">
        <v>0</v>
      </c>
      <c r="AB32" s="36"/>
      <c r="AC32" s="76">
        <f t="shared" si="3"/>
        <v>61121.265907900008</v>
      </c>
      <c r="AD32" s="29"/>
      <c r="AE32" s="25"/>
      <c r="AF32" s="113"/>
      <c r="AG32" s="129"/>
      <c r="AH32" s="130"/>
      <c r="AI32" s="129"/>
      <c r="AJ32" s="129"/>
      <c r="AK32" s="129"/>
      <c r="AL32" s="129"/>
      <c r="AM32" s="129"/>
      <c r="AN32" s="129"/>
      <c r="AO32" s="129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>SUM(B10:B32)</f>
        <v>4208896.4705999997</v>
      </c>
      <c r="C33" s="79">
        <f>SUM(C10:C32)</f>
        <v>550510.86231257941</v>
      </c>
      <c r="D33" s="79">
        <f>SUM(D10:D32)</f>
        <v>4759407.3329125792</v>
      </c>
      <c r="E33" s="79">
        <f t="shared" ref="E33:W33" si="4">SUM(E10:E32)</f>
        <v>107.0158</v>
      </c>
      <c r="F33" s="79">
        <f>SUM(F10:F32)</f>
        <v>4759514.3487125793</v>
      </c>
      <c r="G33" s="79">
        <f t="shared" si="4"/>
        <v>0</v>
      </c>
      <c r="H33" s="79">
        <f t="shared" si="4"/>
        <v>0</v>
      </c>
      <c r="I33" s="79">
        <f t="shared" si="4"/>
        <v>0</v>
      </c>
      <c r="J33" s="79">
        <f t="shared" si="4"/>
        <v>30863.896199999988</v>
      </c>
      <c r="K33" s="79">
        <f t="shared" si="4"/>
        <v>3603.1136000000001</v>
      </c>
      <c r="L33" s="79">
        <f t="shared" si="4"/>
        <v>7.8199999999999997E-6</v>
      </c>
      <c r="M33" s="79">
        <f t="shared" si="4"/>
        <v>36186.400100000006</v>
      </c>
      <c r="N33" s="79">
        <f t="shared" si="4"/>
        <v>12567.477700000001</v>
      </c>
      <c r="O33" s="79">
        <f t="shared" si="4"/>
        <v>25140.547599999994</v>
      </c>
      <c r="P33" s="79">
        <f t="shared" si="4"/>
        <v>0</v>
      </c>
      <c r="Q33" s="79">
        <f t="shared" si="4"/>
        <v>59879.225600000005</v>
      </c>
      <c r="R33" s="79">
        <f>SUM(R10:R32)</f>
        <v>0</v>
      </c>
      <c r="S33" s="79">
        <f t="shared" si="4"/>
        <v>0</v>
      </c>
      <c r="T33" s="79">
        <f t="shared" si="4"/>
        <v>0</v>
      </c>
      <c r="U33" s="79">
        <f t="shared" si="4"/>
        <v>45.800000000000004</v>
      </c>
      <c r="V33" s="79">
        <f t="shared" si="4"/>
        <v>23299.931200000006</v>
      </c>
      <c r="W33" s="79">
        <f t="shared" si="4"/>
        <v>4951100.7407203987</v>
      </c>
      <c r="X33" s="47"/>
      <c r="Y33" s="78">
        <f>SUM(Y10:Y32)</f>
        <v>189977.638905</v>
      </c>
      <c r="Z33" s="38"/>
      <c r="AA33" s="110">
        <f>SUM(AA10:AA32)</f>
        <v>0</v>
      </c>
      <c r="AB33" s="46"/>
      <c r="AC33" s="77">
        <f>SUM(AC10:AC32)</f>
        <v>5141078.3796253977</v>
      </c>
      <c r="AD33" s="29"/>
      <c r="AE33" s="25"/>
      <c r="AF33" s="113"/>
      <c r="AG33" s="131"/>
      <c r="AH33" s="130"/>
      <c r="AI33" s="131"/>
      <c r="AJ33" s="131"/>
      <c r="AK33" s="131"/>
      <c r="AL33" s="131"/>
      <c r="AM33" s="131"/>
      <c r="AN33" s="131"/>
      <c r="AO33" s="131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85789.357799999998</v>
      </c>
      <c r="C34" s="40">
        <v>30135.548733249998</v>
      </c>
      <c r="D34" s="76">
        <f>B34+C34</f>
        <v>115924.90653325</v>
      </c>
      <c r="E34" s="40">
        <v>0</v>
      </c>
      <c r="F34" s="76">
        <f>D34+E34</f>
        <v>115924.90653325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787.50059999999996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116712.40713325</v>
      </c>
      <c r="X34" s="36"/>
      <c r="Y34" s="42"/>
      <c r="Z34" s="38"/>
      <c r="AA34" s="109">
        <v>0</v>
      </c>
      <c r="AB34" s="36"/>
      <c r="AC34" s="76">
        <f>+W34+Y34+AA34</f>
        <v>116712.40713325</v>
      </c>
      <c r="AD34" s="29"/>
      <c r="AE34" s="25"/>
      <c r="AF34" s="113"/>
      <c r="AG34" s="129"/>
      <c r="AH34" s="130"/>
      <c r="AI34" s="129"/>
      <c r="AJ34" s="129"/>
      <c r="AK34" s="129"/>
      <c r="AL34" s="129"/>
      <c r="AM34" s="129"/>
      <c r="AN34" s="129"/>
      <c r="AO34" s="129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 t="shared" si="3"/>
        <v>0</v>
      </c>
      <c r="AD35" s="29"/>
      <c r="AF35" s="113"/>
      <c r="AG35" s="129"/>
      <c r="AH35" s="130"/>
      <c r="AI35" s="129"/>
      <c r="AJ35" s="129"/>
      <c r="AK35" s="129"/>
      <c r="AL35" s="129"/>
      <c r="AM35" s="129"/>
      <c r="AN35" s="129"/>
      <c r="AO35" s="129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3332013.0269999998</v>
      </c>
      <c r="C36" s="40">
        <v>0</v>
      </c>
      <c r="D36" s="76">
        <f>B36+C36</f>
        <v>3332013.0269999998</v>
      </c>
      <c r="E36" s="40">
        <v>0</v>
      </c>
      <c r="F36" s="76">
        <f>D36+E36</f>
        <v>3332013.0269999998</v>
      </c>
      <c r="G36" s="40">
        <v>0</v>
      </c>
      <c r="H36" s="40">
        <v>0</v>
      </c>
      <c r="I36" s="40">
        <v>0</v>
      </c>
      <c r="J36" s="40">
        <v>22359.030500000001</v>
      </c>
      <c r="K36" s="40">
        <v>0</v>
      </c>
      <c r="L36" s="40">
        <v>2.0800000000000004E-6</v>
      </c>
      <c r="M36" s="40">
        <v>0</v>
      </c>
      <c r="N36" s="40">
        <v>0</v>
      </c>
      <c r="O36" s="40">
        <v>41804.940200000005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3396176.9977020798</v>
      </c>
      <c r="X36" s="36"/>
      <c r="Y36" s="42">
        <f>-SUM(Y33)</f>
        <v>-189977.638905</v>
      </c>
      <c r="Z36" s="38"/>
      <c r="AA36" s="43">
        <f>-(AA33+AA34)</f>
        <v>0</v>
      </c>
      <c r="AB36" s="36"/>
      <c r="AC36" s="76">
        <f>+W36+Y36+AA36</f>
        <v>3206199.3587970799</v>
      </c>
      <c r="AD36" s="29"/>
      <c r="AE36" s="25"/>
      <c r="AF36" s="113"/>
      <c r="AG36" s="129"/>
      <c r="AH36" s="130"/>
      <c r="AI36" s="129"/>
      <c r="AJ36" s="129"/>
      <c r="AK36" s="129"/>
      <c r="AL36" s="129"/>
      <c r="AM36" s="129"/>
      <c r="AN36" s="129"/>
      <c r="AO36" s="129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539255.76249999995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54254.056499999999</v>
      </c>
      <c r="W37" s="76">
        <f>SUM(F37:V37)</f>
        <v>593509.8189999999</v>
      </c>
      <c r="X37" s="36"/>
      <c r="Y37" s="42"/>
      <c r="Z37" s="38"/>
      <c r="AA37" s="43"/>
      <c r="AB37" s="36"/>
      <c r="AC37" s="76">
        <f t="shared" si="3"/>
        <v>593509.8189999999</v>
      </c>
      <c r="AD37" s="29"/>
      <c r="AE37" s="25"/>
      <c r="AF37" s="113"/>
      <c r="AG37" s="129"/>
      <c r="AH37" s="130"/>
      <c r="AI37" s="129"/>
      <c r="AJ37" s="129"/>
      <c r="AK37" s="129"/>
      <c r="AL37" s="129"/>
      <c r="AM37" s="129"/>
      <c r="AN37" s="129"/>
      <c r="AO37" s="129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82803.5046</v>
      </c>
      <c r="C38" s="39">
        <v>0</v>
      </c>
      <c r="D38" s="76">
        <f>B38+C38</f>
        <v>82803.5046</v>
      </c>
      <c r="E38" s="39">
        <v>0</v>
      </c>
      <c r="F38" s="76">
        <f>D38+E38</f>
        <v>82803.5046</v>
      </c>
      <c r="G38" s="39">
        <v>0</v>
      </c>
      <c r="H38" s="39">
        <v>0</v>
      </c>
      <c r="I38" s="39">
        <v>0</v>
      </c>
      <c r="J38" s="39">
        <v>536.96040000000005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83340.464999999997</v>
      </c>
      <c r="X38" s="36"/>
      <c r="Y38" s="35"/>
      <c r="Z38" s="38"/>
      <c r="AA38" s="37"/>
      <c r="AB38" s="36"/>
      <c r="AC38" s="75">
        <f t="shared" si="3"/>
        <v>83340.464999999997</v>
      </c>
      <c r="AD38" s="29"/>
      <c r="AE38" s="25"/>
      <c r="AF38" s="113"/>
      <c r="AG38" s="129"/>
      <c r="AH38" s="130"/>
      <c r="AI38" s="129"/>
      <c r="AJ38" s="129"/>
      <c r="AK38" s="129"/>
      <c r="AL38" s="129"/>
      <c r="AM38" s="129"/>
      <c r="AN38" s="129"/>
      <c r="AO38" s="129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45" customFormat="1" ht="20.100000000000001" customHeight="1" x14ac:dyDescent="0.2">
      <c r="A39" s="74" t="s">
        <v>15</v>
      </c>
      <c r="B39" s="73">
        <f>+SUM(B33:B38)</f>
        <v>7709548.1599999992</v>
      </c>
      <c r="C39" s="73">
        <f>+SUM(C33:C38)</f>
        <v>580646.41104582942</v>
      </c>
      <c r="D39" s="73">
        <f>+SUM(D33:D38)</f>
        <v>8290194.5710458281</v>
      </c>
      <c r="E39" s="73">
        <f t="shared" ref="E39:V39" si="5">+SUM(E33:E38)</f>
        <v>107.0158</v>
      </c>
      <c r="F39" s="73">
        <f>SUM(F33:F38)</f>
        <v>8290301.5868458282</v>
      </c>
      <c r="G39" s="73">
        <f t="shared" si="5"/>
        <v>0</v>
      </c>
      <c r="H39" s="73">
        <f t="shared" si="5"/>
        <v>0</v>
      </c>
      <c r="I39" s="73">
        <f t="shared" si="5"/>
        <v>0</v>
      </c>
      <c r="J39" s="73">
        <f t="shared" si="5"/>
        <v>53759.887099999993</v>
      </c>
      <c r="K39" s="73">
        <f t="shared" si="5"/>
        <v>3603.1136000000001</v>
      </c>
      <c r="L39" s="73">
        <f t="shared" si="5"/>
        <v>9.9000000000000001E-6</v>
      </c>
      <c r="M39" s="73">
        <f t="shared" si="5"/>
        <v>575442.16259999992</v>
      </c>
      <c r="N39" s="73">
        <f t="shared" si="5"/>
        <v>12567.477700000001</v>
      </c>
      <c r="O39" s="73">
        <f t="shared" si="5"/>
        <v>66945.487800000003</v>
      </c>
      <c r="P39" s="73">
        <f t="shared" si="5"/>
        <v>0</v>
      </c>
      <c r="Q39" s="73">
        <f t="shared" si="5"/>
        <v>60666.726200000005</v>
      </c>
      <c r="R39" s="73">
        <f t="shared" si="5"/>
        <v>0</v>
      </c>
      <c r="S39" s="73">
        <f t="shared" si="5"/>
        <v>0</v>
      </c>
      <c r="T39" s="73">
        <f t="shared" si="5"/>
        <v>0</v>
      </c>
      <c r="U39" s="73">
        <f t="shared" si="5"/>
        <v>45.800000000000004</v>
      </c>
      <c r="V39" s="73">
        <f t="shared" si="5"/>
        <v>77553.987699999998</v>
      </c>
      <c r="W39" s="73">
        <f>+SUM(W33:W38)</f>
        <v>9140840.4295557272</v>
      </c>
      <c r="X39" s="33"/>
      <c r="Y39" s="32">
        <f>+SUM(Y33:Y38)</f>
        <v>0</v>
      </c>
      <c r="Z39" s="31"/>
      <c r="AA39" s="111"/>
      <c r="AB39" s="30"/>
      <c r="AC39" s="72">
        <f>+SUM(AC33:AC38)</f>
        <v>9140840.4295557272</v>
      </c>
      <c r="AD39" s="29"/>
      <c r="AE39" s="25"/>
      <c r="AF39" s="113"/>
      <c r="AG39" s="131"/>
      <c r="AH39" s="130"/>
      <c r="AI39" s="131"/>
      <c r="AJ39" s="131"/>
      <c r="AK39" s="131"/>
      <c r="AL39" s="131"/>
      <c r="AM39" s="131"/>
      <c r="AN39" s="131"/>
      <c r="AO39" s="131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</row>
    <row r="40" spans="1:52" ht="15" customHeight="1" x14ac:dyDescent="0.2">
      <c r="R40" s="29"/>
      <c r="T40" s="29"/>
      <c r="X40" s="25"/>
      <c r="Y40" s="25"/>
      <c r="Z40" s="25"/>
      <c r="AA40" s="25"/>
      <c r="AB40" s="25"/>
      <c r="AC40" s="25"/>
      <c r="AF40" s="114"/>
      <c r="AG40" s="129"/>
      <c r="AH40" s="129"/>
      <c r="AI40" s="129"/>
      <c r="AJ40" s="129"/>
      <c r="AK40" s="129"/>
      <c r="AL40" s="129"/>
      <c r="AM40" s="129"/>
      <c r="AN40" s="129"/>
      <c r="AO40" s="129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F41" s="114"/>
      <c r="AG41" s="129"/>
      <c r="AH41" s="129"/>
      <c r="AI41" s="129"/>
      <c r="AJ41" s="129"/>
      <c r="AK41" s="129"/>
      <c r="AL41" s="129"/>
      <c r="AM41" s="129"/>
      <c r="AN41" s="129"/>
      <c r="AO41" s="129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14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3"/>
      <c r="Y42" s="113"/>
      <c r="Z42" s="113"/>
      <c r="AA42" s="113"/>
      <c r="AB42" s="113"/>
      <c r="AC42" s="113"/>
      <c r="AD42" s="114"/>
      <c r="AF42" s="114"/>
      <c r="AG42" s="129"/>
      <c r="AH42" s="129"/>
      <c r="AI42" s="129"/>
      <c r="AJ42" s="129"/>
      <c r="AK42" s="129"/>
      <c r="AL42" s="129"/>
      <c r="AM42" s="129"/>
      <c r="AN42" s="129"/>
      <c r="AO42" s="129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11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F43" s="114"/>
      <c r="AG43" s="129"/>
      <c r="AH43" s="129"/>
      <c r="AI43" s="129"/>
      <c r="AJ43" s="129"/>
      <c r="AK43" s="129"/>
      <c r="AL43" s="129"/>
      <c r="AM43" s="129"/>
      <c r="AN43" s="129"/>
      <c r="AO43" s="129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2" customFormat="1" ht="15" customHeight="1" x14ac:dyDescent="0.2">
      <c r="A44" s="204" t="s">
        <v>14</v>
      </c>
      <c r="B44" s="205"/>
      <c r="C44" s="205"/>
      <c r="D44" s="21"/>
      <c r="E44" s="17">
        <v>3259648.4279999998</v>
      </c>
      <c r="F44" s="116"/>
      <c r="J44" s="11" t="s">
        <v>13</v>
      </c>
      <c r="K44" s="1" t="s">
        <v>12</v>
      </c>
      <c r="W44" s="34"/>
      <c r="AD44" s="1"/>
      <c r="AE44" s="1"/>
      <c r="AF44" s="114"/>
      <c r="AG44" s="129"/>
      <c r="AH44" s="129"/>
      <c r="AI44" s="129"/>
      <c r="AJ44" s="129"/>
      <c r="AK44" s="129"/>
      <c r="AL44" s="129"/>
      <c r="AM44" s="129"/>
      <c r="AN44" s="129"/>
      <c r="AO44" s="129"/>
    </row>
    <row r="45" spans="1:52" s="2" customFormat="1" ht="15" customHeight="1" x14ac:dyDescent="0.2">
      <c r="A45" s="226" t="s">
        <v>11</v>
      </c>
      <c r="B45" s="227"/>
      <c r="C45" s="227"/>
      <c r="D45" s="18"/>
      <c r="E45" s="17">
        <v>4654842.9358000001</v>
      </c>
      <c r="F45" s="116"/>
      <c r="K45" s="1" t="s">
        <v>10</v>
      </c>
      <c r="W45" s="11"/>
      <c r="Y45" s="11"/>
      <c r="AA45" s="11"/>
      <c r="AC45" s="11"/>
      <c r="AD45" s="1"/>
      <c r="AE45" s="1"/>
      <c r="AF45" s="114"/>
      <c r="AG45" s="129"/>
      <c r="AH45" s="129"/>
      <c r="AI45" s="129"/>
      <c r="AJ45" s="129"/>
      <c r="AK45" s="129"/>
      <c r="AL45" s="129"/>
      <c r="AM45" s="129"/>
      <c r="AN45" s="129"/>
      <c r="AO45" s="129"/>
    </row>
    <row r="46" spans="1:52" s="2" customFormat="1" ht="15" hidden="1" customHeight="1" x14ac:dyDescent="0.2">
      <c r="A46" s="253"/>
      <c r="B46" s="254"/>
      <c r="C46" s="254"/>
      <c r="D46" s="18"/>
      <c r="E46" s="17"/>
      <c r="F46" s="116"/>
      <c r="K46" s="2" t="s">
        <v>9</v>
      </c>
      <c r="AD46" s="1"/>
      <c r="AE46" s="1"/>
      <c r="AF46" s="114"/>
      <c r="AG46" s="129"/>
      <c r="AH46" s="129"/>
      <c r="AI46" s="129"/>
      <c r="AJ46" s="129"/>
      <c r="AK46" s="129"/>
      <c r="AL46" s="129"/>
      <c r="AM46" s="129"/>
      <c r="AN46" s="129"/>
      <c r="AO46" s="129"/>
    </row>
    <row r="47" spans="1:52" s="2" customFormat="1" ht="15" customHeight="1" x14ac:dyDescent="0.2">
      <c r="A47" s="19" t="s">
        <v>8</v>
      </c>
      <c r="B47" s="227"/>
      <c r="C47" s="227"/>
      <c r="D47" s="18"/>
      <c r="E47" s="17">
        <v>342007.20899999997</v>
      </c>
      <c r="F47" s="116"/>
      <c r="K47" s="1" t="s">
        <v>7</v>
      </c>
      <c r="AD47" s="1"/>
      <c r="AE47" s="1"/>
      <c r="AF47" s="114"/>
      <c r="AG47" s="129"/>
      <c r="AH47" s="129"/>
      <c r="AI47" s="129"/>
      <c r="AJ47" s="129"/>
      <c r="AK47" s="129"/>
      <c r="AL47" s="129"/>
      <c r="AM47" s="129"/>
      <c r="AN47" s="129"/>
      <c r="AO47" s="129"/>
    </row>
    <row r="48" spans="1:52" s="2" customFormat="1" ht="15" customHeight="1" x14ac:dyDescent="0.2">
      <c r="A48" s="19" t="s">
        <v>6</v>
      </c>
      <c r="B48" s="227"/>
      <c r="C48" s="227"/>
      <c r="D48" s="18"/>
      <c r="E48" s="17">
        <v>165.416</v>
      </c>
      <c r="F48" s="116"/>
      <c r="K48" s="1" t="s">
        <v>116</v>
      </c>
      <c r="AD48" s="1"/>
      <c r="AE48" s="1"/>
      <c r="AF48" s="114"/>
      <c r="AG48" s="129"/>
      <c r="AH48" s="129"/>
      <c r="AI48" s="129"/>
      <c r="AJ48" s="129"/>
      <c r="AK48" s="129"/>
      <c r="AL48" s="129"/>
      <c r="AM48" s="129"/>
      <c r="AN48" s="129"/>
      <c r="AO48" s="129"/>
    </row>
    <row r="49" spans="1:52" s="2" customFormat="1" ht="15" customHeight="1" x14ac:dyDescent="0.2">
      <c r="A49" s="226" t="s">
        <v>5</v>
      </c>
      <c r="B49" s="227"/>
      <c r="C49" s="227"/>
      <c r="D49" s="18"/>
      <c r="E49" s="17">
        <v>8933.108400000001</v>
      </c>
      <c r="F49" s="116"/>
      <c r="AD49" s="1"/>
      <c r="AE49" s="1"/>
      <c r="AF49" s="114"/>
      <c r="AG49" s="129"/>
      <c r="AH49" s="129"/>
      <c r="AI49" s="129"/>
      <c r="AJ49" s="129"/>
      <c r="AK49" s="129"/>
      <c r="AL49" s="129"/>
      <c r="AM49" s="129"/>
      <c r="AN49" s="129"/>
      <c r="AO49" s="129"/>
    </row>
    <row r="50" spans="1:52" s="2" customFormat="1" ht="15" customHeight="1" x14ac:dyDescent="0.2">
      <c r="A50" s="226" t="s">
        <v>4</v>
      </c>
      <c r="B50" s="227"/>
      <c r="C50" s="227"/>
      <c r="D50" s="18"/>
      <c r="E50" s="17">
        <v>14799.167599999999</v>
      </c>
      <c r="F50" s="116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</row>
    <row r="51" spans="1:52" s="2" customFormat="1" ht="15" customHeight="1" x14ac:dyDescent="0.2">
      <c r="A51" s="19" t="s">
        <v>3</v>
      </c>
      <c r="B51" s="227"/>
      <c r="C51" s="227"/>
      <c r="D51" s="18"/>
      <c r="E51" s="17">
        <v>9905.3220458297728</v>
      </c>
      <c r="F51" s="116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</row>
    <row r="52" spans="1:52" s="209" customFormat="1" ht="20.100000000000001" customHeight="1" x14ac:dyDescent="0.2">
      <c r="A52" s="237" t="s">
        <v>100</v>
      </c>
      <c r="B52" s="252"/>
      <c r="C52" s="252"/>
      <c r="D52" s="208"/>
      <c r="E52" s="71">
        <f>SUM(E44:E51)</f>
        <v>8290301.586845831</v>
      </c>
      <c r="F52" s="118"/>
      <c r="AF52" s="230"/>
      <c r="AG52" s="230"/>
      <c r="AH52" s="230"/>
      <c r="AI52" s="230"/>
      <c r="AJ52" s="230"/>
      <c r="AK52" s="230"/>
      <c r="AL52" s="230"/>
      <c r="AM52" s="230"/>
      <c r="AN52" s="230"/>
      <c r="AO52" s="230"/>
    </row>
    <row r="53" spans="1:52" s="2" customFormat="1" ht="15" customHeight="1" x14ac:dyDescent="0.2">
      <c r="A53" s="253"/>
      <c r="B53" s="254"/>
      <c r="C53" s="254"/>
      <c r="D53" s="18"/>
      <c r="E53" s="17">
        <v>0</v>
      </c>
      <c r="F53" s="116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</row>
    <row r="54" spans="1:52" s="2" customFormat="1" ht="15" customHeight="1" x14ac:dyDescent="0.2">
      <c r="A54" s="253" t="s">
        <v>2</v>
      </c>
      <c r="B54" s="254"/>
      <c r="C54" s="254"/>
      <c r="D54" s="18"/>
      <c r="E54" s="17">
        <v>45.8</v>
      </c>
      <c r="F54" s="116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</row>
    <row r="55" spans="1:52" s="2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8290255.7868458312</v>
      </c>
      <c r="F55" s="116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</row>
    <row r="56" spans="1:52" x14ac:dyDescent="0.2">
      <c r="A56" s="2"/>
      <c r="B56" s="2"/>
      <c r="C56" s="2"/>
      <c r="D56" s="2"/>
      <c r="E56" s="2"/>
      <c r="F56" s="225"/>
      <c r="G56" s="210"/>
      <c r="H56" s="210"/>
      <c r="I56" s="210"/>
      <c r="J56" s="211"/>
      <c r="K56" s="2"/>
      <c r="L56" s="210"/>
      <c r="M56" s="210"/>
      <c r="N56" s="210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212" t="s">
        <v>114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E59" s="2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213" t="s">
        <v>96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V60" s="2"/>
      <c r="W60" s="11"/>
      <c r="X60" s="2"/>
      <c r="Y60" s="199"/>
      <c r="Z60" s="2"/>
      <c r="AA60" s="11"/>
      <c r="AB60" s="2"/>
      <c r="AC60" s="11"/>
      <c r="AD60" s="2"/>
      <c r="AE60" s="2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11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F39 D33 F33 AC33 W33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8749-DA73-4357-8999-6C0644CFF043}">
  <sheetPr>
    <pageSetUpPr fitToPage="1"/>
  </sheetPr>
  <dimension ref="A1:AZ77"/>
  <sheetViews>
    <sheetView showGridLines="0" showZeros="0" topLeftCell="J1" zoomScaleNormal="100" workbookViewId="0">
      <selection activeCell="J5" sqref="J5"/>
    </sheetView>
  </sheetViews>
  <sheetFormatPr baseColWidth="10" defaultColWidth="27.5546875" defaultRowHeight="12.75" x14ac:dyDescent="0.2"/>
  <cols>
    <col min="1" max="1" width="19.44140625" style="1" customWidth="1"/>
    <col min="2" max="3" width="12.77734375" style="1" customWidth="1"/>
    <col min="4" max="4" width="13" style="1" customWidth="1"/>
    <col min="5" max="6" width="12.77734375" style="1" customWidth="1"/>
    <col min="7" max="7" width="16.77734375" style="1" hidden="1" customWidth="1"/>
    <col min="8" max="8" width="18.33203125" style="1" hidden="1" customWidth="1"/>
    <col min="9" max="9" width="20.21875" style="1" hidden="1" customWidth="1"/>
    <col min="10" max="18" width="12.77734375" style="1" customWidth="1"/>
    <col min="19" max="19" width="27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8" width="27.5546875" style="1" hidden="1" customWidth="1"/>
    <col min="29" max="29" width="12.77734375" style="1" customWidth="1"/>
    <col min="30" max="30" width="17.88671875" style="1" customWidth="1"/>
    <col min="31" max="31" width="11.77734375" style="1" customWidth="1"/>
    <col min="32" max="32" width="12" style="1" customWidth="1"/>
    <col min="33" max="256" width="27.5546875" style="1"/>
    <col min="257" max="257" width="19.44140625" style="1" customWidth="1"/>
    <col min="258" max="259" width="12.77734375" style="1" customWidth="1"/>
    <col min="260" max="260" width="13" style="1" customWidth="1"/>
    <col min="261" max="262" width="12.77734375" style="1" customWidth="1"/>
    <col min="263" max="265" width="0" style="1" hidden="1" customWidth="1"/>
    <col min="266" max="274" width="12.77734375" style="1" customWidth="1"/>
    <col min="275" max="275" width="0" style="1" hidden="1" customWidth="1"/>
    <col min="276" max="279" width="12.77734375" style="1" customWidth="1"/>
    <col min="280" max="280" width="1.77734375" style="1" customWidth="1"/>
    <col min="281" max="281" width="12.77734375" style="1" customWidth="1"/>
    <col min="282" max="282" width="1.77734375" style="1" customWidth="1"/>
    <col min="283" max="284" width="0" style="1" hidden="1" customWidth="1"/>
    <col min="285" max="285" width="12.77734375" style="1" customWidth="1"/>
    <col min="286" max="286" width="17.88671875" style="1" customWidth="1"/>
    <col min="287" max="287" width="11.77734375" style="1" customWidth="1"/>
    <col min="288" max="288" width="12" style="1" customWidth="1"/>
    <col min="289" max="512" width="27.5546875" style="1"/>
    <col min="513" max="513" width="19.44140625" style="1" customWidth="1"/>
    <col min="514" max="515" width="12.77734375" style="1" customWidth="1"/>
    <col min="516" max="516" width="13" style="1" customWidth="1"/>
    <col min="517" max="518" width="12.77734375" style="1" customWidth="1"/>
    <col min="519" max="521" width="0" style="1" hidden="1" customWidth="1"/>
    <col min="522" max="530" width="12.77734375" style="1" customWidth="1"/>
    <col min="531" max="531" width="0" style="1" hidden="1" customWidth="1"/>
    <col min="532" max="535" width="12.77734375" style="1" customWidth="1"/>
    <col min="536" max="536" width="1.77734375" style="1" customWidth="1"/>
    <col min="537" max="537" width="12.77734375" style="1" customWidth="1"/>
    <col min="538" max="538" width="1.77734375" style="1" customWidth="1"/>
    <col min="539" max="540" width="0" style="1" hidden="1" customWidth="1"/>
    <col min="541" max="541" width="12.77734375" style="1" customWidth="1"/>
    <col min="542" max="542" width="17.88671875" style="1" customWidth="1"/>
    <col min="543" max="543" width="11.77734375" style="1" customWidth="1"/>
    <col min="544" max="544" width="12" style="1" customWidth="1"/>
    <col min="545" max="768" width="27.5546875" style="1"/>
    <col min="769" max="769" width="19.44140625" style="1" customWidth="1"/>
    <col min="770" max="771" width="12.77734375" style="1" customWidth="1"/>
    <col min="772" max="772" width="13" style="1" customWidth="1"/>
    <col min="773" max="774" width="12.77734375" style="1" customWidth="1"/>
    <col min="775" max="777" width="0" style="1" hidden="1" customWidth="1"/>
    <col min="778" max="786" width="12.77734375" style="1" customWidth="1"/>
    <col min="787" max="787" width="0" style="1" hidden="1" customWidth="1"/>
    <col min="788" max="791" width="12.77734375" style="1" customWidth="1"/>
    <col min="792" max="792" width="1.77734375" style="1" customWidth="1"/>
    <col min="793" max="793" width="12.77734375" style="1" customWidth="1"/>
    <col min="794" max="794" width="1.77734375" style="1" customWidth="1"/>
    <col min="795" max="796" width="0" style="1" hidden="1" customWidth="1"/>
    <col min="797" max="797" width="12.77734375" style="1" customWidth="1"/>
    <col min="798" max="798" width="17.88671875" style="1" customWidth="1"/>
    <col min="799" max="799" width="11.77734375" style="1" customWidth="1"/>
    <col min="800" max="800" width="12" style="1" customWidth="1"/>
    <col min="801" max="1024" width="27.5546875" style="1"/>
    <col min="1025" max="1025" width="19.44140625" style="1" customWidth="1"/>
    <col min="1026" max="1027" width="12.77734375" style="1" customWidth="1"/>
    <col min="1028" max="1028" width="13" style="1" customWidth="1"/>
    <col min="1029" max="1030" width="12.77734375" style="1" customWidth="1"/>
    <col min="1031" max="1033" width="0" style="1" hidden="1" customWidth="1"/>
    <col min="1034" max="1042" width="12.77734375" style="1" customWidth="1"/>
    <col min="1043" max="1043" width="0" style="1" hidden="1" customWidth="1"/>
    <col min="1044" max="1047" width="12.77734375" style="1" customWidth="1"/>
    <col min="1048" max="1048" width="1.77734375" style="1" customWidth="1"/>
    <col min="1049" max="1049" width="12.77734375" style="1" customWidth="1"/>
    <col min="1050" max="1050" width="1.77734375" style="1" customWidth="1"/>
    <col min="1051" max="1052" width="0" style="1" hidden="1" customWidth="1"/>
    <col min="1053" max="1053" width="12.77734375" style="1" customWidth="1"/>
    <col min="1054" max="1054" width="17.88671875" style="1" customWidth="1"/>
    <col min="1055" max="1055" width="11.77734375" style="1" customWidth="1"/>
    <col min="1056" max="1056" width="12" style="1" customWidth="1"/>
    <col min="1057" max="1280" width="27.5546875" style="1"/>
    <col min="1281" max="1281" width="19.44140625" style="1" customWidth="1"/>
    <col min="1282" max="1283" width="12.77734375" style="1" customWidth="1"/>
    <col min="1284" max="1284" width="13" style="1" customWidth="1"/>
    <col min="1285" max="1286" width="12.77734375" style="1" customWidth="1"/>
    <col min="1287" max="1289" width="0" style="1" hidden="1" customWidth="1"/>
    <col min="1290" max="1298" width="12.77734375" style="1" customWidth="1"/>
    <col min="1299" max="1299" width="0" style="1" hidden="1" customWidth="1"/>
    <col min="1300" max="1303" width="12.77734375" style="1" customWidth="1"/>
    <col min="1304" max="1304" width="1.77734375" style="1" customWidth="1"/>
    <col min="1305" max="1305" width="12.77734375" style="1" customWidth="1"/>
    <col min="1306" max="1306" width="1.77734375" style="1" customWidth="1"/>
    <col min="1307" max="1308" width="0" style="1" hidden="1" customWidth="1"/>
    <col min="1309" max="1309" width="12.77734375" style="1" customWidth="1"/>
    <col min="1310" max="1310" width="17.88671875" style="1" customWidth="1"/>
    <col min="1311" max="1311" width="11.77734375" style="1" customWidth="1"/>
    <col min="1312" max="1312" width="12" style="1" customWidth="1"/>
    <col min="1313" max="1536" width="27.5546875" style="1"/>
    <col min="1537" max="1537" width="19.44140625" style="1" customWidth="1"/>
    <col min="1538" max="1539" width="12.77734375" style="1" customWidth="1"/>
    <col min="1540" max="1540" width="13" style="1" customWidth="1"/>
    <col min="1541" max="1542" width="12.77734375" style="1" customWidth="1"/>
    <col min="1543" max="1545" width="0" style="1" hidden="1" customWidth="1"/>
    <col min="1546" max="1554" width="12.77734375" style="1" customWidth="1"/>
    <col min="1555" max="1555" width="0" style="1" hidden="1" customWidth="1"/>
    <col min="1556" max="1559" width="12.77734375" style="1" customWidth="1"/>
    <col min="1560" max="1560" width="1.77734375" style="1" customWidth="1"/>
    <col min="1561" max="1561" width="12.77734375" style="1" customWidth="1"/>
    <col min="1562" max="1562" width="1.77734375" style="1" customWidth="1"/>
    <col min="1563" max="1564" width="0" style="1" hidden="1" customWidth="1"/>
    <col min="1565" max="1565" width="12.77734375" style="1" customWidth="1"/>
    <col min="1566" max="1566" width="17.88671875" style="1" customWidth="1"/>
    <col min="1567" max="1567" width="11.77734375" style="1" customWidth="1"/>
    <col min="1568" max="1568" width="12" style="1" customWidth="1"/>
    <col min="1569" max="1792" width="27.5546875" style="1"/>
    <col min="1793" max="1793" width="19.44140625" style="1" customWidth="1"/>
    <col min="1794" max="1795" width="12.77734375" style="1" customWidth="1"/>
    <col min="1796" max="1796" width="13" style="1" customWidth="1"/>
    <col min="1797" max="1798" width="12.77734375" style="1" customWidth="1"/>
    <col min="1799" max="1801" width="0" style="1" hidden="1" customWidth="1"/>
    <col min="1802" max="1810" width="12.77734375" style="1" customWidth="1"/>
    <col min="1811" max="1811" width="0" style="1" hidden="1" customWidth="1"/>
    <col min="1812" max="1815" width="12.77734375" style="1" customWidth="1"/>
    <col min="1816" max="1816" width="1.77734375" style="1" customWidth="1"/>
    <col min="1817" max="1817" width="12.77734375" style="1" customWidth="1"/>
    <col min="1818" max="1818" width="1.77734375" style="1" customWidth="1"/>
    <col min="1819" max="1820" width="0" style="1" hidden="1" customWidth="1"/>
    <col min="1821" max="1821" width="12.77734375" style="1" customWidth="1"/>
    <col min="1822" max="1822" width="17.88671875" style="1" customWidth="1"/>
    <col min="1823" max="1823" width="11.77734375" style="1" customWidth="1"/>
    <col min="1824" max="1824" width="12" style="1" customWidth="1"/>
    <col min="1825" max="2048" width="27.5546875" style="1"/>
    <col min="2049" max="2049" width="19.44140625" style="1" customWidth="1"/>
    <col min="2050" max="2051" width="12.77734375" style="1" customWidth="1"/>
    <col min="2052" max="2052" width="13" style="1" customWidth="1"/>
    <col min="2053" max="2054" width="12.77734375" style="1" customWidth="1"/>
    <col min="2055" max="2057" width="0" style="1" hidden="1" customWidth="1"/>
    <col min="2058" max="2066" width="12.77734375" style="1" customWidth="1"/>
    <col min="2067" max="2067" width="0" style="1" hidden="1" customWidth="1"/>
    <col min="2068" max="2071" width="12.77734375" style="1" customWidth="1"/>
    <col min="2072" max="2072" width="1.77734375" style="1" customWidth="1"/>
    <col min="2073" max="2073" width="12.77734375" style="1" customWidth="1"/>
    <col min="2074" max="2074" width="1.77734375" style="1" customWidth="1"/>
    <col min="2075" max="2076" width="0" style="1" hidden="1" customWidth="1"/>
    <col min="2077" max="2077" width="12.77734375" style="1" customWidth="1"/>
    <col min="2078" max="2078" width="17.88671875" style="1" customWidth="1"/>
    <col min="2079" max="2079" width="11.77734375" style="1" customWidth="1"/>
    <col min="2080" max="2080" width="12" style="1" customWidth="1"/>
    <col min="2081" max="2304" width="27.5546875" style="1"/>
    <col min="2305" max="2305" width="19.44140625" style="1" customWidth="1"/>
    <col min="2306" max="2307" width="12.77734375" style="1" customWidth="1"/>
    <col min="2308" max="2308" width="13" style="1" customWidth="1"/>
    <col min="2309" max="2310" width="12.77734375" style="1" customWidth="1"/>
    <col min="2311" max="2313" width="0" style="1" hidden="1" customWidth="1"/>
    <col min="2314" max="2322" width="12.77734375" style="1" customWidth="1"/>
    <col min="2323" max="2323" width="0" style="1" hidden="1" customWidth="1"/>
    <col min="2324" max="2327" width="12.77734375" style="1" customWidth="1"/>
    <col min="2328" max="2328" width="1.77734375" style="1" customWidth="1"/>
    <col min="2329" max="2329" width="12.77734375" style="1" customWidth="1"/>
    <col min="2330" max="2330" width="1.77734375" style="1" customWidth="1"/>
    <col min="2331" max="2332" width="0" style="1" hidden="1" customWidth="1"/>
    <col min="2333" max="2333" width="12.77734375" style="1" customWidth="1"/>
    <col min="2334" max="2334" width="17.88671875" style="1" customWidth="1"/>
    <col min="2335" max="2335" width="11.77734375" style="1" customWidth="1"/>
    <col min="2336" max="2336" width="12" style="1" customWidth="1"/>
    <col min="2337" max="2560" width="27.5546875" style="1"/>
    <col min="2561" max="2561" width="19.44140625" style="1" customWidth="1"/>
    <col min="2562" max="2563" width="12.77734375" style="1" customWidth="1"/>
    <col min="2564" max="2564" width="13" style="1" customWidth="1"/>
    <col min="2565" max="2566" width="12.77734375" style="1" customWidth="1"/>
    <col min="2567" max="2569" width="0" style="1" hidden="1" customWidth="1"/>
    <col min="2570" max="2578" width="12.77734375" style="1" customWidth="1"/>
    <col min="2579" max="2579" width="0" style="1" hidden="1" customWidth="1"/>
    <col min="2580" max="2583" width="12.77734375" style="1" customWidth="1"/>
    <col min="2584" max="2584" width="1.77734375" style="1" customWidth="1"/>
    <col min="2585" max="2585" width="12.77734375" style="1" customWidth="1"/>
    <col min="2586" max="2586" width="1.77734375" style="1" customWidth="1"/>
    <col min="2587" max="2588" width="0" style="1" hidden="1" customWidth="1"/>
    <col min="2589" max="2589" width="12.77734375" style="1" customWidth="1"/>
    <col min="2590" max="2590" width="17.88671875" style="1" customWidth="1"/>
    <col min="2591" max="2591" width="11.77734375" style="1" customWidth="1"/>
    <col min="2592" max="2592" width="12" style="1" customWidth="1"/>
    <col min="2593" max="2816" width="27.5546875" style="1"/>
    <col min="2817" max="2817" width="19.44140625" style="1" customWidth="1"/>
    <col min="2818" max="2819" width="12.77734375" style="1" customWidth="1"/>
    <col min="2820" max="2820" width="13" style="1" customWidth="1"/>
    <col min="2821" max="2822" width="12.77734375" style="1" customWidth="1"/>
    <col min="2823" max="2825" width="0" style="1" hidden="1" customWidth="1"/>
    <col min="2826" max="2834" width="12.77734375" style="1" customWidth="1"/>
    <col min="2835" max="2835" width="0" style="1" hidden="1" customWidth="1"/>
    <col min="2836" max="2839" width="12.77734375" style="1" customWidth="1"/>
    <col min="2840" max="2840" width="1.77734375" style="1" customWidth="1"/>
    <col min="2841" max="2841" width="12.77734375" style="1" customWidth="1"/>
    <col min="2842" max="2842" width="1.77734375" style="1" customWidth="1"/>
    <col min="2843" max="2844" width="0" style="1" hidden="1" customWidth="1"/>
    <col min="2845" max="2845" width="12.77734375" style="1" customWidth="1"/>
    <col min="2846" max="2846" width="17.88671875" style="1" customWidth="1"/>
    <col min="2847" max="2847" width="11.77734375" style="1" customWidth="1"/>
    <col min="2848" max="2848" width="12" style="1" customWidth="1"/>
    <col min="2849" max="3072" width="27.5546875" style="1"/>
    <col min="3073" max="3073" width="19.44140625" style="1" customWidth="1"/>
    <col min="3074" max="3075" width="12.77734375" style="1" customWidth="1"/>
    <col min="3076" max="3076" width="13" style="1" customWidth="1"/>
    <col min="3077" max="3078" width="12.77734375" style="1" customWidth="1"/>
    <col min="3079" max="3081" width="0" style="1" hidden="1" customWidth="1"/>
    <col min="3082" max="3090" width="12.77734375" style="1" customWidth="1"/>
    <col min="3091" max="3091" width="0" style="1" hidden="1" customWidth="1"/>
    <col min="3092" max="3095" width="12.77734375" style="1" customWidth="1"/>
    <col min="3096" max="3096" width="1.77734375" style="1" customWidth="1"/>
    <col min="3097" max="3097" width="12.77734375" style="1" customWidth="1"/>
    <col min="3098" max="3098" width="1.77734375" style="1" customWidth="1"/>
    <col min="3099" max="3100" width="0" style="1" hidden="1" customWidth="1"/>
    <col min="3101" max="3101" width="12.77734375" style="1" customWidth="1"/>
    <col min="3102" max="3102" width="17.88671875" style="1" customWidth="1"/>
    <col min="3103" max="3103" width="11.77734375" style="1" customWidth="1"/>
    <col min="3104" max="3104" width="12" style="1" customWidth="1"/>
    <col min="3105" max="3328" width="27.5546875" style="1"/>
    <col min="3329" max="3329" width="19.44140625" style="1" customWidth="1"/>
    <col min="3330" max="3331" width="12.77734375" style="1" customWidth="1"/>
    <col min="3332" max="3332" width="13" style="1" customWidth="1"/>
    <col min="3333" max="3334" width="12.77734375" style="1" customWidth="1"/>
    <col min="3335" max="3337" width="0" style="1" hidden="1" customWidth="1"/>
    <col min="3338" max="3346" width="12.77734375" style="1" customWidth="1"/>
    <col min="3347" max="3347" width="0" style="1" hidden="1" customWidth="1"/>
    <col min="3348" max="3351" width="12.77734375" style="1" customWidth="1"/>
    <col min="3352" max="3352" width="1.77734375" style="1" customWidth="1"/>
    <col min="3353" max="3353" width="12.77734375" style="1" customWidth="1"/>
    <col min="3354" max="3354" width="1.77734375" style="1" customWidth="1"/>
    <col min="3355" max="3356" width="0" style="1" hidden="1" customWidth="1"/>
    <col min="3357" max="3357" width="12.77734375" style="1" customWidth="1"/>
    <col min="3358" max="3358" width="17.88671875" style="1" customWidth="1"/>
    <col min="3359" max="3359" width="11.77734375" style="1" customWidth="1"/>
    <col min="3360" max="3360" width="12" style="1" customWidth="1"/>
    <col min="3361" max="3584" width="27.5546875" style="1"/>
    <col min="3585" max="3585" width="19.44140625" style="1" customWidth="1"/>
    <col min="3586" max="3587" width="12.77734375" style="1" customWidth="1"/>
    <col min="3588" max="3588" width="13" style="1" customWidth="1"/>
    <col min="3589" max="3590" width="12.77734375" style="1" customWidth="1"/>
    <col min="3591" max="3593" width="0" style="1" hidden="1" customWidth="1"/>
    <col min="3594" max="3602" width="12.77734375" style="1" customWidth="1"/>
    <col min="3603" max="3603" width="0" style="1" hidden="1" customWidth="1"/>
    <col min="3604" max="3607" width="12.77734375" style="1" customWidth="1"/>
    <col min="3608" max="3608" width="1.77734375" style="1" customWidth="1"/>
    <col min="3609" max="3609" width="12.77734375" style="1" customWidth="1"/>
    <col min="3610" max="3610" width="1.77734375" style="1" customWidth="1"/>
    <col min="3611" max="3612" width="0" style="1" hidden="1" customWidth="1"/>
    <col min="3613" max="3613" width="12.77734375" style="1" customWidth="1"/>
    <col min="3614" max="3614" width="17.88671875" style="1" customWidth="1"/>
    <col min="3615" max="3615" width="11.77734375" style="1" customWidth="1"/>
    <col min="3616" max="3616" width="12" style="1" customWidth="1"/>
    <col min="3617" max="3840" width="27.5546875" style="1"/>
    <col min="3841" max="3841" width="19.44140625" style="1" customWidth="1"/>
    <col min="3842" max="3843" width="12.77734375" style="1" customWidth="1"/>
    <col min="3844" max="3844" width="13" style="1" customWidth="1"/>
    <col min="3845" max="3846" width="12.77734375" style="1" customWidth="1"/>
    <col min="3847" max="3849" width="0" style="1" hidden="1" customWidth="1"/>
    <col min="3850" max="3858" width="12.77734375" style="1" customWidth="1"/>
    <col min="3859" max="3859" width="0" style="1" hidden="1" customWidth="1"/>
    <col min="3860" max="3863" width="12.77734375" style="1" customWidth="1"/>
    <col min="3864" max="3864" width="1.77734375" style="1" customWidth="1"/>
    <col min="3865" max="3865" width="12.77734375" style="1" customWidth="1"/>
    <col min="3866" max="3866" width="1.77734375" style="1" customWidth="1"/>
    <col min="3867" max="3868" width="0" style="1" hidden="1" customWidth="1"/>
    <col min="3869" max="3869" width="12.77734375" style="1" customWidth="1"/>
    <col min="3870" max="3870" width="17.88671875" style="1" customWidth="1"/>
    <col min="3871" max="3871" width="11.77734375" style="1" customWidth="1"/>
    <col min="3872" max="3872" width="12" style="1" customWidth="1"/>
    <col min="3873" max="4096" width="27.5546875" style="1"/>
    <col min="4097" max="4097" width="19.44140625" style="1" customWidth="1"/>
    <col min="4098" max="4099" width="12.77734375" style="1" customWidth="1"/>
    <col min="4100" max="4100" width="13" style="1" customWidth="1"/>
    <col min="4101" max="4102" width="12.77734375" style="1" customWidth="1"/>
    <col min="4103" max="4105" width="0" style="1" hidden="1" customWidth="1"/>
    <col min="4106" max="4114" width="12.77734375" style="1" customWidth="1"/>
    <col min="4115" max="4115" width="0" style="1" hidden="1" customWidth="1"/>
    <col min="4116" max="4119" width="12.77734375" style="1" customWidth="1"/>
    <col min="4120" max="4120" width="1.77734375" style="1" customWidth="1"/>
    <col min="4121" max="4121" width="12.77734375" style="1" customWidth="1"/>
    <col min="4122" max="4122" width="1.77734375" style="1" customWidth="1"/>
    <col min="4123" max="4124" width="0" style="1" hidden="1" customWidth="1"/>
    <col min="4125" max="4125" width="12.77734375" style="1" customWidth="1"/>
    <col min="4126" max="4126" width="17.88671875" style="1" customWidth="1"/>
    <col min="4127" max="4127" width="11.77734375" style="1" customWidth="1"/>
    <col min="4128" max="4128" width="12" style="1" customWidth="1"/>
    <col min="4129" max="4352" width="27.5546875" style="1"/>
    <col min="4353" max="4353" width="19.44140625" style="1" customWidth="1"/>
    <col min="4354" max="4355" width="12.77734375" style="1" customWidth="1"/>
    <col min="4356" max="4356" width="13" style="1" customWidth="1"/>
    <col min="4357" max="4358" width="12.77734375" style="1" customWidth="1"/>
    <col min="4359" max="4361" width="0" style="1" hidden="1" customWidth="1"/>
    <col min="4362" max="4370" width="12.77734375" style="1" customWidth="1"/>
    <col min="4371" max="4371" width="0" style="1" hidden="1" customWidth="1"/>
    <col min="4372" max="4375" width="12.77734375" style="1" customWidth="1"/>
    <col min="4376" max="4376" width="1.77734375" style="1" customWidth="1"/>
    <col min="4377" max="4377" width="12.77734375" style="1" customWidth="1"/>
    <col min="4378" max="4378" width="1.77734375" style="1" customWidth="1"/>
    <col min="4379" max="4380" width="0" style="1" hidden="1" customWidth="1"/>
    <col min="4381" max="4381" width="12.77734375" style="1" customWidth="1"/>
    <col min="4382" max="4382" width="17.88671875" style="1" customWidth="1"/>
    <col min="4383" max="4383" width="11.77734375" style="1" customWidth="1"/>
    <col min="4384" max="4384" width="12" style="1" customWidth="1"/>
    <col min="4385" max="4608" width="27.5546875" style="1"/>
    <col min="4609" max="4609" width="19.44140625" style="1" customWidth="1"/>
    <col min="4610" max="4611" width="12.77734375" style="1" customWidth="1"/>
    <col min="4612" max="4612" width="13" style="1" customWidth="1"/>
    <col min="4613" max="4614" width="12.77734375" style="1" customWidth="1"/>
    <col min="4615" max="4617" width="0" style="1" hidden="1" customWidth="1"/>
    <col min="4618" max="4626" width="12.77734375" style="1" customWidth="1"/>
    <col min="4627" max="4627" width="0" style="1" hidden="1" customWidth="1"/>
    <col min="4628" max="4631" width="12.77734375" style="1" customWidth="1"/>
    <col min="4632" max="4632" width="1.77734375" style="1" customWidth="1"/>
    <col min="4633" max="4633" width="12.77734375" style="1" customWidth="1"/>
    <col min="4634" max="4634" width="1.77734375" style="1" customWidth="1"/>
    <col min="4635" max="4636" width="0" style="1" hidden="1" customWidth="1"/>
    <col min="4637" max="4637" width="12.77734375" style="1" customWidth="1"/>
    <col min="4638" max="4638" width="17.88671875" style="1" customWidth="1"/>
    <col min="4639" max="4639" width="11.77734375" style="1" customWidth="1"/>
    <col min="4640" max="4640" width="12" style="1" customWidth="1"/>
    <col min="4641" max="4864" width="27.5546875" style="1"/>
    <col min="4865" max="4865" width="19.44140625" style="1" customWidth="1"/>
    <col min="4866" max="4867" width="12.77734375" style="1" customWidth="1"/>
    <col min="4868" max="4868" width="13" style="1" customWidth="1"/>
    <col min="4869" max="4870" width="12.77734375" style="1" customWidth="1"/>
    <col min="4871" max="4873" width="0" style="1" hidden="1" customWidth="1"/>
    <col min="4874" max="4882" width="12.77734375" style="1" customWidth="1"/>
    <col min="4883" max="4883" width="0" style="1" hidden="1" customWidth="1"/>
    <col min="4884" max="4887" width="12.77734375" style="1" customWidth="1"/>
    <col min="4888" max="4888" width="1.77734375" style="1" customWidth="1"/>
    <col min="4889" max="4889" width="12.77734375" style="1" customWidth="1"/>
    <col min="4890" max="4890" width="1.77734375" style="1" customWidth="1"/>
    <col min="4891" max="4892" width="0" style="1" hidden="1" customWidth="1"/>
    <col min="4893" max="4893" width="12.77734375" style="1" customWidth="1"/>
    <col min="4894" max="4894" width="17.88671875" style="1" customWidth="1"/>
    <col min="4895" max="4895" width="11.77734375" style="1" customWidth="1"/>
    <col min="4896" max="4896" width="12" style="1" customWidth="1"/>
    <col min="4897" max="5120" width="27.5546875" style="1"/>
    <col min="5121" max="5121" width="19.44140625" style="1" customWidth="1"/>
    <col min="5122" max="5123" width="12.77734375" style="1" customWidth="1"/>
    <col min="5124" max="5124" width="13" style="1" customWidth="1"/>
    <col min="5125" max="5126" width="12.77734375" style="1" customWidth="1"/>
    <col min="5127" max="5129" width="0" style="1" hidden="1" customWidth="1"/>
    <col min="5130" max="5138" width="12.77734375" style="1" customWidth="1"/>
    <col min="5139" max="5139" width="0" style="1" hidden="1" customWidth="1"/>
    <col min="5140" max="5143" width="12.77734375" style="1" customWidth="1"/>
    <col min="5144" max="5144" width="1.77734375" style="1" customWidth="1"/>
    <col min="5145" max="5145" width="12.77734375" style="1" customWidth="1"/>
    <col min="5146" max="5146" width="1.77734375" style="1" customWidth="1"/>
    <col min="5147" max="5148" width="0" style="1" hidden="1" customWidth="1"/>
    <col min="5149" max="5149" width="12.77734375" style="1" customWidth="1"/>
    <col min="5150" max="5150" width="17.88671875" style="1" customWidth="1"/>
    <col min="5151" max="5151" width="11.77734375" style="1" customWidth="1"/>
    <col min="5152" max="5152" width="12" style="1" customWidth="1"/>
    <col min="5153" max="5376" width="27.5546875" style="1"/>
    <col min="5377" max="5377" width="19.44140625" style="1" customWidth="1"/>
    <col min="5378" max="5379" width="12.77734375" style="1" customWidth="1"/>
    <col min="5380" max="5380" width="13" style="1" customWidth="1"/>
    <col min="5381" max="5382" width="12.77734375" style="1" customWidth="1"/>
    <col min="5383" max="5385" width="0" style="1" hidden="1" customWidth="1"/>
    <col min="5386" max="5394" width="12.77734375" style="1" customWidth="1"/>
    <col min="5395" max="5395" width="0" style="1" hidden="1" customWidth="1"/>
    <col min="5396" max="5399" width="12.77734375" style="1" customWidth="1"/>
    <col min="5400" max="5400" width="1.77734375" style="1" customWidth="1"/>
    <col min="5401" max="5401" width="12.77734375" style="1" customWidth="1"/>
    <col min="5402" max="5402" width="1.77734375" style="1" customWidth="1"/>
    <col min="5403" max="5404" width="0" style="1" hidden="1" customWidth="1"/>
    <col min="5405" max="5405" width="12.77734375" style="1" customWidth="1"/>
    <col min="5406" max="5406" width="17.88671875" style="1" customWidth="1"/>
    <col min="5407" max="5407" width="11.77734375" style="1" customWidth="1"/>
    <col min="5408" max="5408" width="12" style="1" customWidth="1"/>
    <col min="5409" max="5632" width="27.5546875" style="1"/>
    <col min="5633" max="5633" width="19.44140625" style="1" customWidth="1"/>
    <col min="5634" max="5635" width="12.77734375" style="1" customWidth="1"/>
    <col min="5636" max="5636" width="13" style="1" customWidth="1"/>
    <col min="5637" max="5638" width="12.77734375" style="1" customWidth="1"/>
    <col min="5639" max="5641" width="0" style="1" hidden="1" customWidth="1"/>
    <col min="5642" max="5650" width="12.77734375" style="1" customWidth="1"/>
    <col min="5651" max="5651" width="0" style="1" hidden="1" customWidth="1"/>
    <col min="5652" max="5655" width="12.77734375" style="1" customWidth="1"/>
    <col min="5656" max="5656" width="1.77734375" style="1" customWidth="1"/>
    <col min="5657" max="5657" width="12.77734375" style="1" customWidth="1"/>
    <col min="5658" max="5658" width="1.77734375" style="1" customWidth="1"/>
    <col min="5659" max="5660" width="0" style="1" hidden="1" customWidth="1"/>
    <col min="5661" max="5661" width="12.77734375" style="1" customWidth="1"/>
    <col min="5662" max="5662" width="17.88671875" style="1" customWidth="1"/>
    <col min="5663" max="5663" width="11.77734375" style="1" customWidth="1"/>
    <col min="5664" max="5664" width="12" style="1" customWidth="1"/>
    <col min="5665" max="5888" width="27.5546875" style="1"/>
    <col min="5889" max="5889" width="19.44140625" style="1" customWidth="1"/>
    <col min="5890" max="5891" width="12.77734375" style="1" customWidth="1"/>
    <col min="5892" max="5892" width="13" style="1" customWidth="1"/>
    <col min="5893" max="5894" width="12.77734375" style="1" customWidth="1"/>
    <col min="5895" max="5897" width="0" style="1" hidden="1" customWidth="1"/>
    <col min="5898" max="5906" width="12.77734375" style="1" customWidth="1"/>
    <col min="5907" max="5907" width="0" style="1" hidden="1" customWidth="1"/>
    <col min="5908" max="5911" width="12.77734375" style="1" customWidth="1"/>
    <col min="5912" max="5912" width="1.77734375" style="1" customWidth="1"/>
    <col min="5913" max="5913" width="12.77734375" style="1" customWidth="1"/>
    <col min="5914" max="5914" width="1.77734375" style="1" customWidth="1"/>
    <col min="5915" max="5916" width="0" style="1" hidden="1" customWidth="1"/>
    <col min="5917" max="5917" width="12.77734375" style="1" customWidth="1"/>
    <col min="5918" max="5918" width="17.88671875" style="1" customWidth="1"/>
    <col min="5919" max="5919" width="11.77734375" style="1" customWidth="1"/>
    <col min="5920" max="5920" width="12" style="1" customWidth="1"/>
    <col min="5921" max="6144" width="27.5546875" style="1"/>
    <col min="6145" max="6145" width="19.44140625" style="1" customWidth="1"/>
    <col min="6146" max="6147" width="12.77734375" style="1" customWidth="1"/>
    <col min="6148" max="6148" width="13" style="1" customWidth="1"/>
    <col min="6149" max="6150" width="12.77734375" style="1" customWidth="1"/>
    <col min="6151" max="6153" width="0" style="1" hidden="1" customWidth="1"/>
    <col min="6154" max="6162" width="12.77734375" style="1" customWidth="1"/>
    <col min="6163" max="6163" width="0" style="1" hidden="1" customWidth="1"/>
    <col min="6164" max="6167" width="12.77734375" style="1" customWidth="1"/>
    <col min="6168" max="6168" width="1.77734375" style="1" customWidth="1"/>
    <col min="6169" max="6169" width="12.77734375" style="1" customWidth="1"/>
    <col min="6170" max="6170" width="1.77734375" style="1" customWidth="1"/>
    <col min="6171" max="6172" width="0" style="1" hidden="1" customWidth="1"/>
    <col min="6173" max="6173" width="12.77734375" style="1" customWidth="1"/>
    <col min="6174" max="6174" width="17.88671875" style="1" customWidth="1"/>
    <col min="6175" max="6175" width="11.77734375" style="1" customWidth="1"/>
    <col min="6176" max="6176" width="12" style="1" customWidth="1"/>
    <col min="6177" max="6400" width="27.5546875" style="1"/>
    <col min="6401" max="6401" width="19.44140625" style="1" customWidth="1"/>
    <col min="6402" max="6403" width="12.77734375" style="1" customWidth="1"/>
    <col min="6404" max="6404" width="13" style="1" customWidth="1"/>
    <col min="6405" max="6406" width="12.77734375" style="1" customWidth="1"/>
    <col min="6407" max="6409" width="0" style="1" hidden="1" customWidth="1"/>
    <col min="6410" max="6418" width="12.77734375" style="1" customWidth="1"/>
    <col min="6419" max="6419" width="0" style="1" hidden="1" customWidth="1"/>
    <col min="6420" max="6423" width="12.77734375" style="1" customWidth="1"/>
    <col min="6424" max="6424" width="1.77734375" style="1" customWidth="1"/>
    <col min="6425" max="6425" width="12.77734375" style="1" customWidth="1"/>
    <col min="6426" max="6426" width="1.77734375" style="1" customWidth="1"/>
    <col min="6427" max="6428" width="0" style="1" hidden="1" customWidth="1"/>
    <col min="6429" max="6429" width="12.77734375" style="1" customWidth="1"/>
    <col min="6430" max="6430" width="17.88671875" style="1" customWidth="1"/>
    <col min="6431" max="6431" width="11.77734375" style="1" customWidth="1"/>
    <col min="6432" max="6432" width="12" style="1" customWidth="1"/>
    <col min="6433" max="6656" width="27.5546875" style="1"/>
    <col min="6657" max="6657" width="19.44140625" style="1" customWidth="1"/>
    <col min="6658" max="6659" width="12.77734375" style="1" customWidth="1"/>
    <col min="6660" max="6660" width="13" style="1" customWidth="1"/>
    <col min="6661" max="6662" width="12.77734375" style="1" customWidth="1"/>
    <col min="6663" max="6665" width="0" style="1" hidden="1" customWidth="1"/>
    <col min="6666" max="6674" width="12.77734375" style="1" customWidth="1"/>
    <col min="6675" max="6675" width="0" style="1" hidden="1" customWidth="1"/>
    <col min="6676" max="6679" width="12.77734375" style="1" customWidth="1"/>
    <col min="6680" max="6680" width="1.77734375" style="1" customWidth="1"/>
    <col min="6681" max="6681" width="12.77734375" style="1" customWidth="1"/>
    <col min="6682" max="6682" width="1.77734375" style="1" customWidth="1"/>
    <col min="6683" max="6684" width="0" style="1" hidden="1" customWidth="1"/>
    <col min="6685" max="6685" width="12.77734375" style="1" customWidth="1"/>
    <col min="6686" max="6686" width="17.88671875" style="1" customWidth="1"/>
    <col min="6687" max="6687" width="11.77734375" style="1" customWidth="1"/>
    <col min="6688" max="6688" width="12" style="1" customWidth="1"/>
    <col min="6689" max="6912" width="27.5546875" style="1"/>
    <col min="6913" max="6913" width="19.44140625" style="1" customWidth="1"/>
    <col min="6914" max="6915" width="12.77734375" style="1" customWidth="1"/>
    <col min="6916" max="6916" width="13" style="1" customWidth="1"/>
    <col min="6917" max="6918" width="12.77734375" style="1" customWidth="1"/>
    <col min="6919" max="6921" width="0" style="1" hidden="1" customWidth="1"/>
    <col min="6922" max="6930" width="12.77734375" style="1" customWidth="1"/>
    <col min="6931" max="6931" width="0" style="1" hidden="1" customWidth="1"/>
    <col min="6932" max="6935" width="12.77734375" style="1" customWidth="1"/>
    <col min="6936" max="6936" width="1.77734375" style="1" customWidth="1"/>
    <col min="6937" max="6937" width="12.77734375" style="1" customWidth="1"/>
    <col min="6938" max="6938" width="1.77734375" style="1" customWidth="1"/>
    <col min="6939" max="6940" width="0" style="1" hidden="1" customWidth="1"/>
    <col min="6941" max="6941" width="12.77734375" style="1" customWidth="1"/>
    <col min="6942" max="6942" width="17.88671875" style="1" customWidth="1"/>
    <col min="6943" max="6943" width="11.77734375" style="1" customWidth="1"/>
    <col min="6944" max="6944" width="12" style="1" customWidth="1"/>
    <col min="6945" max="7168" width="27.5546875" style="1"/>
    <col min="7169" max="7169" width="19.44140625" style="1" customWidth="1"/>
    <col min="7170" max="7171" width="12.77734375" style="1" customWidth="1"/>
    <col min="7172" max="7172" width="13" style="1" customWidth="1"/>
    <col min="7173" max="7174" width="12.77734375" style="1" customWidth="1"/>
    <col min="7175" max="7177" width="0" style="1" hidden="1" customWidth="1"/>
    <col min="7178" max="7186" width="12.77734375" style="1" customWidth="1"/>
    <col min="7187" max="7187" width="0" style="1" hidden="1" customWidth="1"/>
    <col min="7188" max="7191" width="12.77734375" style="1" customWidth="1"/>
    <col min="7192" max="7192" width="1.77734375" style="1" customWidth="1"/>
    <col min="7193" max="7193" width="12.77734375" style="1" customWidth="1"/>
    <col min="7194" max="7194" width="1.77734375" style="1" customWidth="1"/>
    <col min="7195" max="7196" width="0" style="1" hidden="1" customWidth="1"/>
    <col min="7197" max="7197" width="12.77734375" style="1" customWidth="1"/>
    <col min="7198" max="7198" width="17.88671875" style="1" customWidth="1"/>
    <col min="7199" max="7199" width="11.77734375" style="1" customWidth="1"/>
    <col min="7200" max="7200" width="12" style="1" customWidth="1"/>
    <col min="7201" max="7424" width="27.5546875" style="1"/>
    <col min="7425" max="7425" width="19.44140625" style="1" customWidth="1"/>
    <col min="7426" max="7427" width="12.77734375" style="1" customWidth="1"/>
    <col min="7428" max="7428" width="13" style="1" customWidth="1"/>
    <col min="7429" max="7430" width="12.77734375" style="1" customWidth="1"/>
    <col min="7431" max="7433" width="0" style="1" hidden="1" customWidth="1"/>
    <col min="7434" max="7442" width="12.77734375" style="1" customWidth="1"/>
    <col min="7443" max="7443" width="0" style="1" hidden="1" customWidth="1"/>
    <col min="7444" max="7447" width="12.77734375" style="1" customWidth="1"/>
    <col min="7448" max="7448" width="1.77734375" style="1" customWidth="1"/>
    <col min="7449" max="7449" width="12.77734375" style="1" customWidth="1"/>
    <col min="7450" max="7450" width="1.77734375" style="1" customWidth="1"/>
    <col min="7451" max="7452" width="0" style="1" hidden="1" customWidth="1"/>
    <col min="7453" max="7453" width="12.77734375" style="1" customWidth="1"/>
    <col min="7454" max="7454" width="17.88671875" style="1" customWidth="1"/>
    <col min="7455" max="7455" width="11.77734375" style="1" customWidth="1"/>
    <col min="7456" max="7456" width="12" style="1" customWidth="1"/>
    <col min="7457" max="7680" width="27.5546875" style="1"/>
    <col min="7681" max="7681" width="19.44140625" style="1" customWidth="1"/>
    <col min="7682" max="7683" width="12.77734375" style="1" customWidth="1"/>
    <col min="7684" max="7684" width="13" style="1" customWidth="1"/>
    <col min="7685" max="7686" width="12.77734375" style="1" customWidth="1"/>
    <col min="7687" max="7689" width="0" style="1" hidden="1" customWidth="1"/>
    <col min="7690" max="7698" width="12.77734375" style="1" customWidth="1"/>
    <col min="7699" max="7699" width="0" style="1" hidden="1" customWidth="1"/>
    <col min="7700" max="7703" width="12.77734375" style="1" customWidth="1"/>
    <col min="7704" max="7704" width="1.77734375" style="1" customWidth="1"/>
    <col min="7705" max="7705" width="12.77734375" style="1" customWidth="1"/>
    <col min="7706" max="7706" width="1.77734375" style="1" customWidth="1"/>
    <col min="7707" max="7708" width="0" style="1" hidden="1" customWidth="1"/>
    <col min="7709" max="7709" width="12.77734375" style="1" customWidth="1"/>
    <col min="7710" max="7710" width="17.88671875" style="1" customWidth="1"/>
    <col min="7711" max="7711" width="11.77734375" style="1" customWidth="1"/>
    <col min="7712" max="7712" width="12" style="1" customWidth="1"/>
    <col min="7713" max="7936" width="27.5546875" style="1"/>
    <col min="7937" max="7937" width="19.44140625" style="1" customWidth="1"/>
    <col min="7938" max="7939" width="12.77734375" style="1" customWidth="1"/>
    <col min="7940" max="7940" width="13" style="1" customWidth="1"/>
    <col min="7941" max="7942" width="12.77734375" style="1" customWidth="1"/>
    <col min="7943" max="7945" width="0" style="1" hidden="1" customWidth="1"/>
    <col min="7946" max="7954" width="12.77734375" style="1" customWidth="1"/>
    <col min="7955" max="7955" width="0" style="1" hidden="1" customWidth="1"/>
    <col min="7956" max="7959" width="12.77734375" style="1" customWidth="1"/>
    <col min="7960" max="7960" width="1.77734375" style="1" customWidth="1"/>
    <col min="7961" max="7961" width="12.77734375" style="1" customWidth="1"/>
    <col min="7962" max="7962" width="1.77734375" style="1" customWidth="1"/>
    <col min="7963" max="7964" width="0" style="1" hidden="1" customWidth="1"/>
    <col min="7965" max="7965" width="12.77734375" style="1" customWidth="1"/>
    <col min="7966" max="7966" width="17.88671875" style="1" customWidth="1"/>
    <col min="7967" max="7967" width="11.77734375" style="1" customWidth="1"/>
    <col min="7968" max="7968" width="12" style="1" customWidth="1"/>
    <col min="7969" max="8192" width="27.5546875" style="1"/>
    <col min="8193" max="8193" width="19.44140625" style="1" customWidth="1"/>
    <col min="8194" max="8195" width="12.77734375" style="1" customWidth="1"/>
    <col min="8196" max="8196" width="13" style="1" customWidth="1"/>
    <col min="8197" max="8198" width="12.77734375" style="1" customWidth="1"/>
    <col min="8199" max="8201" width="0" style="1" hidden="1" customWidth="1"/>
    <col min="8202" max="8210" width="12.77734375" style="1" customWidth="1"/>
    <col min="8211" max="8211" width="0" style="1" hidden="1" customWidth="1"/>
    <col min="8212" max="8215" width="12.77734375" style="1" customWidth="1"/>
    <col min="8216" max="8216" width="1.77734375" style="1" customWidth="1"/>
    <col min="8217" max="8217" width="12.77734375" style="1" customWidth="1"/>
    <col min="8218" max="8218" width="1.77734375" style="1" customWidth="1"/>
    <col min="8219" max="8220" width="0" style="1" hidden="1" customWidth="1"/>
    <col min="8221" max="8221" width="12.77734375" style="1" customWidth="1"/>
    <col min="8222" max="8222" width="17.88671875" style="1" customWidth="1"/>
    <col min="8223" max="8223" width="11.77734375" style="1" customWidth="1"/>
    <col min="8224" max="8224" width="12" style="1" customWidth="1"/>
    <col min="8225" max="8448" width="27.5546875" style="1"/>
    <col min="8449" max="8449" width="19.44140625" style="1" customWidth="1"/>
    <col min="8450" max="8451" width="12.77734375" style="1" customWidth="1"/>
    <col min="8452" max="8452" width="13" style="1" customWidth="1"/>
    <col min="8453" max="8454" width="12.77734375" style="1" customWidth="1"/>
    <col min="8455" max="8457" width="0" style="1" hidden="1" customWidth="1"/>
    <col min="8458" max="8466" width="12.77734375" style="1" customWidth="1"/>
    <col min="8467" max="8467" width="0" style="1" hidden="1" customWidth="1"/>
    <col min="8468" max="8471" width="12.77734375" style="1" customWidth="1"/>
    <col min="8472" max="8472" width="1.77734375" style="1" customWidth="1"/>
    <col min="8473" max="8473" width="12.77734375" style="1" customWidth="1"/>
    <col min="8474" max="8474" width="1.77734375" style="1" customWidth="1"/>
    <col min="8475" max="8476" width="0" style="1" hidden="1" customWidth="1"/>
    <col min="8477" max="8477" width="12.77734375" style="1" customWidth="1"/>
    <col min="8478" max="8478" width="17.88671875" style="1" customWidth="1"/>
    <col min="8479" max="8479" width="11.77734375" style="1" customWidth="1"/>
    <col min="8480" max="8480" width="12" style="1" customWidth="1"/>
    <col min="8481" max="8704" width="27.5546875" style="1"/>
    <col min="8705" max="8705" width="19.44140625" style="1" customWidth="1"/>
    <col min="8706" max="8707" width="12.77734375" style="1" customWidth="1"/>
    <col min="8708" max="8708" width="13" style="1" customWidth="1"/>
    <col min="8709" max="8710" width="12.77734375" style="1" customWidth="1"/>
    <col min="8711" max="8713" width="0" style="1" hidden="1" customWidth="1"/>
    <col min="8714" max="8722" width="12.77734375" style="1" customWidth="1"/>
    <col min="8723" max="8723" width="0" style="1" hidden="1" customWidth="1"/>
    <col min="8724" max="8727" width="12.77734375" style="1" customWidth="1"/>
    <col min="8728" max="8728" width="1.77734375" style="1" customWidth="1"/>
    <col min="8729" max="8729" width="12.77734375" style="1" customWidth="1"/>
    <col min="8730" max="8730" width="1.77734375" style="1" customWidth="1"/>
    <col min="8731" max="8732" width="0" style="1" hidden="1" customWidth="1"/>
    <col min="8733" max="8733" width="12.77734375" style="1" customWidth="1"/>
    <col min="8734" max="8734" width="17.88671875" style="1" customWidth="1"/>
    <col min="8735" max="8735" width="11.77734375" style="1" customWidth="1"/>
    <col min="8736" max="8736" width="12" style="1" customWidth="1"/>
    <col min="8737" max="8960" width="27.5546875" style="1"/>
    <col min="8961" max="8961" width="19.44140625" style="1" customWidth="1"/>
    <col min="8962" max="8963" width="12.77734375" style="1" customWidth="1"/>
    <col min="8964" max="8964" width="13" style="1" customWidth="1"/>
    <col min="8965" max="8966" width="12.77734375" style="1" customWidth="1"/>
    <col min="8967" max="8969" width="0" style="1" hidden="1" customWidth="1"/>
    <col min="8970" max="8978" width="12.77734375" style="1" customWidth="1"/>
    <col min="8979" max="8979" width="0" style="1" hidden="1" customWidth="1"/>
    <col min="8980" max="8983" width="12.77734375" style="1" customWidth="1"/>
    <col min="8984" max="8984" width="1.77734375" style="1" customWidth="1"/>
    <col min="8985" max="8985" width="12.77734375" style="1" customWidth="1"/>
    <col min="8986" max="8986" width="1.77734375" style="1" customWidth="1"/>
    <col min="8987" max="8988" width="0" style="1" hidden="1" customWidth="1"/>
    <col min="8989" max="8989" width="12.77734375" style="1" customWidth="1"/>
    <col min="8990" max="8990" width="17.88671875" style="1" customWidth="1"/>
    <col min="8991" max="8991" width="11.77734375" style="1" customWidth="1"/>
    <col min="8992" max="8992" width="12" style="1" customWidth="1"/>
    <col min="8993" max="9216" width="27.5546875" style="1"/>
    <col min="9217" max="9217" width="19.44140625" style="1" customWidth="1"/>
    <col min="9218" max="9219" width="12.77734375" style="1" customWidth="1"/>
    <col min="9220" max="9220" width="13" style="1" customWidth="1"/>
    <col min="9221" max="9222" width="12.77734375" style="1" customWidth="1"/>
    <col min="9223" max="9225" width="0" style="1" hidden="1" customWidth="1"/>
    <col min="9226" max="9234" width="12.77734375" style="1" customWidth="1"/>
    <col min="9235" max="9235" width="0" style="1" hidden="1" customWidth="1"/>
    <col min="9236" max="9239" width="12.77734375" style="1" customWidth="1"/>
    <col min="9240" max="9240" width="1.77734375" style="1" customWidth="1"/>
    <col min="9241" max="9241" width="12.77734375" style="1" customWidth="1"/>
    <col min="9242" max="9242" width="1.77734375" style="1" customWidth="1"/>
    <col min="9243" max="9244" width="0" style="1" hidden="1" customWidth="1"/>
    <col min="9245" max="9245" width="12.77734375" style="1" customWidth="1"/>
    <col min="9246" max="9246" width="17.88671875" style="1" customWidth="1"/>
    <col min="9247" max="9247" width="11.77734375" style="1" customWidth="1"/>
    <col min="9248" max="9248" width="12" style="1" customWidth="1"/>
    <col min="9249" max="9472" width="27.5546875" style="1"/>
    <col min="9473" max="9473" width="19.44140625" style="1" customWidth="1"/>
    <col min="9474" max="9475" width="12.77734375" style="1" customWidth="1"/>
    <col min="9476" max="9476" width="13" style="1" customWidth="1"/>
    <col min="9477" max="9478" width="12.77734375" style="1" customWidth="1"/>
    <col min="9479" max="9481" width="0" style="1" hidden="1" customWidth="1"/>
    <col min="9482" max="9490" width="12.77734375" style="1" customWidth="1"/>
    <col min="9491" max="9491" width="0" style="1" hidden="1" customWidth="1"/>
    <col min="9492" max="9495" width="12.77734375" style="1" customWidth="1"/>
    <col min="9496" max="9496" width="1.77734375" style="1" customWidth="1"/>
    <col min="9497" max="9497" width="12.77734375" style="1" customWidth="1"/>
    <col min="9498" max="9498" width="1.77734375" style="1" customWidth="1"/>
    <col min="9499" max="9500" width="0" style="1" hidden="1" customWidth="1"/>
    <col min="9501" max="9501" width="12.77734375" style="1" customWidth="1"/>
    <col min="9502" max="9502" width="17.88671875" style="1" customWidth="1"/>
    <col min="9503" max="9503" width="11.77734375" style="1" customWidth="1"/>
    <col min="9504" max="9504" width="12" style="1" customWidth="1"/>
    <col min="9505" max="9728" width="27.5546875" style="1"/>
    <col min="9729" max="9729" width="19.44140625" style="1" customWidth="1"/>
    <col min="9730" max="9731" width="12.77734375" style="1" customWidth="1"/>
    <col min="9732" max="9732" width="13" style="1" customWidth="1"/>
    <col min="9733" max="9734" width="12.77734375" style="1" customWidth="1"/>
    <col min="9735" max="9737" width="0" style="1" hidden="1" customWidth="1"/>
    <col min="9738" max="9746" width="12.77734375" style="1" customWidth="1"/>
    <col min="9747" max="9747" width="0" style="1" hidden="1" customWidth="1"/>
    <col min="9748" max="9751" width="12.77734375" style="1" customWidth="1"/>
    <col min="9752" max="9752" width="1.77734375" style="1" customWidth="1"/>
    <col min="9753" max="9753" width="12.77734375" style="1" customWidth="1"/>
    <col min="9754" max="9754" width="1.77734375" style="1" customWidth="1"/>
    <col min="9755" max="9756" width="0" style="1" hidden="1" customWidth="1"/>
    <col min="9757" max="9757" width="12.77734375" style="1" customWidth="1"/>
    <col min="9758" max="9758" width="17.88671875" style="1" customWidth="1"/>
    <col min="9759" max="9759" width="11.77734375" style="1" customWidth="1"/>
    <col min="9760" max="9760" width="12" style="1" customWidth="1"/>
    <col min="9761" max="9984" width="27.5546875" style="1"/>
    <col min="9985" max="9985" width="19.44140625" style="1" customWidth="1"/>
    <col min="9986" max="9987" width="12.77734375" style="1" customWidth="1"/>
    <col min="9988" max="9988" width="13" style="1" customWidth="1"/>
    <col min="9989" max="9990" width="12.77734375" style="1" customWidth="1"/>
    <col min="9991" max="9993" width="0" style="1" hidden="1" customWidth="1"/>
    <col min="9994" max="10002" width="12.77734375" style="1" customWidth="1"/>
    <col min="10003" max="10003" width="0" style="1" hidden="1" customWidth="1"/>
    <col min="10004" max="10007" width="12.77734375" style="1" customWidth="1"/>
    <col min="10008" max="10008" width="1.77734375" style="1" customWidth="1"/>
    <col min="10009" max="10009" width="12.77734375" style="1" customWidth="1"/>
    <col min="10010" max="10010" width="1.77734375" style="1" customWidth="1"/>
    <col min="10011" max="10012" width="0" style="1" hidden="1" customWidth="1"/>
    <col min="10013" max="10013" width="12.77734375" style="1" customWidth="1"/>
    <col min="10014" max="10014" width="17.88671875" style="1" customWidth="1"/>
    <col min="10015" max="10015" width="11.77734375" style="1" customWidth="1"/>
    <col min="10016" max="10016" width="12" style="1" customWidth="1"/>
    <col min="10017" max="10240" width="27.5546875" style="1"/>
    <col min="10241" max="10241" width="19.44140625" style="1" customWidth="1"/>
    <col min="10242" max="10243" width="12.77734375" style="1" customWidth="1"/>
    <col min="10244" max="10244" width="13" style="1" customWidth="1"/>
    <col min="10245" max="10246" width="12.77734375" style="1" customWidth="1"/>
    <col min="10247" max="10249" width="0" style="1" hidden="1" customWidth="1"/>
    <col min="10250" max="10258" width="12.77734375" style="1" customWidth="1"/>
    <col min="10259" max="10259" width="0" style="1" hidden="1" customWidth="1"/>
    <col min="10260" max="10263" width="12.77734375" style="1" customWidth="1"/>
    <col min="10264" max="10264" width="1.77734375" style="1" customWidth="1"/>
    <col min="10265" max="10265" width="12.77734375" style="1" customWidth="1"/>
    <col min="10266" max="10266" width="1.77734375" style="1" customWidth="1"/>
    <col min="10267" max="10268" width="0" style="1" hidden="1" customWidth="1"/>
    <col min="10269" max="10269" width="12.77734375" style="1" customWidth="1"/>
    <col min="10270" max="10270" width="17.88671875" style="1" customWidth="1"/>
    <col min="10271" max="10271" width="11.77734375" style="1" customWidth="1"/>
    <col min="10272" max="10272" width="12" style="1" customWidth="1"/>
    <col min="10273" max="10496" width="27.5546875" style="1"/>
    <col min="10497" max="10497" width="19.44140625" style="1" customWidth="1"/>
    <col min="10498" max="10499" width="12.77734375" style="1" customWidth="1"/>
    <col min="10500" max="10500" width="13" style="1" customWidth="1"/>
    <col min="10501" max="10502" width="12.77734375" style="1" customWidth="1"/>
    <col min="10503" max="10505" width="0" style="1" hidden="1" customWidth="1"/>
    <col min="10506" max="10514" width="12.77734375" style="1" customWidth="1"/>
    <col min="10515" max="10515" width="0" style="1" hidden="1" customWidth="1"/>
    <col min="10516" max="10519" width="12.77734375" style="1" customWidth="1"/>
    <col min="10520" max="10520" width="1.77734375" style="1" customWidth="1"/>
    <col min="10521" max="10521" width="12.77734375" style="1" customWidth="1"/>
    <col min="10522" max="10522" width="1.77734375" style="1" customWidth="1"/>
    <col min="10523" max="10524" width="0" style="1" hidden="1" customWidth="1"/>
    <col min="10525" max="10525" width="12.77734375" style="1" customWidth="1"/>
    <col min="10526" max="10526" width="17.88671875" style="1" customWidth="1"/>
    <col min="10527" max="10527" width="11.77734375" style="1" customWidth="1"/>
    <col min="10528" max="10528" width="12" style="1" customWidth="1"/>
    <col min="10529" max="10752" width="27.5546875" style="1"/>
    <col min="10753" max="10753" width="19.44140625" style="1" customWidth="1"/>
    <col min="10754" max="10755" width="12.77734375" style="1" customWidth="1"/>
    <col min="10756" max="10756" width="13" style="1" customWidth="1"/>
    <col min="10757" max="10758" width="12.77734375" style="1" customWidth="1"/>
    <col min="10759" max="10761" width="0" style="1" hidden="1" customWidth="1"/>
    <col min="10762" max="10770" width="12.77734375" style="1" customWidth="1"/>
    <col min="10771" max="10771" width="0" style="1" hidden="1" customWidth="1"/>
    <col min="10772" max="10775" width="12.77734375" style="1" customWidth="1"/>
    <col min="10776" max="10776" width="1.77734375" style="1" customWidth="1"/>
    <col min="10777" max="10777" width="12.77734375" style="1" customWidth="1"/>
    <col min="10778" max="10778" width="1.77734375" style="1" customWidth="1"/>
    <col min="10779" max="10780" width="0" style="1" hidden="1" customWidth="1"/>
    <col min="10781" max="10781" width="12.77734375" style="1" customWidth="1"/>
    <col min="10782" max="10782" width="17.88671875" style="1" customWidth="1"/>
    <col min="10783" max="10783" width="11.77734375" style="1" customWidth="1"/>
    <col min="10784" max="10784" width="12" style="1" customWidth="1"/>
    <col min="10785" max="11008" width="27.5546875" style="1"/>
    <col min="11009" max="11009" width="19.44140625" style="1" customWidth="1"/>
    <col min="11010" max="11011" width="12.77734375" style="1" customWidth="1"/>
    <col min="11012" max="11012" width="13" style="1" customWidth="1"/>
    <col min="11013" max="11014" width="12.77734375" style="1" customWidth="1"/>
    <col min="11015" max="11017" width="0" style="1" hidden="1" customWidth="1"/>
    <col min="11018" max="11026" width="12.77734375" style="1" customWidth="1"/>
    <col min="11027" max="11027" width="0" style="1" hidden="1" customWidth="1"/>
    <col min="11028" max="11031" width="12.77734375" style="1" customWidth="1"/>
    <col min="11032" max="11032" width="1.77734375" style="1" customWidth="1"/>
    <col min="11033" max="11033" width="12.77734375" style="1" customWidth="1"/>
    <col min="11034" max="11034" width="1.77734375" style="1" customWidth="1"/>
    <col min="11035" max="11036" width="0" style="1" hidden="1" customWidth="1"/>
    <col min="11037" max="11037" width="12.77734375" style="1" customWidth="1"/>
    <col min="11038" max="11038" width="17.88671875" style="1" customWidth="1"/>
    <col min="11039" max="11039" width="11.77734375" style="1" customWidth="1"/>
    <col min="11040" max="11040" width="12" style="1" customWidth="1"/>
    <col min="11041" max="11264" width="27.5546875" style="1"/>
    <col min="11265" max="11265" width="19.44140625" style="1" customWidth="1"/>
    <col min="11266" max="11267" width="12.77734375" style="1" customWidth="1"/>
    <col min="11268" max="11268" width="13" style="1" customWidth="1"/>
    <col min="11269" max="11270" width="12.77734375" style="1" customWidth="1"/>
    <col min="11271" max="11273" width="0" style="1" hidden="1" customWidth="1"/>
    <col min="11274" max="11282" width="12.77734375" style="1" customWidth="1"/>
    <col min="11283" max="11283" width="0" style="1" hidden="1" customWidth="1"/>
    <col min="11284" max="11287" width="12.77734375" style="1" customWidth="1"/>
    <col min="11288" max="11288" width="1.77734375" style="1" customWidth="1"/>
    <col min="11289" max="11289" width="12.77734375" style="1" customWidth="1"/>
    <col min="11290" max="11290" width="1.77734375" style="1" customWidth="1"/>
    <col min="11291" max="11292" width="0" style="1" hidden="1" customWidth="1"/>
    <col min="11293" max="11293" width="12.77734375" style="1" customWidth="1"/>
    <col min="11294" max="11294" width="17.88671875" style="1" customWidth="1"/>
    <col min="11295" max="11295" width="11.77734375" style="1" customWidth="1"/>
    <col min="11296" max="11296" width="12" style="1" customWidth="1"/>
    <col min="11297" max="11520" width="27.5546875" style="1"/>
    <col min="11521" max="11521" width="19.44140625" style="1" customWidth="1"/>
    <col min="11522" max="11523" width="12.77734375" style="1" customWidth="1"/>
    <col min="11524" max="11524" width="13" style="1" customWidth="1"/>
    <col min="11525" max="11526" width="12.77734375" style="1" customWidth="1"/>
    <col min="11527" max="11529" width="0" style="1" hidden="1" customWidth="1"/>
    <col min="11530" max="11538" width="12.77734375" style="1" customWidth="1"/>
    <col min="11539" max="11539" width="0" style="1" hidden="1" customWidth="1"/>
    <col min="11540" max="11543" width="12.77734375" style="1" customWidth="1"/>
    <col min="11544" max="11544" width="1.77734375" style="1" customWidth="1"/>
    <col min="11545" max="11545" width="12.77734375" style="1" customWidth="1"/>
    <col min="11546" max="11546" width="1.77734375" style="1" customWidth="1"/>
    <col min="11547" max="11548" width="0" style="1" hidden="1" customWidth="1"/>
    <col min="11549" max="11549" width="12.77734375" style="1" customWidth="1"/>
    <col min="11550" max="11550" width="17.88671875" style="1" customWidth="1"/>
    <col min="11551" max="11551" width="11.77734375" style="1" customWidth="1"/>
    <col min="11552" max="11552" width="12" style="1" customWidth="1"/>
    <col min="11553" max="11776" width="27.5546875" style="1"/>
    <col min="11777" max="11777" width="19.44140625" style="1" customWidth="1"/>
    <col min="11778" max="11779" width="12.77734375" style="1" customWidth="1"/>
    <col min="11780" max="11780" width="13" style="1" customWidth="1"/>
    <col min="11781" max="11782" width="12.77734375" style="1" customWidth="1"/>
    <col min="11783" max="11785" width="0" style="1" hidden="1" customWidth="1"/>
    <col min="11786" max="11794" width="12.77734375" style="1" customWidth="1"/>
    <col min="11795" max="11795" width="0" style="1" hidden="1" customWidth="1"/>
    <col min="11796" max="11799" width="12.77734375" style="1" customWidth="1"/>
    <col min="11800" max="11800" width="1.77734375" style="1" customWidth="1"/>
    <col min="11801" max="11801" width="12.77734375" style="1" customWidth="1"/>
    <col min="11802" max="11802" width="1.77734375" style="1" customWidth="1"/>
    <col min="11803" max="11804" width="0" style="1" hidden="1" customWidth="1"/>
    <col min="11805" max="11805" width="12.77734375" style="1" customWidth="1"/>
    <col min="11806" max="11806" width="17.88671875" style="1" customWidth="1"/>
    <col min="11807" max="11807" width="11.77734375" style="1" customWidth="1"/>
    <col min="11808" max="11808" width="12" style="1" customWidth="1"/>
    <col min="11809" max="12032" width="27.5546875" style="1"/>
    <col min="12033" max="12033" width="19.44140625" style="1" customWidth="1"/>
    <col min="12034" max="12035" width="12.77734375" style="1" customWidth="1"/>
    <col min="12036" max="12036" width="13" style="1" customWidth="1"/>
    <col min="12037" max="12038" width="12.77734375" style="1" customWidth="1"/>
    <col min="12039" max="12041" width="0" style="1" hidden="1" customWidth="1"/>
    <col min="12042" max="12050" width="12.77734375" style="1" customWidth="1"/>
    <col min="12051" max="12051" width="0" style="1" hidden="1" customWidth="1"/>
    <col min="12052" max="12055" width="12.77734375" style="1" customWidth="1"/>
    <col min="12056" max="12056" width="1.77734375" style="1" customWidth="1"/>
    <col min="12057" max="12057" width="12.77734375" style="1" customWidth="1"/>
    <col min="12058" max="12058" width="1.77734375" style="1" customWidth="1"/>
    <col min="12059" max="12060" width="0" style="1" hidden="1" customWidth="1"/>
    <col min="12061" max="12061" width="12.77734375" style="1" customWidth="1"/>
    <col min="12062" max="12062" width="17.88671875" style="1" customWidth="1"/>
    <col min="12063" max="12063" width="11.77734375" style="1" customWidth="1"/>
    <col min="12064" max="12064" width="12" style="1" customWidth="1"/>
    <col min="12065" max="12288" width="27.5546875" style="1"/>
    <col min="12289" max="12289" width="19.44140625" style="1" customWidth="1"/>
    <col min="12290" max="12291" width="12.77734375" style="1" customWidth="1"/>
    <col min="12292" max="12292" width="13" style="1" customWidth="1"/>
    <col min="12293" max="12294" width="12.77734375" style="1" customWidth="1"/>
    <col min="12295" max="12297" width="0" style="1" hidden="1" customWidth="1"/>
    <col min="12298" max="12306" width="12.77734375" style="1" customWidth="1"/>
    <col min="12307" max="12307" width="0" style="1" hidden="1" customWidth="1"/>
    <col min="12308" max="12311" width="12.77734375" style="1" customWidth="1"/>
    <col min="12312" max="12312" width="1.77734375" style="1" customWidth="1"/>
    <col min="12313" max="12313" width="12.77734375" style="1" customWidth="1"/>
    <col min="12314" max="12314" width="1.77734375" style="1" customWidth="1"/>
    <col min="12315" max="12316" width="0" style="1" hidden="1" customWidth="1"/>
    <col min="12317" max="12317" width="12.77734375" style="1" customWidth="1"/>
    <col min="12318" max="12318" width="17.88671875" style="1" customWidth="1"/>
    <col min="12319" max="12319" width="11.77734375" style="1" customWidth="1"/>
    <col min="12320" max="12320" width="12" style="1" customWidth="1"/>
    <col min="12321" max="12544" width="27.5546875" style="1"/>
    <col min="12545" max="12545" width="19.44140625" style="1" customWidth="1"/>
    <col min="12546" max="12547" width="12.77734375" style="1" customWidth="1"/>
    <col min="12548" max="12548" width="13" style="1" customWidth="1"/>
    <col min="12549" max="12550" width="12.77734375" style="1" customWidth="1"/>
    <col min="12551" max="12553" width="0" style="1" hidden="1" customWidth="1"/>
    <col min="12554" max="12562" width="12.77734375" style="1" customWidth="1"/>
    <col min="12563" max="12563" width="0" style="1" hidden="1" customWidth="1"/>
    <col min="12564" max="12567" width="12.77734375" style="1" customWidth="1"/>
    <col min="12568" max="12568" width="1.77734375" style="1" customWidth="1"/>
    <col min="12569" max="12569" width="12.77734375" style="1" customWidth="1"/>
    <col min="12570" max="12570" width="1.77734375" style="1" customWidth="1"/>
    <col min="12571" max="12572" width="0" style="1" hidden="1" customWidth="1"/>
    <col min="12573" max="12573" width="12.77734375" style="1" customWidth="1"/>
    <col min="12574" max="12574" width="17.88671875" style="1" customWidth="1"/>
    <col min="12575" max="12575" width="11.77734375" style="1" customWidth="1"/>
    <col min="12576" max="12576" width="12" style="1" customWidth="1"/>
    <col min="12577" max="12800" width="27.5546875" style="1"/>
    <col min="12801" max="12801" width="19.44140625" style="1" customWidth="1"/>
    <col min="12802" max="12803" width="12.77734375" style="1" customWidth="1"/>
    <col min="12804" max="12804" width="13" style="1" customWidth="1"/>
    <col min="12805" max="12806" width="12.77734375" style="1" customWidth="1"/>
    <col min="12807" max="12809" width="0" style="1" hidden="1" customWidth="1"/>
    <col min="12810" max="12818" width="12.77734375" style="1" customWidth="1"/>
    <col min="12819" max="12819" width="0" style="1" hidden="1" customWidth="1"/>
    <col min="12820" max="12823" width="12.77734375" style="1" customWidth="1"/>
    <col min="12824" max="12824" width="1.77734375" style="1" customWidth="1"/>
    <col min="12825" max="12825" width="12.77734375" style="1" customWidth="1"/>
    <col min="12826" max="12826" width="1.77734375" style="1" customWidth="1"/>
    <col min="12827" max="12828" width="0" style="1" hidden="1" customWidth="1"/>
    <col min="12829" max="12829" width="12.77734375" style="1" customWidth="1"/>
    <col min="12830" max="12830" width="17.88671875" style="1" customWidth="1"/>
    <col min="12831" max="12831" width="11.77734375" style="1" customWidth="1"/>
    <col min="12832" max="12832" width="12" style="1" customWidth="1"/>
    <col min="12833" max="13056" width="27.5546875" style="1"/>
    <col min="13057" max="13057" width="19.44140625" style="1" customWidth="1"/>
    <col min="13058" max="13059" width="12.77734375" style="1" customWidth="1"/>
    <col min="13060" max="13060" width="13" style="1" customWidth="1"/>
    <col min="13061" max="13062" width="12.77734375" style="1" customWidth="1"/>
    <col min="13063" max="13065" width="0" style="1" hidden="1" customWidth="1"/>
    <col min="13066" max="13074" width="12.77734375" style="1" customWidth="1"/>
    <col min="13075" max="13075" width="0" style="1" hidden="1" customWidth="1"/>
    <col min="13076" max="13079" width="12.77734375" style="1" customWidth="1"/>
    <col min="13080" max="13080" width="1.77734375" style="1" customWidth="1"/>
    <col min="13081" max="13081" width="12.77734375" style="1" customWidth="1"/>
    <col min="13082" max="13082" width="1.77734375" style="1" customWidth="1"/>
    <col min="13083" max="13084" width="0" style="1" hidden="1" customWidth="1"/>
    <col min="13085" max="13085" width="12.77734375" style="1" customWidth="1"/>
    <col min="13086" max="13086" width="17.88671875" style="1" customWidth="1"/>
    <col min="13087" max="13087" width="11.77734375" style="1" customWidth="1"/>
    <col min="13088" max="13088" width="12" style="1" customWidth="1"/>
    <col min="13089" max="13312" width="27.5546875" style="1"/>
    <col min="13313" max="13313" width="19.44140625" style="1" customWidth="1"/>
    <col min="13314" max="13315" width="12.77734375" style="1" customWidth="1"/>
    <col min="13316" max="13316" width="13" style="1" customWidth="1"/>
    <col min="13317" max="13318" width="12.77734375" style="1" customWidth="1"/>
    <col min="13319" max="13321" width="0" style="1" hidden="1" customWidth="1"/>
    <col min="13322" max="13330" width="12.77734375" style="1" customWidth="1"/>
    <col min="13331" max="13331" width="0" style="1" hidden="1" customWidth="1"/>
    <col min="13332" max="13335" width="12.77734375" style="1" customWidth="1"/>
    <col min="13336" max="13336" width="1.77734375" style="1" customWidth="1"/>
    <col min="13337" max="13337" width="12.77734375" style="1" customWidth="1"/>
    <col min="13338" max="13338" width="1.77734375" style="1" customWidth="1"/>
    <col min="13339" max="13340" width="0" style="1" hidden="1" customWidth="1"/>
    <col min="13341" max="13341" width="12.77734375" style="1" customWidth="1"/>
    <col min="13342" max="13342" width="17.88671875" style="1" customWidth="1"/>
    <col min="13343" max="13343" width="11.77734375" style="1" customWidth="1"/>
    <col min="13344" max="13344" width="12" style="1" customWidth="1"/>
    <col min="13345" max="13568" width="27.5546875" style="1"/>
    <col min="13569" max="13569" width="19.44140625" style="1" customWidth="1"/>
    <col min="13570" max="13571" width="12.77734375" style="1" customWidth="1"/>
    <col min="13572" max="13572" width="13" style="1" customWidth="1"/>
    <col min="13573" max="13574" width="12.77734375" style="1" customWidth="1"/>
    <col min="13575" max="13577" width="0" style="1" hidden="1" customWidth="1"/>
    <col min="13578" max="13586" width="12.77734375" style="1" customWidth="1"/>
    <col min="13587" max="13587" width="0" style="1" hidden="1" customWidth="1"/>
    <col min="13588" max="13591" width="12.77734375" style="1" customWidth="1"/>
    <col min="13592" max="13592" width="1.77734375" style="1" customWidth="1"/>
    <col min="13593" max="13593" width="12.77734375" style="1" customWidth="1"/>
    <col min="13594" max="13594" width="1.77734375" style="1" customWidth="1"/>
    <col min="13595" max="13596" width="0" style="1" hidden="1" customWidth="1"/>
    <col min="13597" max="13597" width="12.77734375" style="1" customWidth="1"/>
    <col min="13598" max="13598" width="17.88671875" style="1" customWidth="1"/>
    <col min="13599" max="13599" width="11.77734375" style="1" customWidth="1"/>
    <col min="13600" max="13600" width="12" style="1" customWidth="1"/>
    <col min="13601" max="13824" width="27.5546875" style="1"/>
    <col min="13825" max="13825" width="19.44140625" style="1" customWidth="1"/>
    <col min="13826" max="13827" width="12.77734375" style="1" customWidth="1"/>
    <col min="13828" max="13828" width="13" style="1" customWidth="1"/>
    <col min="13829" max="13830" width="12.77734375" style="1" customWidth="1"/>
    <col min="13831" max="13833" width="0" style="1" hidden="1" customWidth="1"/>
    <col min="13834" max="13842" width="12.77734375" style="1" customWidth="1"/>
    <col min="13843" max="13843" width="0" style="1" hidden="1" customWidth="1"/>
    <col min="13844" max="13847" width="12.77734375" style="1" customWidth="1"/>
    <col min="13848" max="13848" width="1.77734375" style="1" customWidth="1"/>
    <col min="13849" max="13849" width="12.77734375" style="1" customWidth="1"/>
    <col min="13850" max="13850" width="1.77734375" style="1" customWidth="1"/>
    <col min="13851" max="13852" width="0" style="1" hidden="1" customWidth="1"/>
    <col min="13853" max="13853" width="12.77734375" style="1" customWidth="1"/>
    <col min="13854" max="13854" width="17.88671875" style="1" customWidth="1"/>
    <col min="13855" max="13855" width="11.77734375" style="1" customWidth="1"/>
    <col min="13856" max="13856" width="12" style="1" customWidth="1"/>
    <col min="13857" max="14080" width="27.5546875" style="1"/>
    <col min="14081" max="14081" width="19.44140625" style="1" customWidth="1"/>
    <col min="14082" max="14083" width="12.77734375" style="1" customWidth="1"/>
    <col min="14084" max="14084" width="13" style="1" customWidth="1"/>
    <col min="14085" max="14086" width="12.77734375" style="1" customWidth="1"/>
    <col min="14087" max="14089" width="0" style="1" hidden="1" customWidth="1"/>
    <col min="14090" max="14098" width="12.77734375" style="1" customWidth="1"/>
    <col min="14099" max="14099" width="0" style="1" hidden="1" customWidth="1"/>
    <col min="14100" max="14103" width="12.77734375" style="1" customWidth="1"/>
    <col min="14104" max="14104" width="1.77734375" style="1" customWidth="1"/>
    <col min="14105" max="14105" width="12.77734375" style="1" customWidth="1"/>
    <col min="14106" max="14106" width="1.77734375" style="1" customWidth="1"/>
    <col min="14107" max="14108" width="0" style="1" hidden="1" customWidth="1"/>
    <col min="14109" max="14109" width="12.77734375" style="1" customWidth="1"/>
    <col min="14110" max="14110" width="17.88671875" style="1" customWidth="1"/>
    <col min="14111" max="14111" width="11.77734375" style="1" customWidth="1"/>
    <col min="14112" max="14112" width="12" style="1" customWidth="1"/>
    <col min="14113" max="14336" width="27.5546875" style="1"/>
    <col min="14337" max="14337" width="19.44140625" style="1" customWidth="1"/>
    <col min="14338" max="14339" width="12.77734375" style="1" customWidth="1"/>
    <col min="14340" max="14340" width="13" style="1" customWidth="1"/>
    <col min="14341" max="14342" width="12.77734375" style="1" customWidth="1"/>
    <col min="14343" max="14345" width="0" style="1" hidden="1" customWidth="1"/>
    <col min="14346" max="14354" width="12.77734375" style="1" customWidth="1"/>
    <col min="14355" max="14355" width="0" style="1" hidden="1" customWidth="1"/>
    <col min="14356" max="14359" width="12.77734375" style="1" customWidth="1"/>
    <col min="14360" max="14360" width="1.77734375" style="1" customWidth="1"/>
    <col min="14361" max="14361" width="12.77734375" style="1" customWidth="1"/>
    <col min="14362" max="14362" width="1.77734375" style="1" customWidth="1"/>
    <col min="14363" max="14364" width="0" style="1" hidden="1" customWidth="1"/>
    <col min="14365" max="14365" width="12.77734375" style="1" customWidth="1"/>
    <col min="14366" max="14366" width="17.88671875" style="1" customWidth="1"/>
    <col min="14367" max="14367" width="11.77734375" style="1" customWidth="1"/>
    <col min="14368" max="14368" width="12" style="1" customWidth="1"/>
    <col min="14369" max="14592" width="27.5546875" style="1"/>
    <col min="14593" max="14593" width="19.44140625" style="1" customWidth="1"/>
    <col min="14594" max="14595" width="12.77734375" style="1" customWidth="1"/>
    <col min="14596" max="14596" width="13" style="1" customWidth="1"/>
    <col min="14597" max="14598" width="12.77734375" style="1" customWidth="1"/>
    <col min="14599" max="14601" width="0" style="1" hidden="1" customWidth="1"/>
    <col min="14602" max="14610" width="12.77734375" style="1" customWidth="1"/>
    <col min="14611" max="14611" width="0" style="1" hidden="1" customWidth="1"/>
    <col min="14612" max="14615" width="12.77734375" style="1" customWidth="1"/>
    <col min="14616" max="14616" width="1.77734375" style="1" customWidth="1"/>
    <col min="14617" max="14617" width="12.77734375" style="1" customWidth="1"/>
    <col min="14618" max="14618" width="1.77734375" style="1" customWidth="1"/>
    <col min="14619" max="14620" width="0" style="1" hidden="1" customWidth="1"/>
    <col min="14621" max="14621" width="12.77734375" style="1" customWidth="1"/>
    <col min="14622" max="14622" width="17.88671875" style="1" customWidth="1"/>
    <col min="14623" max="14623" width="11.77734375" style="1" customWidth="1"/>
    <col min="14624" max="14624" width="12" style="1" customWidth="1"/>
    <col min="14625" max="14848" width="27.5546875" style="1"/>
    <col min="14849" max="14849" width="19.44140625" style="1" customWidth="1"/>
    <col min="14850" max="14851" width="12.77734375" style="1" customWidth="1"/>
    <col min="14852" max="14852" width="13" style="1" customWidth="1"/>
    <col min="14853" max="14854" width="12.77734375" style="1" customWidth="1"/>
    <col min="14855" max="14857" width="0" style="1" hidden="1" customWidth="1"/>
    <col min="14858" max="14866" width="12.77734375" style="1" customWidth="1"/>
    <col min="14867" max="14867" width="0" style="1" hidden="1" customWidth="1"/>
    <col min="14868" max="14871" width="12.77734375" style="1" customWidth="1"/>
    <col min="14872" max="14872" width="1.77734375" style="1" customWidth="1"/>
    <col min="14873" max="14873" width="12.77734375" style="1" customWidth="1"/>
    <col min="14874" max="14874" width="1.77734375" style="1" customWidth="1"/>
    <col min="14875" max="14876" width="0" style="1" hidden="1" customWidth="1"/>
    <col min="14877" max="14877" width="12.77734375" style="1" customWidth="1"/>
    <col min="14878" max="14878" width="17.88671875" style="1" customWidth="1"/>
    <col min="14879" max="14879" width="11.77734375" style="1" customWidth="1"/>
    <col min="14880" max="14880" width="12" style="1" customWidth="1"/>
    <col min="14881" max="15104" width="27.5546875" style="1"/>
    <col min="15105" max="15105" width="19.44140625" style="1" customWidth="1"/>
    <col min="15106" max="15107" width="12.77734375" style="1" customWidth="1"/>
    <col min="15108" max="15108" width="13" style="1" customWidth="1"/>
    <col min="15109" max="15110" width="12.77734375" style="1" customWidth="1"/>
    <col min="15111" max="15113" width="0" style="1" hidden="1" customWidth="1"/>
    <col min="15114" max="15122" width="12.77734375" style="1" customWidth="1"/>
    <col min="15123" max="15123" width="0" style="1" hidden="1" customWidth="1"/>
    <col min="15124" max="15127" width="12.77734375" style="1" customWidth="1"/>
    <col min="15128" max="15128" width="1.77734375" style="1" customWidth="1"/>
    <col min="15129" max="15129" width="12.77734375" style="1" customWidth="1"/>
    <col min="15130" max="15130" width="1.77734375" style="1" customWidth="1"/>
    <col min="15131" max="15132" width="0" style="1" hidden="1" customWidth="1"/>
    <col min="15133" max="15133" width="12.77734375" style="1" customWidth="1"/>
    <col min="15134" max="15134" width="17.88671875" style="1" customWidth="1"/>
    <col min="15135" max="15135" width="11.77734375" style="1" customWidth="1"/>
    <col min="15136" max="15136" width="12" style="1" customWidth="1"/>
    <col min="15137" max="15360" width="27.5546875" style="1"/>
    <col min="15361" max="15361" width="19.44140625" style="1" customWidth="1"/>
    <col min="15362" max="15363" width="12.77734375" style="1" customWidth="1"/>
    <col min="15364" max="15364" width="13" style="1" customWidth="1"/>
    <col min="15365" max="15366" width="12.77734375" style="1" customWidth="1"/>
    <col min="15367" max="15369" width="0" style="1" hidden="1" customWidth="1"/>
    <col min="15370" max="15378" width="12.77734375" style="1" customWidth="1"/>
    <col min="15379" max="15379" width="0" style="1" hidden="1" customWidth="1"/>
    <col min="15380" max="15383" width="12.77734375" style="1" customWidth="1"/>
    <col min="15384" max="15384" width="1.77734375" style="1" customWidth="1"/>
    <col min="15385" max="15385" width="12.77734375" style="1" customWidth="1"/>
    <col min="15386" max="15386" width="1.77734375" style="1" customWidth="1"/>
    <col min="15387" max="15388" width="0" style="1" hidden="1" customWidth="1"/>
    <col min="15389" max="15389" width="12.77734375" style="1" customWidth="1"/>
    <col min="15390" max="15390" width="17.88671875" style="1" customWidth="1"/>
    <col min="15391" max="15391" width="11.77734375" style="1" customWidth="1"/>
    <col min="15392" max="15392" width="12" style="1" customWidth="1"/>
    <col min="15393" max="15616" width="27.5546875" style="1"/>
    <col min="15617" max="15617" width="19.44140625" style="1" customWidth="1"/>
    <col min="15618" max="15619" width="12.77734375" style="1" customWidth="1"/>
    <col min="15620" max="15620" width="13" style="1" customWidth="1"/>
    <col min="15621" max="15622" width="12.77734375" style="1" customWidth="1"/>
    <col min="15623" max="15625" width="0" style="1" hidden="1" customWidth="1"/>
    <col min="15626" max="15634" width="12.77734375" style="1" customWidth="1"/>
    <col min="15635" max="15635" width="0" style="1" hidden="1" customWidth="1"/>
    <col min="15636" max="15639" width="12.77734375" style="1" customWidth="1"/>
    <col min="15640" max="15640" width="1.77734375" style="1" customWidth="1"/>
    <col min="15641" max="15641" width="12.77734375" style="1" customWidth="1"/>
    <col min="15642" max="15642" width="1.77734375" style="1" customWidth="1"/>
    <col min="15643" max="15644" width="0" style="1" hidden="1" customWidth="1"/>
    <col min="15645" max="15645" width="12.77734375" style="1" customWidth="1"/>
    <col min="15646" max="15646" width="17.88671875" style="1" customWidth="1"/>
    <col min="15647" max="15647" width="11.77734375" style="1" customWidth="1"/>
    <col min="15648" max="15648" width="12" style="1" customWidth="1"/>
    <col min="15649" max="15872" width="27.5546875" style="1"/>
    <col min="15873" max="15873" width="19.44140625" style="1" customWidth="1"/>
    <col min="15874" max="15875" width="12.77734375" style="1" customWidth="1"/>
    <col min="15876" max="15876" width="13" style="1" customWidth="1"/>
    <col min="15877" max="15878" width="12.77734375" style="1" customWidth="1"/>
    <col min="15879" max="15881" width="0" style="1" hidden="1" customWidth="1"/>
    <col min="15882" max="15890" width="12.77734375" style="1" customWidth="1"/>
    <col min="15891" max="15891" width="0" style="1" hidden="1" customWidth="1"/>
    <col min="15892" max="15895" width="12.77734375" style="1" customWidth="1"/>
    <col min="15896" max="15896" width="1.77734375" style="1" customWidth="1"/>
    <col min="15897" max="15897" width="12.77734375" style="1" customWidth="1"/>
    <col min="15898" max="15898" width="1.77734375" style="1" customWidth="1"/>
    <col min="15899" max="15900" width="0" style="1" hidden="1" customWidth="1"/>
    <col min="15901" max="15901" width="12.77734375" style="1" customWidth="1"/>
    <col min="15902" max="15902" width="17.88671875" style="1" customWidth="1"/>
    <col min="15903" max="15903" width="11.77734375" style="1" customWidth="1"/>
    <col min="15904" max="15904" width="12" style="1" customWidth="1"/>
    <col min="15905" max="16128" width="27.5546875" style="1"/>
    <col min="16129" max="16129" width="19.44140625" style="1" customWidth="1"/>
    <col min="16130" max="16131" width="12.77734375" style="1" customWidth="1"/>
    <col min="16132" max="16132" width="13" style="1" customWidth="1"/>
    <col min="16133" max="16134" width="12.77734375" style="1" customWidth="1"/>
    <col min="16135" max="16137" width="0" style="1" hidden="1" customWidth="1"/>
    <col min="16138" max="16146" width="12.77734375" style="1" customWidth="1"/>
    <col min="16147" max="16147" width="0" style="1" hidden="1" customWidth="1"/>
    <col min="16148" max="16151" width="12.77734375" style="1" customWidth="1"/>
    <col min="16152" max="16152" width="1.77734375" style="1" customWidth="1"/>
    <col min="16153" max="16153" width="12.77734375" style="1" customWidth="1"/>
    <col min="16154" max="16154" width="1.77734375" style="1" customWidth="1"/>
    <col min="16155" max="16156" width="0" style="1" hidden="1" customWidth="1"/>
    <col min="16157" max="16157" width="12.77734375" style="1" customWidth="1"/>
    <col min="16158" max="16158" width="17.88671875" style="1" customWidth="1"/>
    <col min="16159" max="16159" width="11.77734375" style="1" customWidth="1"/>
    <col min="16160" max="16160" width="12" style="1" customWidth="1"/>
    <col min="16161" max="16384" width="27.5546875" style="1"/>
  </cols>
  <sheetData>
    <row r="1" spans="1:52" ht="36.75" customHeight="1" x14ac:dyDescent="0.25">
      <c r="A1" s="191"/>
      <c r="B1" s="192"/>
      <c r="C1" s="193"/>
      <c r="D1" s="192"/>
      <c r="E1" s="192"/>
      <c r="F1" s="192"/>
      <c r="G1" s="192"/>
      <c r="H1" s="192"/>
      <c r="I1" s="192"/>
      <c r="J1" s="192"/>
      <c r="K1" s="192"/>
      <c r="M1" s="194"/>
      <c r="O1" s="192"/>
      <c r="P1" s="192"/>
      <c r="Q1" s="192"/>
      <c r="R1" s="192"/>
      <c r="S1" s="192"/>
      <c r="T1" s="192"/>
      <c r="U1" s="192"/>
      <c r="V1" s="192"/>
      <c r="W1" s="195" t="s">
        <v>94</v>
      </c>
      <c r="Y1" s="196"/>
      <c r="AA1" s="196"/>
      <c r="AC1" s="196"/>
    </row>
    <row r="2" spans="1:52" s="57" customFormat="1" ht="18" customHeight="1" x14ac:dyDescent="0.2">
      <c r="A2" s="197"/>
      <c r="B2" s="45"/>
      <c r="C2" s="45"/>
      <c r="D2" s="46"/>
      <c r="E2" s="45"/>
      <c r="F2" s="45"/>
      <c r="G2" s="45"/>
      <c r="H2" s="45"/>
      <c r="I2" s="45"/>
      <c r="J2" s="45"/>
      <c r="K2" s="45"/>
      <c r="M2" s="198"/>
      <c r="N2" s="58"/>
      <c r="O2" s="45"/>
      <c r="P2" s="45"/>
      <c r="Q2" s="45"/>
      <c r="R2" s="45"/>
      <c r="S2" s="45"/>
      <c r="T2" s="45"/>
      <c r="U2" s="45"/>
      <c r="V2" s="45"/>
      <c r="W2" s="199"/>
      <c r="Y2" s="199"/>
      <c r="AA2" s="199"/>
      <c r="AC2" s="199"/>
    </row>
    <row r="3" spans="1:52" ht="21" customHeight="1" x14ac:dyDescent="0.2">
      <c r="A3" s="200"/>
      <c r="B3" s="192"/>
      <c r="C3" s="192"/>
      <c r="D3" s="200"/>
      <c r="E3" s="192"/>
      <c r="F3" s="12"/>
      <c r="G3" s="192"/>
      <c r="H3" s="192"/>
      <c r="I3" s="12"/>
      <c r="J3" s="192"/>
      <c r="K3" s="192"/>
      <c r="M3" s="201"/>
      <c r="N3" s="54"/>
      <c r="O3" s="192"/>
      <c r="P3" s="192"/>
      <c r="Q3" s="192"/>
      <c r="R3" s="192"/>
      <c r="S3" s="192"/>
      <c r="T3" s="192"/>
      <c r="U3" s="192"/>
      <c r="V3" s="192"/>
      <c r="W3" s="199"/>
      <c r="Y3" s="199"/>
      <c r="AA3" s="199"/>
      <c r="AC3" s="199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15" customHeight="1" x14ac:dyDescent="0.2">
      <c r="A5" s="192"/>
      <c r="B5" s="192"/>
      <c r="C5" s="192"/>
      <c r="D5" s="192"/>
      <c r="E5" s="1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49"/>
      <c r="Y5" s="13"/>
      <c r="AA5" s="13"/>
      <c r="AC5" s="13"/>
    </row>
    <row r="6" spans="1:52" ht="15.95" customHeight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47"/>
      <c r="H6" s="248"/>
      <c r="I6" s="248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82"/>
      <c r="Y6" s="100" t="s">
        <v>84</v>
      </c>
      <c r="Z6" s="2"/>
      <c r="AA6" s="106"/>
      <c r="AB6" s="2"/>
      <c r="AC6" s="10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9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49"/>
      <c r="H7" s="249"/>
      <c r="I7" s="249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202" t="s">
        <v>75</v>
      </c>
      <c r="W7" s="83" t="s">
        <v>74</v>
      </c>
      <c r="X7" s="82"/>
      <c r="Y7" s="81" t="s">
        <v>73</v>
      </c>
      <c r="Z7" s="2"/>
      <c r="AA7" s="107"/>
      <c r="AB7" s="2"/>
      <c r="AC7" s="81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9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93"/>
      <c r="H8" s="92"/>
      <c r="I8" s="91"/>
      <c r="J8" s="90" t="s">
        <v>70</v>
      </c>
      <c r="K8" s="90" t="s">
        <v>69</v>
      </c>
      <c r="L8" s="83" t="s">
        <v>68</v>
      </c>
      <c r="M8" s="83" t="s">
        <v>67</v>
      </c>
      <c r="N8" s="202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203"/>
      <c r="T8" s="245" t="s">
        <v>62</v>
      </c>
      <c r="U8" s="83" t="s">
        <v>61</v>
      </c>
      <c r="V8" s="202" t="s">
        <v>60</v>
      </c>
      <c r="W8" s="83" t="s">
        <v>59</v>
      </c>
      <c r="X8" s="82"/>
      <c r="Y8" s="81" t="s">
        <v>58</v>
      </c>
      <c r="Z8" s="2"/>
      <c r="AA8" s="107"/>
      <c r="AB8" s="2"/>
      <c r="AC8" s="81" t="s">
        <v>57</v>
      </c>
      <c r="AD8" s="13"/>
      <c r="AE8" s="13"/>
      <c r="AF8" s="24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95" customHeight="1" x14ac:dyDescent="0.25">
      <c r="A9" s="88"/>
      <c r="B9" s="83"/>
      <c r="C9" s="83"/>
      <c r="D9" s="83"/>
      <c r="E9" s="83" t="s">
        <v>56</v>
      </c>
      <c r="F9" s="88"/>
      <c r="G9" s="87"/>
      <c r="H9" s="86"/>
      <c r="I9" s="85"/>
      <c r="J9" s="83" t="s">
        <v>55</v>
      </c>
      <c r="K9" s="83" t="s">
        <v>54</v>
      </c>
      <c r="L9" s="83" t="s">
        <v>53</v>
      </c>
      <c r="M9" s="83" t="s">
        <v>52</v>
      </c>
      <c r="N9" s="202" t="s">
        <v>51</v>
      </c>
      <c r="O9" s="83" t="s">
        <v>50</v>
      </c>
      <c r="P9" s="251"/>
      <c r="Q9" s="83"/>
      <c r="R9" s="83" t="s">
        <v>49</v>
      </c>
      <c r="S9" s="202"/>
      <c r="T9" s="246"/>
      <c r="U9" s="83" t="s">
        <v>48</v>
      </c>
      <c r="V9" s="202" t="s">
        <v>47</v>
      </c>
      <c r="W9" s="83" t="s">
        <v>46</v>
      </c>
      <c r="X9" s="82"/>
      <c r="Y9" s="81" t="s">
        <v>45</v>
      </c>
      <c r="Z9" s="2"/>
      <c r="AA9" s="108"/>
      <c r="AB9" s="2"/>
      <c r="AC9" s="81"/>
      <c r="AD9" s="24"/>
      <c r="AE9" s="24"/>
      <c r="AF9" s="24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x14ac:dyDescent="0.25">
      <c r="A10" s="44" t="s">
        <v>44</v>
      </c>
      <c r="B10" s="40">
        <v>846604.57299999997</v>
      </c>
      <c r="C10" s="40">
        <v>238061.61296168773</v>
      </c>
      <c r="D10" s="76">
        <f>B10+C10</f>
        <v>1084666.1859616877</v>
      </c>
      <c r="E10" s="40">
        <v>35.008399999999995</v>
      </c>
      <c r="F10" s="76">
        <f>D10+E10</f>
        <v>1084701.1943616876</v>
      </c>
      <c r="G10" s="40">
        <v>0</v>
      </c>
      <c r="H10" s="40">
        <v>0</v>
      </c>
      <c r="I10" s="40">
        <v>0</v>
      </c>
      <c r="J10" s="40">
        <v>11135.5129</v>
      </c>
      <c r="K10" s="40">
        <v>2651.0402000000004</v>
      </c>
      <c r="L10" s="40">
        <v>3.0145130000000003E-2</v>
      </c>
      <c r="M10" s="40">
        <v>16376.8436</v>
      </c>
      <c r="N10" s="40">
        <v>3876.6942000000004</v>
      </c>
      <c r="O10" s="40">
        <v>7978.0815000000002</v>
      </c>
      <c r="P10" s="40">
        <v>282.38211133349421</v>
      </c>
      <c r="Q10" s="40">
        <v>12495.351199999999</v>
      </c>
      <c r="R10" s="40">
        <v>555.43088637144024</v>
      </c>
      <c r="S10" s="40">
        <v>0</v>
      </c>
      <c r="T10" s="40">
        <v>404.69740668966665</v>
      </c>
      <c r="U10" s="40">
        <v>0</v>
      </c>
      <c r="V10" s="40">
        <v>5338.6437000000005</v>
      </c>
      <c r="W10" s="76">
        <f t="shared" ref="W10:W32" si="0">SUM(F10:V10)</f>
        <v>1145795.9022112121</v>
      </c>
      <c r="X10" s="36"/>
      <c r="Y10" s="42">
        <v>126745.89876899999</v>
      </c>
      <c r="Z10" s="38"/>
      <c r="AA10" s="109">
        <v>0</v>
      </c>
      <c r="AB10" s="36"/>
      <c r="AC10" s="76">
        <f>+W10+Y10+AA10</f>
        <v>1272541.8009802122</v>
      </c>
      <c r="AD10" s="29"/>
      <c r="AE10" s="25"/>
      <c r="AF10" s="163"/>
      <c r="AG10" s="2"/>
      <c r="AH10" s="3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44" t="s">
        <v>43</v>
      </c>
      <c r="B11" s="40">
        <v>124926.50870000001</v>
      </c>
      <c r="C11" s="40">
        <v>11117.670987990052</v>
      </c>
      <c r="D11" s="76">
        <f t="shared" ref="D11:D32" si="1">B11+C11</f>
        <v>136044.17968799005</v>
      </c>
      <c r="E11" s="40">
        <v>1.7832999999999999</v>
      </c>
      <c r="F11" s="76">
        <f t="shared" ref="F11:F32" si="2">D11+E11</f>
        <v>136045.96298799006</v>
      </c>
      <c r="G11" s="40">
        <v>0</v>
      </c>
      <c r="H11" s="40">
        <v>0</v>
      </c>
      <c r="I11" s="40">
        <v>0</v>
      </c>
      <c r="J11" s="40">
        <v>1396.6708999999998</v>
      </c>
      <c r="K11" s="40">
        <v>0</v>
      </c>
      <c r="L11" s="40">
        <v>2.2561300000000003E-3</v>
      </c>
      <c r="M11" s="40">
        <v>0</v>
      </c>
      <c r="N11" s="40">
        <v>486.24149999999997</v>
      </c>
      <c r="O11" s="40">
        <v>836.73119999999994</v>
      </c>
      <c r="P11" s="40">
        <v>425.59090924279263</v>
      </c>
      <c r="Q11" s="40">
        <v>1809.6716000000001</v>
      </c>
      <c r="R11" s="40">
        <v>846.47854771355321</v>
      </c>
      <c r="S11" s="40">
        <v>0</v>
      </c>
      <c r="T11" s="40">
        <v>609.93784793564043</v>
      </c>
      <c r="U11" s="40">
        <v>2.2000000000000002</v>
      </c>
      <c r="V11" s="40">
        <v>669.60930000000008</v>
      </c>
      <c r="W11" s="76">
        <f t="shared" si="0"/>
        <v>143129.09704901211</v>
      </c>
      <c r="X11" s="36"/>
      <c r="Y11" s="42">
        <v>7797.8717779999997</v>
      </c>
      <c r="Z11" s="38"/>
      <c r="AA11" s="43">
        <v>0</v>
      </c>
      <c r="AB11" s="36"/>
      <c r="AC11" s="76">
        <f t="shared" ref="AC11:AC38" si="3">+W11+Y11+AA11</f>
        <v>150926.96882701211</v>
      </c>
      <c r="AD11" s="29"/>
      <c r="AE11" s="25"/>
      <c r="AF11" s="163"/>
      <c r="AG11" s="2"/>
      <c r="AH11" s="34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44" t="s">
        <v>42</v>
      </c>
      <c r="B12" s="40">
        <v>387434.70530000003</v>
      </c>
      <c r="C12" s="40">
        <v>51141.286544670409</v>
      </c>
      <c r="D12" s="76">
        <f t="shared" si="1"/>
        <v>438575.99184467044</v>
      </c>
      <c r="E12" s="40">
        <v>10.441700000000001</v>
      </c>
      <c r="F12" s="76">
        <f>D12+E12</f>
        <v>438586.43354467046</v>
      </c>
      <c r="G12" s="40">
        <v>0</v>
      </c>
      <c r="H12" s="40">
        <v>0</v>
      </c>
      <c r="I12" s="40">
        <v>0</v>
      </c>
      <c r="J12" s="40">
        <v>4502.5545000000002</v>
      </c>
      <c r="K12" s="40">
        <v>905.34159999999997</v>
      </c>
      <c r="L12" s="40">
        <v>8.3444799999999996E-3</v>
      </c>
      <c r="M12" s="40">
        <v>5592.7624000000005</v>
      </c>
      <c r="N12" s="40">
        <v>1567.5197000000001</v>
      </c>
      <c r="O12" s="40">
        <v>4375.1052</v>
      </c>
      <c r="P12" s="40">
        <v>282.38211133349421</v>
      </c>
      <c r="Q12" s="40">
        <v>4868.8782000000001</v>
      </c>
      <c r="R12" s="40">
        <v>526.13146615006349</v>
      </c>
      <c r="S12" s="40">
        <v>0</v>
      </c>
      <c r="T12" s="40">
        <v>404.69740668966665</v>
      </c>
      <c r="U12" s="40">
        <v>0.5</v>
      </c>
      <c r="V12" s="40">
        <v>2158.6507999999999</v>
      </c>
      <c r="W12" s="76">
        <f t="shared" si="0"/>
        <v>463770.9652733237</v>
      </c>
      <c r="X12" s="36"/>
      <c r="Y12" s="42">
        <v>6675.7701569999999</v>
      </c>
      <c r="Z12" s="38"/>
      <c r="AA12" s="43">
        <v>0</v>
      </c>
      <c r="AB12" s="36"/>
      <c r="AC12" s="76">
        <f t="shared" si="3"/>
        <v>470446.73543032369</v>
      </c>
      <c r="AD12" s="29"/>
      <c r="AE12" s="25"/>
      <c r="AF12" s="163"/>
      <c r="AG12" s="2"/>
      <c r="AH12" s="34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44" t="s">
        <v>41</v>
      </c>
      <c r="B13" s="40">
        <v>160300.8291</v>
      </c>
      <c r="C13" s="40">
        <v>23311.245619830232</v>
      </c>
      <c r="D13" s="76">
        <f t="shared" si="1"/>
        <v>183612.07471983024</v>
      </c>
      <c r="E13" s="40">
        <v>3.2166999999999999</v>
      </c>
      <c r="F13" s="76">
        <f t="shared" si="2"/>
        <v>183615.29141983023</v>
      </c>
      <c r="G13" s="40">
        <v>0</v>
      </c>
      <c r="H13" s="40">
        <v>0</v>
      </c>
      <c r="I13" s="40">
        <v>0</v>
      </c>
      <c r="J13" s="40">
        <v>1885.0174</v>
      </c>
      <c r="K13" s="40">
        <v>289.48629999999997</v>
      </c>
      <c r="L13" s="40">
        <v>3.7423000000000001E-3</v>
      </c>
      <c r="M13" s="40">
        <v>1788.3063</v>
      </c>
      <c r="N13" s="40">
        <v>656.24950000000001</v>
      </c>
      <c r="O13" s="40">
        <v>1066.5474999999999</v>
      </c>
      <c r="P13" s="40">
        <v>357.49424627294582</v>
      </c>
      <c r="Q13" s="40">
        <v>4265.6544000000004</v>
      </c>
      <c r="R13" s="40">
        <v>737.15177191521673</v>
      </c>
      <c r="S13" s="40">
        <v>0</v>
      </c>
      <c r="T13" s="40">
        <v>512.34475753991842</v>
      </c>
      <c r="U13" s="40">
        <v>1.5</v>
      </c>
      <c r="V13" s="40">
        <v>903.72930000000008</v>
      </c>
      <c r="W13" s="76">
        <f t="shared" si="0"/>
        <v>196078.7766378583</v>
      </c>
      <c r="X13" s="36"/>
      <c r="Y13" s="42">
        <v>18324.912644</v>
      </c>
      <c r="Z13" s="38"/>
      <c r="AA13" s="43">
        <v>0</v>
      </c>
      <c r="AB13" s="36"/>
      <c r="AC13" s="76">
        <f t="shared" si="3"/>
        <v>214403.6892818583</v>
      </c>
      <c r="AD13" s="29"/>
      <c r="AE13" s="25"/>
      <c r="AF13" s="163"/>
      <c r="AG13" s="2"/>
      <c r="AH13" s="3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44" t="s">
        <v>40</v>
      </c>
      <c r="B14" s="40">
        <v>220364.8279</v>
      </c>
      <c r="C14" s="40">
        <v>26036.868184740051</v>
      </c>
      <c r="D14" s="76">
        <f t="shared" si="1"/>
        <v>246401.69608474005</v>
      </c>
      <c r="E14" s="40">
        <v>2.8</v>
      </c>
      <c r="F14" s="76">
        <f t="shared" si="2"/>
        <v>246404.49608474004</v>
      </c>
      <c r="G14" s="40">
        <v>0</v>
      </c>
      <c r="H14" s="40">
        <v>0</v>
      </c>
      <c r="I14" s="40">
        <v>0</v>
      </c>
      <c r="J14" s="40">
        <v>2529.6347000000001</v>
      </c>
      <c r="K14" s="40">
        <v>227.58539999999999</v>
      </c>
      <c r="L14" s="40">
        <v>4.8894899999999998E-3</v>
      </c>
      <c r="M14" s="40">
        <v>1405.9123999999999</v>
      </c>
      <c r="N14" s="40">
        <v>880.67269999999996</v>
      </c>
      <c r="O14" s="40">
        <v>1105.2451999999998</v>
      </c>
      <c r="P14" s="40">
        <v>379.68981821236105</v>
      </c>
      <c r="Q14" s="40">
        <v>3964.0423999999998</v>
      </c>
      <c r="R14" s="40">
        <v>768.87668524513265</v>
      </c>
      <c r="S14" s="40">
        <v>0</v>
      </c>
      <c r="T14" s="40">
        <v>544.15445809281323</v>
      </c>
      <c r="U14" s="40">
        <v>0.5</v>
      </c>
      <c r="V14" s="40">
        <v>1212.7853</v>
      </c>
      <c r="W14" s="76">
        <f t="shared" si="0"/>
        <v>259423.60003578034</v>
      </c>
      <c r="X14" s="36"/>
      <c r="Y14" s="42">
        <v>22991.389525999999</v>
      </c>
      <c r="Z14" s="38"/>
      <c r="AA14" s="43">
        <v>0</v>
      </c>
      <c r="AB14" s="36"/>
      <c r="AC14" s="76">
        <f t="shared" si="3"/>
        <v>282414.98956178036</v>
      </c>
      <c r="AD14" s="29"/>
      <c r="AE14" s="25"/>
      <c r="AF14" s="163"/>
      <c r="AG14" s="2"/>
      <c r="AH14" s="3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44" t="s">
        <v>39</v>
      </c>
      <c r="B15" s="40">
        <v>67427.075900000011</v>
      </c>
      <c r="C15" s="40">
        <v>10687.309530449937</v>
      </c>
      <c r="D15" s="76">
        <f t="shared" si="1"/>
        <v>78114.38543044994</v>
      </c>
      <c r="E15" s="40">
        <v>2.0167000000000002</v>
      </c>
      <c r="F15" s="76">
        <f t="shared" si="2"/>
        <v>78116.402130449933</v>
      </c>
      <c r="G15" s="40">
        <v>0</v>
      </c>
      <c r="H15" s="40">
        <v>0</v>
      </c>
      <c r="I15" s="40">
        <v>0</v>
      </c>
      <c r="J15" s="40">
        <v>801.94600000000003</v>
      </c>
      <c r="K15" s="40">
        <v>89.027100000000004</v>
      </c>
      <c r="L15" s="40">
        <v>2.2571599999999998E-3</v>
      </c>
      <c r="M15" s="40">
        <v>549.96659999999997</v>
      </c>
      <c r="N15" s="40">
        <v>279.19549999999998</v>
      </c>
      <c r="O15" s="40">
        <v>939.70040000000006</v>
      </c>
      <c r="P15" s="40">
        <v>398.09830579827377</v>
      </c>
      <c r="Q15" s="40">
        <v>2757.5947000000001</v>
      </c>
      <c r="R15" s="40">
        <v>1040.6143542835077</v>
      </c>
      <c r="S15" s="40">
        <v>0</v>
      </c>
      <c r="T15" s="40">
        <v>570.53667883734011</v>
      </c>
      <c r="U15" s="40">
        <v>3</v>
      </c>
      <c r="V15" s="40">
        <v>384.48359999999997</v>
      </c>
      <c r="W15" s="76">
        <f t="shared" si="0"/>
        <v>85930.567626529053</v>
      </c>
      <c r="X15" s="36"/>
      <c r="Y15" s="42">
        <v>2288.4956809999999</v>
      </c>
      <c r="Z15" s="38"/>
      <c r="AA15" s="43">
        <v>0</v>
      </c>
      <c r="AB15" s="36"/>
      <c r="AC15" s="76">
        <f t="shared" si="3"/>
        <v>88219.063307529053</v>
      </c>
      <c r="AD15" s="29"/>
      <c r="AE15" s="25"/>
      <c r="AF15" s="163"/>
      <c r="AG15" s="2"/>
      <c r="AH15" s="34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44" t="s">
        <v>38</v>
      </c>
      <c r="B16" s="40">
        <v>218718.70490000001</v>
      </c>
      <c r="C16" s="40">
        <v>22450.522704750001</v>
      </c>
      <c r="D16" s="76">
        <f t="shared" si="1"/>
        <v>241169.22760475002</v>
      </c>
      <c r="E16" s="40">
        <v>5.6249000000000002</v>
      </c>
      <c r="F16" s="76">
        <f t="shared" si="2"/>
        <v>241174.85250475002</v>
      </c>
      <c r="G16" s="40">
        <v>0</v>
      </c>
      <c r="H16" s="40">
        <v>0</v>
      </c>
      <c r="I16" s="40">
        <v>0</v>
      </c>
      <c r="J16" s="40">
        <v>2475.9166</v>
      </c>
      <c r="K16" s="40">
        <v>392.89840000000004</v>
      </c>
      <c r="L16" s="40">
        <v>3.8735599999999999E-3</v>
      </c>
      <c r="M16" s="40">
        <v>2427.1358</v>
      </c>
      <c r="N16" s="40">
        <v>861.95740000000001</v>
      </c>
      <c r="O16" s="40">
        <v>1458.7131999999999</v>
      </c>
      <c r="P16" s="40">
        <v>326.76022437402469</v>
      </c>
      <c r="Q16" s="40">
        <v>3360.8186000000001</v>
      </c>
      <c r="R16" s="40">
        <v>734.68997957528995</v>
      </c>
      <c r="S16" s="40">
        <v>0</v>
      </c>
      <c r="T16" s="40">
        <v>468.29813259716582</v>
      </c>
      <c r="U16" s="40">
        <v>1.8</v>
      </c>
      <c r="V16" s="40">
        <v>1187.0121999999999</v>
      </c>
      <c r="W16" s="76">
        <f t="shared" si="0"/>
        <v>254870.85691485647</v>
      </c>
      <c r="X16" s="36"/>
      <c r="Y16" s="42">
        <v>10465.79406</v>
      </c>
      <c r="Z16" s="38"/>
      <c r="AA16" s="43">
        <v>0</v>
      </c>
      <c r="AB16" s="36"/>
      <c r="AC16" s="76">
        <f t="shared" si="3"/>
        <v>265336.65097485646</v>
      </c>
      <c r="AD16" s="29"/>
      <c r="AE16" s="25"/>
      <c r="AF16" s="163"/>
      <c r="AG16" s="2"/>
      <c r="AH16" s="34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44" t="s">
        <v>37</v>
      </c>
      <c r="B17" s="40">
        <v>164600.53819999998</v>
      </c>
      <c r="C17" s="40">
        <v>15206.10483525</v>
      </c>
      <c r="D17" s="76">
        <f t="shared" si="1"/>
        <v>179806.64303524999</v>
      </c>
      <c r="E17" s="40">
        <v>1.7251000000000001</v>
      </c>
      <c r="F17" s="76">
        <f t="shared" si="2"/>
        <v>179808.36813525</v>
      </c>
      <c r="G17" s="40">
        <v>0</v>
      </c>
      <c r="H17" s="40">
        <v>0</v>
      </c>
      <c r="I17" s="40">
        <v>0</v>
      </c>
      <c r="J17" s="40">
        <v>1845.9496999999999</v>
      </c>
      <c r="K17" s="40">
        <v>106.0137</v>
      </c>
      <c r="L17" s="40">
        <v>2.6354299999999998E-3</v>
      </c>
      <c r="M17" s="40">
        <v>654.90139999999997</v>
      </c>
      <c r="N17" s="40">
        <v>642.65449999999998</v>
      </c>
      <c r="O17" s="40">
        <v>758.96249999999998</v>
      </c>
      <c r="P17" s="40">
        <v>438.75123094980171</v>
      </c>
      <c r="Q17" s="40">
        <v>3446.9933999999998</v>
      </c>
      <c r="R17" s="40">
        <v>801.95899078717434</v>
      </c>
      <c r="S17" s="40">
        <v>0</v>
      </c>
      <c r="T17" s="40">
        <v>628.79863211066413</v>
      </c>
      <c r="U17" s="40">
        <v>2.2000000000000002</v>
      </c>
      <c r="V17" s="40">
        <v>885.00750000000005</v>
      </c>
      <c r="W17" s="76">
        <f t="shared" si="0"/>
        <v>190020.56232452768</v>
      </c>
      <c r="X17" s="36"/>
      <c r="Y17" s="42">
        <v>4576.9303439999994</v>
      </c>
      <c r="Z17" s="38"/>
      <c r="AA17" s="43">
        <v>0</v>
      </c>
      <c r="AB17" s="36"/>
      <c r="AC17" s="76">
        <f t="shared" si="3"/>
        <v>194597.49266852767</v>
      </c>
      <c r="AD17" s="29"/>
      <c r="AE17" s="25"/>
      <c r="AF17" s="163"/>
      <c r="AG17" s="2"/>
      <c r="AH17" s="34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44" t="s">
        <v>36</v>
      </c>
      <c r="B18" s="40">
        <v>125764.7276</v>
      </c>
      <c r="C18" s="40">
        <v>14560.562648730103</v>
      </c>
      <c r="D18" s="76">
        <f t="shared" si="1"/>
        <v>140325.2902487301</v>
      </c>
      <c r="E18" s="40">
        <v>2.7749999999999999</v>
      </c>
      <c r="F18" s="76">
        <f t="shared" si="2"/>
        <v>140328.0652487301</v>
      </c>
      <c r="G18" s="40">
        <v>0</v>
      </c>
      <c r="H18" s="40">
        <v>0</v>
      </c>
      <c r="I18" s="40">
        <v>0</v>
      </c>
      <c r="J18" s="40">
        <v>1440.6221</v>
      </c>
      <c r="K18" s="40">
        <v>0</v>
      </c>
      <c r="L18" s="40">
        <v>2.4008200000000001E-3</v>
      </c>
      <c r="M18" s="40">
        <v>0</v>
      </c>
      <c r="N18" s="40">
        <v>501.53140000000002</v>
      </c>
      <c r="O18" s="40">
        <v>776.65909999999997</v>
      </c>
      <c r="P18" s="40">
        <v>354.05655100024347</v>
      </c>
      <c r="Q18" s="40">
        <v>2585.2451000000001</v>
      </c>
      <c r="R18" s="40">
        <v>803.74189870101952</v>
      </c>
      <c r="S18" s="40">
        <v>0</v>
      </c>
      <c r="T18" s="40">
        <v>507.41800650471498</v>
      </c>
      <c r="U18" s="40">
        <v>2.2000000000000002</v>
      </c>
      <c r="V18" s="40">
        <v>690.66509999999994</v>
      </c>
      <c r="W18" s="76">
        <f t="shared" si="0"/>
        <v>147990.20690575612</v>
      </c>
      <c r="X18" s="36"/>
      <c r="Y18" s="42">
        <v>7441.48167698</v>
      </c>
      <c r="Z18" s="38"/>
      <c r="AA18" s="43">
        <v>0</v>
      </c>
      <c r="AB18" s="36"/>
      <c r="AC18" s="76">
        <f t="shared" si="3"/>
        <v>155431.68858273613</v>
      </c>
      <c r="AD18" s="29"/>
      <c r="AE18" s="25"/>
      <c r="AF18" s="163"/>
      <c r="AG18" s="2"/>
      <c r="AH18" s="3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44" t="s">
        <v>35</v>
      </c>
      <c r="B19" s="40">
        <v>86956.179900000003</v>
      </c>
      <c r="C19" s="40">
        <v>7603.0524175200499</v>
      </c>
      <c r="D19" s="76">
        <f t="shared" si="1"/>
        <v>94559.232317520058</v>
      </c>
      <c r="E19" s="40">
        <v>1.6</v>
      </c>
      <c r="F19" s="76">
        <f t="shared" si="2"/>
        <v>94560.832317520064</v>
      </c>
      <c r="G19" s="40">
        <v>0</v>
      </c>
      <c r="H19" s="40">
        <v>0</v>
      </c>
      <c r="I19" s="40">
        <v>0</v>
      </c>
      <c r="J19" s="40">
        <v>970.71780000000001</v>
      </c>
      <c r="K19" s="40">
        <v>78.177499999999995</v>
      </c>
      <c r="L19" s="40">
        <v>1.9906199999999998E-3</v>
      </c>
      <c r="M19" s="40">
        <v>482.99540000000002</v>
      </c>
      <c r="N19" s="40">
        <v>337.94470000000001</v>
      </c>
      <c r="O19" s="40">
        <v>979.00869999999998</v>
      </c>
      <c r="P19" s="40">
        <v>314.30356740421604</v>
      </c>
      <c r="Q19" s="40">
        <v>1756.8787</v>
      </c>
      <c r="R19" s="40">
        <v>1012.8380474379677</v>
      </c>
      <c r="S19" s="40">
        <v>0</v>
      </c>
      <c r="T19" s="40">
        <v>450.4458091792672</v>
      </c>
      <c r="U19" s="40">
        <v>2.5</v>
      </c>
      <c r="V19" s="40">
        <v>465.38740000000001</v>
      </c>
      <c r="W19" s="76">
        <f t="shared" si="0"/>
        <v>101412.03193216154</v>
      </c>
      <c r="X19" s="36"/>
      <c r="Y19" s="42">
        <v>0</v>
      </c>
      <c r="Z19" s="38"/>
      <c r="AA19" s="43">
        <v>0</v>
      </c>
      <c r="AB19" s="36"/>
      <c r="AC19" s="76">
        <f t="shared" si="3"/>
        <v>101412.03193216154</v>
      </c>
      <c r="AD19" s="29"/>
      <c r="AE19" s="25"/>
      <c r="AF19" s="163"/>
      <c r="AG19" s="2"/>
      <c r="AH19" s="34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44" t="s">
        <v>34</v>
      </c>
      <c r="B20" s="40">
        <v>93592.018200000006</v>
      </c>
      <c r="C20" s="40">
        <v>8678.956061579911</v>
      </c>
      <c r="D20" s="76">
        <f t="shared" si="1"/>
        <v>102270.97426157992</v>
      </c>
      <c r="E20" s="40">
        <v>1.6916</v>
      </c>
      <c r="F20" s="76">
        <f t="shared" si="2"/>
        <v>102272.66586157992</v>
      </c>
      <c r="G20" s="40">
        <v>0</v>
      </c>
      <c r="H20" s="40">
        <v>0</v>
      </c>
      <c r="I20" s="40">
        <v>0</v>
      </c>
      <c r="J20" s="40">
        <v>1049.9449</v>
      </c>
      <c r="K20" s="40">
        <v>0</v>
      </c>
      <c r="L20" s="40">
        <v>1.9367799999999999E-3</v>
      </c>
      <c r="M20" s="40">
        <v>0</v>
      </c>
      <c r="N20" s="40">
        <v>365.52859999999998</v>
      </c>
      <c r="O20" s="40">
        <v>758.95640000000003</v>
      </c>
      <c r="P20" s="40">
        <v>414.10179124268473</v>
      </c>
      <c r="Q20" s="40">
        <v>1723.4966999999999</v>
      </c>
      <c r="R20" s="40">
        <v>919.75351022593645</v>
      </c>
      <c r="S20" s="40">
        <v>0</v>
      </c>
      <c r="T20" s="40">
        <v>593.47215807756231</v>
      </c>
      <c r="U20" s="40">
        <v>2.2000000000000002</v>
      </c>
      <c r="V20" s="40">
        <v>503.37400000000002</v>
      </c>
      <c r="W20" s="76">
        <f t="shared" si="0"/>
        <v>108603.49585790612</v>
      </c>
      <c r="X20" s="36"/>
      <c r="Y20" s="42">
        <v>1503.0072539999999</v>
      </c>
      <c r="Z20" s="38"/>
      <c r="AA20" s="43">
        <v>0</v>
      </c>
      <c r="AB20" s="36"/>
      <c r="AC20" s="76">
        <f t="shared" si="3"/>
        <v>110106.50311190612</v>
      </c>
      <c r="AD20" s="29"/>
      <c r="AE20" s="25"/>
      <c r="AF20" s="163"/>
      <c r="AG20" s="2"/>
      <c r="AH20" s="34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44" t="s">
        <v>33</v>
      </c>
      <c r="B21" s="40">
        <v>173189.78759999998</v>
      </c>
      <c r="C21" s="40">
        <v>32779.197687180145</v>
      </c>
      <c r="D21" s="76">
        <f t="shared" si="1"/>
        <v>205968.98528718011</v>
      </c>
      <c r="E21" s="40">
        <v>5.1416000000000004</v>
      </c>
      <c r="F21" s="76">
        <f t="shared" si="2"/>
        <v>205974.12688718011</v>
      </c>
      <c r="G21" s="40">
        <v>0</v>
      </c>
      <c r="H21" s="40">
        <v>0</v>
      </c>
      <c r="I21" s="40">
        <v>0</v>
      </c>
      <c r="J21" s="40">
        <v>2114.5402000000004</v>
      </c>
      <c r="K21" s="40">
        <v>0</v>
      </c>
      <c r="L21" s="40">
        <v>4.1133299999999992E-3</v>
      </c>
      <c r="M21" s="40">
        <v>0</v>
      </c>
      <c r="N21" s="40">
        <v>736.15980000000002</v>
      </c>
      <c r="O21" s="40">
        <v>1537.3176000000001</v>
      </c>
      <c r="P21" s="40">
        <v>321.42328595982099</v>
      </c>
      <c r="Q21" s="40">
        <v>3446.9933999999998</v>
      </c>
      <c r="R21" s="40">
        <v>592.60733589887604</v>
      </c>
      <c r="S21" s="40">
        <v>0</v>
      </c>
      <c r="T21" s="40">
        <v>460.6494712401207</v>
      </c>
      <c r="U21" s="40">
        <v>2.2000000000000002</v>
      </c>
      <c r="V21" s="40">
        <v>1013.7746999999999</v>
      </c>
      <c r="W21" s="76">
        <f t="shared" si="0"/>
        <v>216199.79679360896</v>
      </c>
      <c r="X21" s="36"/>
      <c r="Y21" s="42">
        <v>19754.580083620003</v>
      </c>
      <c r="Z21" s="38"/>
      <c r="AA21" s="43">
        <v>0</v>
      </c>
      <c r="AB21" s="36"/>
      <c r="AC21" s="76">
        <f t="shared" si="3"/>
        <v>235954.37687722896</v>
      </c>
      <c r="AD21" s="29"/>
      <c r="AE21" s="25"/>
      <c r="AF21" s="163"/>
      <c r="AG21" s="2"/>
      <c r="AH21" s="34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44" t="s">
        <v>32</v>
      </c>
      <c r="B22" s="40">
        <v>135543.0196</v>
      </c>
      <c r="C22" s="40">
        <v>27614.860195860078</v>
      </c>
      <c r="D22" s="76">
        <f t="shared" si="1"/>
        <v>163157.87979586009</v>
      </c>
      <c r="E22" s="40">
        <v>2.8416999999999999</v>
      </c>
      <c r="F22" s="76">
        <f t="shared" si="2"/>
        <v>163160.72149586008</v>
      </c>
      <c r="G22" s="40">
        <v>0</v>
      </c>
      <c r="H22" s="40">
        <v>0</v>
      </c>
      <c r="I22" s="40">
        <v>0</v>
      </c>
      <c r="J22" s="40">
        <v>1675.0283999999999</v>
      </c>
      <c r="K22" s="40">
        <v>124.2895</v>
      </c>
      <c r="L22" s="40">
        <v>3.06536E-3</v>
      </c>
      <c r="M22" s="40">
        <v>767.80070000000001</v>
      </c>
      <c r="N22" s="40">
        <v>583.13659999999993</v>
      </c>
      <c r="O22" s="40">
        <v>1090.2157999999999</v>
      </c>
      <c r="P22" s="40">
        <v>415.7575207982859</v>
      </c>
      <c r="Q22" s="40">
        <v>4050.2172999999998</v>
      </c>
      <c r="R22" s="40">
        <v>661.01444083954721</v>
      </c>
      <c r="S22" s="40">
        <v>0</v>
      </c>
      <c r="T22" s="40">
        <v>595.84507560572547</v>
      </c>
      <c r="U22" s="40">
        <v>2.2000000000000002</v>
      </c>
      <c r="V22" s="40">
        <v>803.04459999999995</v>
      </c>
      <c r="W22" s="76">
        <f t="shared" si="0"/>
        <v>173929.27449846367</v>
      </c>
      <c r="X22" s="36"/>
      <c r="Y22" s="42">
        <v>21143.991289000001</v>
      </c>
      <c r="Z22" s="38"/>
      <c r="AA22" s="43">
        <v>0</v>
      </c>
      <c r="AB22" s="36"/>
      <c r="AC22" s="76">
        <f t="shared" si="3"/>
        <v>195073.26578746366</v>
      </c>
      <c r="AD22" s="29"/>
      <c r="AE22" s="25"/>
      <c r="AF22" s="163"/>
      <c r="AG22" s="2"/>
      <c r="AH22" s="34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44" t="s">
        <v>31</v>
      </c>
      <c r="B23" s="40">
        <v>73603.400900000008</v>
      </c>
      <c r="C23" s="40">
        <v>12121.847722319962</v>
      </c>
      <c r="D23" s="76">
        <f t="shared" si="1"/>
        <v>85725.248622319967</v>
      </c>
      <c r="E23" s="40">
        <v>1.4499</v>
      </c>
      <c r="F23" s="76">
        <f t="shared" si="2"/>
        <v>85726.698522319974</v>
      </c>
      <c r="G23" s="40">
        <v>0</v>
      </c>
      <c r="H23" s="40">
        <v>0</v>
      </c>
      <c r="I23" s="40">
        <v>0</v>
      </c>
      <c r="J23" s="40">
        <v>880.08150000000001</v>
      </c>
      <c r="K23" s="40">
        <v>55.896500000000003</v>
      </c>
      <c r="L23" s="40">
        <v>2.7129400000000001E-3</v>
      </c>
      <c r="M23" s="40">
        <v>345.30149999999998</v>
      </c>
      <c r="N23" s="40">
        <v>306.38529999999997</v>
      </c>
      <c r="O23" s="40">
        <v>1169.9973</v>
      </c>
      <c r="P23" s="40">
        <v>369.20081622245385</v>
      </c>
      <c r="Q23" s="40">
        <v>3705.5178999999998</v>
      </c>
      <c r="R23" s="40">
        <v>768.05891405139494</v>
      </c>
      <c r="S23" s="40">
        <v>0</v>
      </c>
      <c r="T23" s="40">
        <v>529.12208979509421</v>
      </c>
      <c r="U23" s="40">
        <v>2.5</v>
      </c>
      <c r="V23" s="40">
        <v>421.92700000000002</v>
      </c>
      <c r="W23" s="76">
        <f t="shared" si="0"/>
        <v>94280.690055328916</v>
      </c>
      <c r="X23" s="36"/>
      <c r="Y23" s="42">
        <v>8358.2511329999998</v>
      </c>
      <c r="Z23" s="38"/>
      <c r="AA23" s="43">
        <v>0</v>
      </c>
      <c r="AB23" s="36"/>
      <c r="AC23" s="76">
        <f t="shared" si="3"/>
        <v>102638.94118832891</v>
      </c>
      <c r="AD23" s="29"/>
      <c r="AE23" s="25"/>
      <c r="AF23" s="163"/>
      <c r="AG23" s="2"/>
      <c r="AH23" s="34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44" t="s">
        <v>30</v>
      </c>
      <c r="B24" s="40">
        <v>111501.86040000001</v>
      </c>
      <c r="C24" s="40">
        <v>13126.024456860077</v>
      </c>
      <c r="D24" s="76">
        <f t="shared" si="1"/>
        <v>124627.88485686008</v>
      </c>
      <c r="E24" s="40">
        <v>1.2167000000000001</v>
      </c>
      <c r="F24" s="76">
        <f t="shared" si="2"/>
        <v>124629.10155686009</v>
      </c>
      <c r="G24" s="40">
        <v>0</v>
      </c>
      <c r="H24" s="40">
        <v>0</v>
      </c>
      <c r="I24" s="40">
        <v>0</v>
      </c>
      <c r="J24" s="40">
        <v>1279.4678000000001</v>
      </c>
      <c r="K24" s="40">
        <v>0</v>
      </c>
      <c r="L24" s="40">
        <v>3.1439100000000002E-3</v>
      </c>
      <c r="M24" s="40">
        <v>0</v>
      </c>
      <c r="N24" s="40">
        <v>445.43890000000005</v>
      </c>
      <c r="O24" s="40">
        <v>929.77969999999993</v>
      </c>
      <c r="P24" s="40">
        <v>343.05364574773586</v>
      </c>
      <c r="Q24" s="40">
        <v>3877.8676</v>
      </c>
      <c r="R24" s="40">
        <v>628.60035778125769</v>
      </c>
      <c r="S24" s="40">
        <v>0</v>
      </c>
      <c r="T24" s="40">
        <v>491.64913502666411</v>
      </c>
      <c r="U24" s="40">
        <v>2.5</v>
      </c>
      <c r="V24" s="40">
        <v>613.41949999999997</v>
      </c>
      <c r="W24" s="76">
        <f t="shared" si="0"/>
        <v>133240.88133932574</v>
      </c>
      <c r="X24" s="36"/>
      <c r="Y24" s="42">
        <v>2315.3568689999997</v>
      </c>
      <c r="Z24" s="38"/>
      <c r="AA24" s="43">
        <v>0</v>
      </c>
      <c r="AB24" s="36"/>
      <c r="AC24" s="76">
        <f t="shared" si="3"/>
        <v>135556.23820832575</v>
      </c>
      <c r="AD24" s="29"/>
      <c r="AE24" s="25"/>
      <c r="AF24" s="163"/>
      <c r="AG24" s="2"/>
      <c r="AH24" s="34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44" t="s">
        <v>29</v>
      </c>
      <c r="B25" s="40">
        <v>161777.0888</v>
      </c>
      <c r="C25" s="40">
        <v>27543.13328634018</v>
      </c>
      <c r="D25" s="76">
        <f t="shared" si="1"/>
        <v>189320.22208634019</v>
      </c>
      <c r="E25" s="40">
        <v>3.3167</v>
      </c>
      <c r="F25" s="76">
        <f t="shared" si="2"/>
        <v>189323.53878634018</v>
      </c>
      <c r="G25" s="40">
        <v>0</v>
      </c>
      <c r="H25" s="40">
        <v>0</v>
      </c>
      <c r="I25" s="40">
        <v>0</v>
      </c>
      <c r="J25" s="40">
        <v>1943.6189999999999</v>
      </c>
      <c r="K25" s="40">
        <v>0</v>
      </c>
      <c r="L25" s="40">
        <v>4.1712100000000007E-3</v>
      </c>
      <c r="M25" s="40">
        <v>0</v>
      </c>
      <c r="N25" s="40">
        <v>676.65969999999993</v>
      </c>
      <c r="O25" s="40">
        <v>1144.8673999999999</v>
      </c>
      <c r="P25" s="40">
        <v>350.95847167704125</v>
      </c>
      <c r="Q25" s="40">
        <v>3446.9933999999998</v>
      </c>
      <c r="R25" s="40">
        <v>968.45723938851995</v>
      </c>
      <c r="S25" s="40">
        <v>0</v>
      </c>
      <c r="T25" s="40">
        <v>502.97797786145821</v>
      </c>
      <c r="U25" s="40">
        <v>2.5</v>
      </c>
      <c r="V25" s="40">
        <v>931.83640000000003</v>
      </c>
      <c r="W25" s="76">
        <f t="shared" si="0"/>
        <v>199292.41254647716</v>
      </c>
      <c r="X25" s="36"/>
      <c r="Y25" s="42">
        <v>27373.555080999999</v>
      </c>
      <c r="Z25" s="38"/>
      <c r="AA25" s="43">
        <v>0</v>
      </c>
      <c r="AB25" s="36"/>
      <c r="AC25" s="76">
        <f t="shared" si="3"/>
        <v>226665.96762747716</v>
      </c>
      <c r="AD25" s="29"/>
      <c r="AE25" s="25"/>
      <c r="AF25" s="163"/>
      <c r="AG25" s="2"/>
      <c r="AH25" s="34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44" t="s">
        <v>28</v>
      </c>
      <c r="B26" s="40">
        <v>148959.85709999999</v>
      </c>
      <c r="C26" s="40">
        <v>18003.454309470155</v>
      </c>
      <c r="D26" s="76">
        <f t="shared" si="1"/>
        <v>166963.31140947016</v>
      </c>
      <c r="E26" s="40">
        <v>2.5083000000000002</v>
      </c>
      <c r="F26" s="76">
        <f t="shared" si="2"/>
        <v>166965.81970947015</v>
      </c>
      <c r="G26" s="40">
        <v>0</v>
      </c>
      <c r="H26" s="40">
        <v>0</v>
      </c>
      <c r="I26" s="40">
        <v>0</v>
      </c>
      <c r="J26" s="40">
        <v>1714.0961000000002</v>
      </c>
      <c r="K26" s="40">
        <v>0</v>
      </c>
      <c r="L26" s="40">
        <v>2.3574099999999999E-3</v>
      </c>
      <c r="M26" s="40">
        <v>0</v>
      </c>
      <c r="N26" s="40">
        <v>596.74940000000004</v>
      </c>
      <c r="O26" s="40">
        <v>839.04090000000008</v>
      </c>
      <c r="P26" s="40">
        <v>325.13625745482358</v>
      </c>
      <c r="Q26" s="40">
        <v>3145.3815</v>
      </c>
      <c r="R26" s="40">
        <v>589.24306581195685</v>
      </c>
      <c r="S26" s="40">
        <v>0</v>
      </c>
      <c r="T26" s="40">
        <v>465.97073587296074</v>
      </c>
      <c r="U26" s="40">
        <v>2.2000000000000002</v>
      </c>
      <c r="V26" s="40">
        <v>821.79090000000008</v>
      </c>
      <c r="W26" s="76">
        <f t="shared" si="0"/>
        <v>175465.43092601985</v>
      </c>
      <c r="X26" s="36"/>
      <c r="Y26" s="42">
        <v>11937.381153</v>
      </c>
      <c r="Z26" s="38"/>
      <c r="AA26" s="43">
        <v>0</v>
      </c>
      <c r="AB26" s="36"/>
      <c r="AC26" s="76">
        <f t="shared" si="3"/>
        <v>187402.81207901984</v>
      </c>
      <c r="AD26" s="29"/>
      <c r="AE26" s="25"/>
      <c r="AF26" s="163"/>
      <c r="AG26" s="2"/>
      <c r="AH26" s="3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44" t="s">
        <v>27</v>
      </c>
      <c r="B27" s="40">
        <v>102335.5092</v>
      </c>
      <c r="C27" s="40">
        <v>10400.401891949938</v>
      </c>
      <c r="D27" s="76">
        <f t="shared" si="1"/>
        <v>112735.91109194994</v>
      </c>
      <c r="E27" s="40">
        <v>1.5751000000000002</v>
      </c>
      <c r="F27" s="76">
        <f t="shared" si="2"/>
        <v>112737.48619194994</v>
      </c>
      <c r="G27" s="40">
        <v>0</v>
      </c>
      <c r="H27" s="40">
        <v>0</v>
      </c>
      <c r="I27" s="40">
        <v>0</v>
      </c>
      <c r="J27" s="40">
        <v>1157.3811000000001</v>
      </c>
      <c r="K27" s="40">
        <v>0</v>
      </c>
      <c r="L27" s="40">
        <v>1.95021E-3</v>
      </c>
      <c r="M27" s="40">
        <v>0</v>
      </c>
      <c r="N27" s="40">
        <v>402.92359999999996</v>
      </c>
      <c r="O27" s="40">
        <v>710.55560000000003</v>
      </c>
      <c r="P27" s="40">
        <v>318.51089593961899</v>
      </c>
      <c r="Q27" s="40">
        <v>3145.3815</v>
      </c>
      <c r="R27" s="40">
        <v>676.78878958680866</v>
      </c>
      <c r="S27" s="40">
        <v>0</v>
      </c>
      <c r="T27" s="40">
        <v>456.47556419000335</v>
      </c>
      <c r="U27" s="40">
        <v>2.2000000000000002</v>
      </c>
      <c r="V27" s="40">
        <v>554.87099999999998</v>
      </c>
      <c r="W27" s="76">
        <f t="shared" si="0"/>
        <v>120162.57619187636</v>
      </c>
      <c r="X27" s="36"/>
      <c r="Y27" s="42">
        <v>0</v>
      </c>
      <c r="Z27" s="38"/>
      <c r="AA27" s="43">
        <v>0</v>
      </c>
      <c r="AB27" s="36"/>
      <c r="AC27" s="76">
        <f t="shared" si="3"/>
        <v>120162.57619187636</v>
      </c>
      <c r="AD27" s="29"/>
      <c r="AE27" s="25"/>
      <c r="AF27" s="163"/>
      <c r="AG27" s="2"/>
      <c r="AH27" s="34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44" t="s">
        <v>26</v>
      </c>
      <c r="B28" s="40">
        <v>72519.686499999996</v>
      </c>
      <c r="C28" s="40">
        <v>5594.6989488600775</v>
      </c>
      <c r="D28" s="76">
        <f t="shared" si="1"/>
        <v>78114.385448860077</v>
      </c>
      <c r="E28" s="40">
        <v>0.70829999999999993</v>
      </c>
      <c r="F28" s="76">
        <f t="shared" si="2"/>
        <v>78115.093748860076</v>
      </c>
      <c r="G28" s="40">
        <v>0</v>
      </c>
      <c r="H28" s="40">
        <v>0</v>
      </c>
      <c r="I28" s="40">
        <v>0</v>
      </c>
      <c r="J28" s="40">
        <v>801.94600000000003</v>
      </c>
      <c r="K28" s="40">
        <v>72.476100000000002</v>
      </c>
      <c r="L28" s="40">
        <v>1.95228E-3</v>
      </c>
      <c r="M28" s="40">
        <v>447.72209999999995</v>
      </c>
      <c r="N28" s="40">
        <v>279.19549999999998</v>
      </c>
      <c r="O28" s="40">
        <v>751.01459999999997</v>
      </c>
      <c r="P28" s="40">
        <v>448.16274633370818</v>
      </c>
      <c r="Q28" s="40">
        <v>2757.5947000000001</v>
      </c>
      <c r="R28" s="40">
        <v>1453.839603183658</v>
      </c>
      <c r="S28" s="40">
        <v>0</v>
      </c>
      <c r="T28" s="40">
        <v>642.28679486523617</v>
      </c>
      <c r="U28" s="40">
        <v>3</v>
      </c>
      <c r="V28" s="40">
        <v>384.48359999999997</v>
      </c>
      <c r="W28" s="76">
        <f t="shared" si="0"/>
        <v>86156.817445522684</v>
      </c>
      <c r="X28" s="36"/>
      <c r="Y28" s="42">
        <v>539.85886500000004</v>
      </c>
      <c r="Z28" s="38"/>
      <c r="AA28" s="43">
        <v>0</v>
      </c>
      <c r="AB28" s="36"/>
      <c r="AC28" s="76">
        <f t="shared" si="3"/>
        <v>86696.676310522686</v>
      </c>
      <c r="AD28" s="29"/>
      <c r="AE28" s="25"/>
      <c r="AF28" s="163"/>
      <c r="AG28" s="2"/>
      <c r="AH28" s="34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44" t="s">
        <v>25</v>
      </c>
      <c r="B29" s="40">
        <v>402163.11339999997</v>
      </c>
      <c r="C29" s="40">
        <v>47841.848702970157</v>
      </c>
      <c r="D29" s="76">
        <f t="shared" si="1"/>
        <v>450004.96210297011</v>
      </c>
      <c r="E29" s="40">
        <v>11.290799999999999</v>
      </c>
      <c r="F29" s="76">
        <f t="shared" si="2"/>
        <v>450016.25290297013</v>
      </c>
      <c r="G29" s="40">
        <v>0</v>
      </c>
      <c r="H29" s="40">
        <v>0</v>
      </c>
      <c r="I29" s="40">
        <v>0</v>
      </c>
      <c r="J29" s="40">
        <v>4619.6212999999998</v>
      </c>
      <c r="K29" s="40">
        <v>996.40200000000004</v>
      </c>
      <c r="L29" s="40">
        <v>7.9139099999999997E-3</v>
      </c>
      <c r="M29" s="40">
        <v>6155.9611999999997</v>
      </c>
      <c r="N29" s="40">
        <v>1608.2833999999998</v>
      </c>
      <c r="O29" s="40">
        <v>3332.1121000000003</v>
      </c>
      <c r="P29" s="40">
        <v>282.38211133349421</v>
      </c>
      <c r="Q29" s="40">
        <v>4963.1822999999995</v>
      </c>
      <c r="R29" s="40">
        <v>485.15789494671441</v>
      </c>
      <c r="S29" s="40">
        <v>0</v>
      </c>
      <c r="T29" s="40">
        <v>404.69740668966665</v>
      </c>
      <c r="U29" s="40">
        <v>0.5</v>
      </c>
      <c r="V29" s="40">
        <v>2214.7853</v>
      </c>
      <c r="W29" s="76">
        <f t="shared" si="0"/>
        <v>475079.34582985006</v>
      </c>
      <c r="X29" s="36"/>
      <c r="Y29" s="42">
        <v>7458.8929800000005</v>
      </c>
      <c r="Z29" s="38"/>
      <c r="AA29" s="43">
        <v>0</v>
      </c>
      <c r="AB29" s="36"/>
      <c r="AC29" s="76">
        <f t="shared" si="3"/>
        <v>482538.23880985007</v>
      </c>
      <c r="AD29" s="29"/>
      <c r="AE29" s="25"/>
      <c r="AF29" s="163"/>
      <c r="AG29" s="2"/>
      <c r="AH29" s="34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44" t="s">
        <v>24</v>
      </c>
      <c r="B30" s="40">
        <v>180324.66250000001</v>
      </c>
      <c r="C30" s="40">
        <v>23741.607077580233</v>
      </c>
      <c r="D30" s="76">
        <f t="shared" si="1"/>
        <v>204066.26957758024</v>
      </c>
      <c r="E30" s="40">
        <v>2.6333000000000002</v>
      </c>
      <c r="F30" s="76">
        <f t="shared" si="2"/>
        <v>204068.90287758023</v>
      </c>
      <c r="G30" s="40">
        <v>0</v>
      </c>
      <c r="H30" s="40">
        <v>0</v>
      </c>
      <c r="I30" s="40">
        <v>0</v>
      </c>
      <c r="J30" s="40">
        <v>2095.0063999999998</v>
      </c>
      <c r="K30" s="40">
        <v>0</v>
      </c>
      <c r="L30" s="40">
        <v>3.9303999999999997E-3</v>
      </c>
      <c r="M30" s="40">
        <v>0</v>
      </c>
      <c r="N30" s="40">
        <v>729.3623</v>
      </c>
      <c r="O30" s="40">
        <v>1498.3989999999999</v>
      </c>
      <c r="P30" s="40">
        <v>376.50459522245882</v>
      </c>
      <c r="Q30" s="40">
        <v>3705.5178999999998</v>
      </c>
      <c r="R30" s="40">
        <v>753.17792551587615</v>
      </c>
      <c r="S30" s="40">
        <v>0</v>
      </c>
      <c r="T30" s="40">
        <v>539.58953904555096</v>
      </c>
      <c r="U30" s="40">
        <v>2.2000000000000002</v>
      </c>
      <c r="V30" s="40">
        <v>1004.4139</v>
      </c>
      <c r="W30" s="76">
        <f t="shared" si="0"/>
        <v>214773.07836776416</v>
      </c>
      <c r="X30" s="36"/>
      <c r="Y30" s="42">
        <v>7286.3974680000001</v>
      </c>
      <c r="Z30" s="38"/>
      <c r="AA30" s="43">
        <v>0</v>
      </c>
      <c r="AB30" s="36"/>
      <c r="AC30" s="76">
        <f t="shared" si="3"/>
        <v>222059.47583576417</v>
      </c>
      <c r="AD30" s="29"/>
      <c r="AE30" s="25"/>
      <c r="AF30" s="163"/>
      <c r="AG30" s="2"/>
      <c r="AH30" s="3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44" t="s">
        <v>23</v>
      </c>
      <c r="B31" s="40">
        <v>205290.4607</v>
      </c>
      <c r="C31" s="40">
        <v>29694.940574250002</v>
      </c>
      <c r="D31" s="76">
        <f t="shared" si="1"/>
        <v>234985.40127425001</v>
      </c>
      <c r="E31" s="40">
        <v>4.6500000000000004</v>
      </c>
      <c r="F31" s="76">
        <f t="shared" si="2"/>
        <v>234990.05127425</v>
      </c>
      <c r="G31" s="40">
        <v>0</v>
      </c>
      <c r="H31" s="40">
        <v>0</v>
      </c>
      <c r="I31" s="40">
        <v>0</v>
      </c>
      <c r="J31" s="40">
        <v>2412.4315999999999</v>
      </c>
      <c r="K31" s="40">
        <v>0</v>
      </c>
      <c r="L31" s="40">
        <v>3.56764E-3</v>
      </c>
      <c r="M31" s="40">
        <v>0</v>
      </c>
      <c r="N31" s="40">
        <v>839.87009999999998</v>
      </c>
      <c r="O31" s="40">
        <v>1113.7233000000001</v>
      </c>
      <c r="P31" s="40">
        <v>289.99048595969936</v>
      </c>
      <c r="Q31" s="40">
        <v>3619.3431</v>
      </c>
      <c r="R31" s="40">
        <v>707.16368698823135</v>
      </c>
      <c r="S31" s="40">
        <v>0</v>
      </c>
      <c r="T31" s="40">
        <v>415.60138870085206</v>
      </c>
      <c r="U31" s="40">
        <v>2.2000000000000002</v>
      </c>
      <c r="V31" s="40">
        <v>1156.5956000000001</v>
      </c>
      <c r="W31" s="76">
        <f t="shared" si="0"/>
        <v>245546.97410353881</v>
      </c>
      <c r="X31" s="36"/>
      <c r="Y31" s="42">
        <v>11137.494638</v>
      </c>
      <c r="Z31" s="38"/>
      <c r="AA31" s="43">
        <v>0</v>
      </c>
      <c r="AB31" s="36"/>
      <c r="AC31" s="76">
        <f t="shared" si="3"/>
        <v>256684.46874153882</v>
      </c>
      <c r="AD31" s="29"/>
      <c r="AE31" s="25"/>
      <c r="AF31" s="163"/>
      <c r="AG31" s="2"/>
      <c r="AH31" s="34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x14ac:dyDescent="0.25">
      <c r="A32" s="44" t="s">
        <v>22</v>
      </c>
      <c r="B32" s="40">
        <v>58192.225599999998</v>
      </c>
      <c r="C32" s="40">
        <v>2725.622564700016</v>
      </c>
      <c r="D32" s="76">
        <f t="shared" si="1"/>
        <v>60917.848164700015</v>
      </c>
      <c r="E32" s="40">
        <v>1</v>
      </c>
      <c r="F32" s="76">
        <f t="shared" si="2"/>
        <v>60918.848164700015</v>
      </c>
      <c r="G32" s="40">
        <v>0</v>
      </c>
      <c r="H32" s="40">
        <v>0</v>
      </c>
      <c r="I32" s="40">
        <v>0</v>
      </c>
      <c r="J32" s="40">
        <v>625.39800000000002</v>
      </c>
      <c r="K32" s="40">
        <v>6.4287999999999998</v>
      </c>
      <c r="L32" s="40">
        <v>9.3174000000000002E-4</v>
      </c>
      <c r="M32" s="40">
        <v>39.713800000000006</v>
      </c>
      <c r="N32" s="40">
        <v>217.7329</v>
      </c>
      <c r="O32" s="40">
        <v>613.39509999999996</v>
      </c>
      <c r="P32" s="40">
        <v>329.57569762652656</v>
      </c>
      <c r="Q32" s="40">
        <v>2283.6332000000002</v>
      </c>
      <c r="R32" s="40">
        <v>472.58335804085687</v>
      </c>
      <c r="S32" s="40">
        <v>0</v>
      </c>
      <c r="T32" s="40">
        <v>472.33314286224703</v>
      </c>
      <c r="U32" s="40">
        <v>3</v>
      </c>
      <c r="V32" s="40">
        <v>299.8426</v>
      </c>
      <c r="W32" s="76">
        <f t="shared" si="0"/>
        <v>66282.485694969655</v>
      </c>
      <c r="X32" s="36"/>
      <c r="Y32" s="42">
        <v>326.08669799999996</v>
      </c>
      <c r="Z32" s="38"/>
      <c r="AA32" s="37">
        <v>0</v>
      </c>
      <c r="AB32" s="36"/>
      <c r="AC32" s="76">
        <f t="shared" si="3"/>
        <v>66608.572392969654</v>
      </c>
      <c r="AD32" s="29"/>
      <c r="AE32" s="25"/>
      <c r="AF32" s="163"/>
      <c r="AG32" s="2"/>
      <c r="AH32" s="34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x14ac:dyDescent="0.2">
      <c r="A33" s="80" t="s">
        <v>21</v>
      </c>
      <c r="B33" s="79">
        <f>SUM(B10:B32)</f>
        <v>4322091.3609999996</v>
      </c>
      <c r="C33" s="79">
        <f>SUM(C10:C32)</f>
        <v>680042.82991553936</v>
      </c>
      <c r="D33" s="79">
        <f>SUM(D10:D32)</f>
        <v>5002134.1909155399</v>
      </c>
      <c r="E33" s="79">
        <f t="shared" ref="E33:W33" si="4">SUM(E10:E32)</f>
        <v>107.0158</v>
      </c>
      <c r="F33" s="79">
        <f>SUM(F10:F32)</f>
        <v>5002241.2067155391</v>
      </c>
      <c r="G33" s="79">
        <f t="shared" si="4"/>
        <v>0</v>
      </c>
      <c r="H33" s="79">
        <f t="shared" si="4"/>
        <v>0</v>
      </c>
      <c r="I33" s="79">
        <f t="shared" si="4"/>
        <v>0</v>
      </c>
      <c r="J33" s="79">
        <f t="shared" si="4"/>
        <v>51353.104899999991</v>
      </c>
      <c r="K33" s="79">
        <f t="shared" si="4"/>
        <v>5995.0630999999994</v>
      </c>
      <c r="L33" s="79">
        <f t="shared" si="4"/>
        <v>0.10428223999999998</v>
      </c>
      <c r="M33" s="79">
        <f t="shared" si="4"/>
        <v>37035.323199999999</v>
      </c>
      <c r="N33" s="79">
        <f t="shared" si="4"/>
        <v>17878.087199999998</v>
      </c>
      <c r="O33" s="79">
        <f t="shared" si="4"/>
        <v>35764.129299999993</v>
      </c>
      <c r="P33" s="79">
        <f t="shared" si="4"/>
        <v>8144.2673974400013</v>
      </c>
      <c r="Q33" s="79">
        <f t="shared" si="4"/>
        <v>85182.248800000001</v>
      </c>
      <c r="R33" s="79">
        <f>SUM(R10:R32)</f>
        <v>17504.358750439998</v>
      </c>
      <c r="S33" s="79">
        <f t="shared" si="4"/>
        <v>0</v>
      </c>
      <c r="T33" s="79">
        <f t="shared" si="4"/>
        <v>11671.999616010004</v>
      </c>
      <c r="U33" s="79">
        <f t="shared" si="4"/>
        <v>45.800000000000004</v>
      </c>
      <c r="V33" s="79">
        <f t="shared" si="4"/>
        <v>24620.133299999998</v>
      </c>
      <c r="W33" s="79">
        <f t="shared" si="4"/>
        <v>5297435.8265616708</v>
      </c>
      <c r="X33" s="47"/>
      <c r="Y33" s="78">
        <f>SUM(Y10:Y32)</f>
        <v>326443.3981476</v>
      </c>
      <c r="Z33" s="38"/>
      <c r="AA33" s="110">
        <f>SUM(AA10:AA32)</f>
        <v>0</v>
      </c>
      <c r="AB33" s="46"/>
      <c r="AC33" s="77">
        <f>SUM(AC10:AC32)</f>
        <v>5623879.2247092677</v>
      </c>
      <c r="AD33" s="29"/>
      <c r="AE33" s="25"/>
      <c r="AF33" s="163"/>
      <c r="AG33" s="46"/>
      <c r="AH33" s="34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x14ac:dyDescent="0.25">
      <c r="A34" s="44" t="s">
        <v>20</v>
      </c>
      <c r="B34" s="40">
        <v>84611.430299999993</v>
      </c>
      <c r="C34" s="40">
        <v>37226.266082250011</v>
      </c>
      <c r="D34" s="76">
        <f>B34+C34</f>
        <v>121837.69638225</v>
      </c>
      <c r="E34" s="40">
        <v>0</v>
      </c>
      <c r="F34" s="76">
        <f>D34+E34</f>
        <v>121837.69638225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3.3946499999999999E-3</v>
      </c>
      <c r="M34" s="40">
        <v>0</v>
      </c>
      <c r="N34" s="40">
        <v>0</v>
      </c>
      <c r="O34" s="40">
        <v>0</v>
      </c>
      <c r="P34" s="40">
        <v>0</v>
      </c>
      <c r="Q34" s="40">
        <v>1120.2728999999999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122957.9726769</v>
      </c>
      <c r="X34" s="36"/>
      <c r="Y34" s="42"/>
      <c r="Z34" s="38"/>
      <c r="AA34" s="109">
        <v>0</v>
      </c>
      <c r="AB34" s="36"/>
      <c r="AC34" s="76">
        <f>+W34+Y34+AA34</f>
        <v>122957.9726769</v>
      </c>
      <c r="AD34" s="29"/>
      <c r="AE34" s="25"/>
      <c r="AF34" s="163"/>
      <c r="AG34" s="2"/>
      <c r="AH34" s="34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44" t="s">
        <v>19</v>
      </c>
      <c r="B35" s="40">
        <v>45.8</v>
      </c>
      <c r="C35" s="40">
        <v>0</v>
      </c>
      <c r="D35" s="76">
        <f>B35+C35</f>
        <v>45.8</v>
      </c>
      <c r="E35" s="40">
        <v>0</v>
      </c>
      <c r="F35" s="76">
        <f>D35+E35</f>
        <v>45.8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42"/>
      <c r="Z35" s="38"/>
      <c r="AA35" s="43"/>
      <c r="AB35" s="36"/>
      <c r="AC35" s="76">
        <f t="shared" si="3"/>
        <v>0</v>
      </c>
      <c r="AD35" s="29"/>
      <c r="AF35" s="163"/>
      <c r="AG35" s="2"/>
      <c r="AH35" s="34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44" t="s">
        <v>18</v>
      </c>
      <c r="B36" s="40">
        <v>3501963.5008</v>
      </c>
      <c r="C36" s="40">
        <v>0</v>
      </c>
      <c r="D36" s="76">
        <f>B36+C36</f>
        <v>3501963.5008</v>
      </c>
      <c r="E36" s="40">
        <v>0</v>
      </c>
      <c r="F36" s="76">
        <f>D36+E36</f>
        <v>3501963.5008</v>
      </c>
      <c r="G36" s="40">
        <v>0</v>
      </c>
      <c r="H36" s="40">
        <v>0</v>
      </c>
      <c r="I36" s="40">
        <v>0</v>
      </c>
      <c r="J36" s="40">
        <v>37202.2451</v>
      </c>
      <c r="K36" s="40">
        <v>0</v>
      </c>
      <c r="L36" s="40">
        <v>5.1323610000000006E-2</v>
      </c>
      <c r="M36" s="40">
        <v>0</v>
      </c>
      <c r="N36" s="40">
        <v>0</v>
      </c>
      <c r="O36" s="40">
        <v>59470.357899999995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3598636.15512361</v>
      </c>
      <c r="X36" s="36"/>
      <c r="Y36" s="42">
        <f>-SUM(Y33)</f>
        <v>-326443.3981476</v>
      </c>
      <c r="Z36" s="38"/>
      <c r="AA36" s="43">
        <f>-(AA33+AA34)</f>
        <v>0</v>
      </c>
      <c r="AB36" s="36"/>
      <c r="AC36" s="76">
        <f>+W36+Y36+AA36</f>
        <v>3272192.7569760103</v>
      </c>
      <c r="AD36" s="29"/>
      <c r="AE36" s="25"/>
      <c r="AF36" s="163"/>
      <c r="AG36" s="2"/>
      <c r="AH36" s="3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44" t="s">
        <v>17</v>
      </c>
      <c r="B37" s="40">
        <v>0</v>
      </c>
      <c r="C37" s="40">
        <v>0</v>
      </c>
      <c r="D37" s="76">
        <f>B37+C37</f>
        <v>0</v>
      </c>
      <c r="E37" s="40">
        <v>0</v>
      </c>
      <c r="F37" s="76">
        <f>D37+E37</f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551915.16150000005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57328.156900000002</v>
      </c>
      <c r="W37" s="76">
        <f>SUM(F37:V37)</f>
        <v>609243.31839999999</v>
      </c>
      <c r="X37" s="36"/>
      <c r="Y37" s="42"/>
      <c r="Z37" s="38"/>
      <c r="AA37" s="43"/>
      <c r="AB37" s="36"/>
      <c r="AC37" s="76">
        <f t="shared" si="3"/>
        <v>609243.31839999999</v>
      </c>
      <c r="AD37" s="29"/>
      <c r="AE37" s="25"/>
      <c r="AF37" s="163"/>
      <c r="AG37" s="2"/>
      <c r="AH37" s="34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x14ac:dyDescent="0.25">
      <c r="A38" s="41" t="s">
        <v>16</v>
      </c>
      <c r="B38" s="39">
        <v>87026.926000000007</v>
      </c>
      <c r="C38" s="39">
        <v>0</v>
      </c>
      <c r="D38" s="76">
        <f>B38+C38</f>
        <v>87026.926000000007</v>
      </c>
      <c r="E38" s="39">
        <v>0</v>
      </c>
      <c r="F38" s="76">
        <f>D38+E38</f>
        <v>87026.926000000007</v>
      </c>
      <c r="G38" s="39">
        <v>0</v>
      </c>
      <c r="H38" s="39">
        <v>0</v>
      </c>
      <c r="I38" s="39">
        <v>0</v>
      </c>
      <c r="J38" s="39">
        <v>893.42570000000001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75">
        <f>SUM(F38:V38)</f>
        <v>87920.351700000014</v>
      </c>
      <c r="X38" s="36"/>
      <c r="Y38" s="35"/>
      <c r="Z38" s="38"/>
      <c r="AA38" s="37"/>
      <c r="AB38" s="36"/>
      <c r="AC38" s="75">
        <f t="shared" si="3"/>
        <v>87920.351700000014</v>
      </c>
      <c r="AD38" s="29"/>
      <c r="AE38" s="25"/>
      <c r="AF38" s="163"/>
      <c r="AG38" s="2"/>
      <c r="AH38" s="3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45" customFormat="1" ht="20.100000000000001" customHeight="1" x14ac:dyDescent="0.2">
      <c r="A39" s="74" t="s">
        <v>15</v>
      </c>
      <c r="B39" s="73">
        <f>+SUM(B33:B38)</f>
        <v>7995739.0181</v>
      </c>
      <c r="C39" s="73">
        <f>+SUM(C33:C38)</f>
        <v>717269.09599778941</v>
      </c>
      <c r="D39" s="73">
        <f>+SUM(D33:D38)</f>
        <v>8713008.1140977908</v>
      </c>
      <c r="E39" s="73">
        <f t="shared" ref="E39:V39" si="5">+SUM(E33:E38)</f>
        <v>107.0158</v>
      </c>
      <c r="F39" s="73">
        <f>SUM(F33:F38)</f>
        <v>8713115.12989779</v>
      </c>
      <c r="G39" s="73">
        <f t="shared" si="5"/>
        <v>0</v>
      </c>
      <c r="H39" s="73">
        <f t="shared" si="5"/>
        <v>0</v>
      </c>
      <c r="I39" s="73">
        <f t="shared" si="5"/>
        <v>0</v>
      </c>
      <c r="J39" s="73">
        <f t="shared" si="5"/>
        <v>89448.775699999998</v>
      </c>
      <c r="K39" s="73">
        <f t="shared" si="5"/>
        <v>5995.0630999999994</v>
      </c>
      <c r="L39" s="73">
        <f t="shared" si="5"/>
        <v>0.15900049999999999</v>
      </c>
      <c r="M39" s="73">
        <f t="shared" si="5"/>
        <v>588950.48470000003</v>
      </c>
      <c r="N39" s="73">
        <f t="shared" si="5"/>
        <v>17878.087199999998</v>
      </c>
      <c r="O39" s="73">
        <f t="shared" si="5"/>
        <v>95234.487199999989</v>
      </c>
      <c r="P39" s="73">
        <f t="shared" si="5"/>
        <v>8144.2673974400013</v>
      </c>
      <c r="Q39" s="73">
        <f t="shared" si="5"/>
        <v>86302.521699999998</v>
      </c>
      <c r="R39" s="73">
        <f t="shared" si="5"/>
        <v>17504.358750439998</v>
      </c>
      <c r="S39" s="73">
        <f t="shared" si="5"/>
        <v>0</v>
      </c>
      <c r="T39" s="73">
        <f t="shared" si="5"/>
        <v>11671.999616010004</v>
      </c>
      <c r="U39" s="73">
        <f t="shared" si="5"/>
        <v>45.800000000000004</v>
      </c>
      <c r="V39" s="73">
        <f t="shared" si="5"/>
        <v>81948.290200000003</v>
      </c>
      <c r="W39" s="73">
        <f>+SUM(W33:W38)</f>
        <v>9716193.6244621798</v>
      </c>
      <c r="X39" s="33"/>
      <c r="Y39" s="32">
        <f>+SUM(Y33:Y38)</f>
        <v>0</v>
      </c>
      <c r="Z39" s="31"/>
      <c r="AA39" s="111"/>
      <c r="AB39" s="30"/>
      <c r="AC39" s="72">
        <f>+SUM(AC33:AC38)</f>
        <v>9716193.624462178</v>
      </c>
      <c r="AD39" s="29"/>
      <c r="AE39" s="25"/>
      <c r="AF39" s="163"/>
      <c r="AG39" s="46"/>
      <c r="AH39" s="34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</row>
    <row r="40" spans="1:52" ht="15" customHeight="1" x14ac:dyDescent="0.2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5"/>
      <c r="S40" s="164"/>
      <c r="T40" s="165"/>
      <c r="U40" s="164"/>
      <c r="V40" s="164"/>
      <c r="W40" s="164"/>
      <c r="X40" s="167"/>
      <c r="Y40" s="167"/>
      <c r="Z40" s="167"/>
      <c r="AA40" s="167"/>
      <c r="AB40" s="167"/>
      <c r="AC40" s="167"/>
      <c r="AF40" s="164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A41" s="164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F41" s="164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164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3"/>
      <c r="Y42" s="163"/>
      <c r="Z42" s="163"/>
      <c r="AA42" s="163"/>
      <c r="AB42" s="163"/>
      <c r="AC42" s="163"/>
      <c r="AF42" s="164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2"/>
      <c r="C43" s="2"/>
      <c r="D43" s="2"/>
      <c r="E43" s="2"/>
      <c r="F43" s="16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F43" s="164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s="2" customFormat="1" ht="15" customHeight="1" x14ac:dyDescent="0.2">
      <c r="A44" s="204" t="s">
        <v>14</v>
      </c>
      <c r="B44" s="205"/>
      <c r="C44" s="205"/>
      <c r="D44" s="21"/>
      <c r="E44" s="17">
        <v>3633725.0690000001</v>
      </c>
      <c r="F44" s="170"/>
      <c r="J44" s="11" t="s">
        <v>13</v>
      </c>
      <c r="K44" s="1" t="s">
        <v>12</v>
      </c>
      <c r="W44" s="34"/>
      <c r="AD44" s="1"/>
      <c r="AE44" s="1"/>
      <c r="AF44" s="164"/>
    </row>
    <row r="45" spans="1:52" s="2" customFormat="1" ht="15" customHeight="1" x14ac:dyDescent="0.2">
      <c r="A45" s="228" t="s">
        <v>11</v>
      </c>
      <c r="B45" s="229"/>
      <c r="C45" s="229"/>
      <c r="D45" s="18"/>
      <c r="E45" s="17">
        <v>4764118.5678000003</v>
      </c>
      <c r="F45" s="170"/>
      <c r="K45" s="1" t="s">
        <v>10</v>
      </c>
      <c r="W45" s="11"/>
      <c r="Y45" s="11"/>
      <c r="AA45" s="11"/>
      <c r="AC45" s="11"/>
      <c r="AD45" s="1"/>
      <c r="AE45" s="1"/>
      <c r="AF45" s="164"/>
    </row>
    <row r="46" spans="1:52" s="2" customFormat="1" ht="15" hidden="1" customHeight="1" x14ac:dyDescent="0.2">
      <c r="A46" s="253"/>
      <c r="B46" s="254"/>
      <c r="C46" s="254"/>
      <c r="D46" s="18"/>
      <c r="E46" s="17"/>
      <c r="F46" s="170"/>
      <c r="K46" s="2" t="s">
        <v>9</v>
      </c>
      <c r="AD46" s="1"/>
      <c r="AE46" s="1"/>
      <c r="AF46" s="164"/>
    </row>
    <row r="47" spans="1:52" s="2" customFormat="1" ht="15" customHeight="1" x14ac:dyDescent="0.2">
      <c r="A47" s="19" t="s">
        <v>8</v>
      </c>
      <c r="B47" s="229"/>
      <c r="C47" s="229"/>
      <c r="D47" s="18"/>
      <c r="E47" s="17">
        <v>280912.114</v>
      </c>
      <c r="F47" s="170"/>
      <c r="K47" s="1" t="s">
        <v>7</v>
      </c>
      <c r="AD47" s="1"/>
      <c r="AE47" s="1"/>
      <c r="AF47" s="164"/>
    </row>
    <row r="48" spans="1:52" s="2" customFormat="1" ht="15" customHeight="1" x14ac:dyDescent="0.2">
      <c r="A48" s="19" t="s">
        <v>6</v>
      </c>
      <c r="B48" s="229"/>
      <c r="C48" s="229"/>
      <c r="D48" s="18"/>
      <c r="E48" s="17">
        <v>227.13399999999999</v>
      </c>
      <c r="F48" s="170"/>
      <c r="K48" s="1" t="s">
        <v>116</v>
      </c>
      <c r="AD48" s="1"/>
      <c r="AE48" s="1"/>
      <c r="AF48" s="164"/>
    </row>
    <row r="49" spans="1:52" s="2" customFormat="1" ht="15" customHeight="1" x14ac:dyDescent="0.2">
      <c r="A49" s="228" t="s">
        <v>5</v>
      </c>
      <c r="B49" s="229"/>
      <c r="C49" s="229"/>
      <c r="D49" s="18"/>
      <c r="E49" s="17">
        <v>8643.5655000000006</v>
      </c>
      <c r="F49" s="170"/>
      <c r="AD49" s="1"/>
      <c r="AE49" s="1"/>
      <c r="AF49" s="164"/>
    </row>
    <row r="50" spans="1:52" s="2" customFormat="1" ht="15" customHeight="1" x14ac:dyDescent="0.2">
      <c r="A50" s="228" t="s">
        <v>4</v>
      </c>
      <c r="B50" s="229"/>
      <c r="C50" s="229"/>
      <c r="D50" s="18"/>
      <c r="E50" s="17">
        <v>15111.946099999999</v>
      </c>
      <c r="F50" s="170"/>
      <c r="AF50" s="176"/>
    </row>
    <row r="51" spans="1:52" s="2" customFormat="1" ht="15" customHeight="1" x14ac:dyDescent="0.2">
      <c r="A51" s="19" t="s">
        <v>3</v>
      </c>
      <c r="B51" s="229"/>
      <c r="C51" s="229"/>
      <c r="D51" s="18"/>
      <c r="E51" s="17">
        <v>10376.733497789382</v>
      </c>
      <c r="F51" s="170"/>
      <c r="AF51" s="176"/>
    </row>
    <row r="52" spans="1:52" s="209" customFormat="1" ht="20.100000000000001" customHeight="1" x14ac:dyDescent="0.2">
      <c r="A52" s="237" t="s">
        <v>100</v>
      </c>
      <c r="B52" s="252"/>
      <c r="C52" s="252"/>
      <c r="D52" s="208"/>
      <c r="E52" s="71">
        <f>SUM(E44:E51)</f>
        <v>8713115.12989779</v>
      </c>
      <c r="F52" s="173"/>
      <c r="AF52" s="231"/>
    </row>
    <row r="53" spans="1:52" s="2" customFormat="1" ht="15" customHeight="1" x14ac:dyDescent="0.2">
      <c r="A53" s="253"/>
      <c r="B53" s="254"/>
      <c r="C53" s="254"/>
      <c r="D53" s="18"/>
      <c r="E53" s="17">
        <v>0</v>
      </c>
      <c r="F53" s="170"/>
      <c r="AF53" s="176"/>
    </row>
    <row r="54" spans="1:52" s="2" customFormat="1" ht="15" customHeight="1" x14ac:dyDescent="0.2">
      <c r="A54" s="253" t="s">
        <v>2</v>
      </c>
      <c r="B54" s="254"/>
      <c r="C54" s="254"/>
      <c r="D54" s="18"/>
      <c r="E54" s="17">
        <v>45.8</v>
      </c>
      <c r="F54" s="170"/>
      <c r="AF54" s="176"/>
    </row>
    <row r="55" spans="1:52" s="2" customFormat="1" ht="20.100000000000001" customHeight="1" x14ac:dyDescent="0.2">
      <c r="A55" s="235" t="s">
        <v>101</v>
      </c>
      <c r="B55" s="236"/>
      <c r="C55" s="236"/>
      <c r="D55" s="69"/>
      <c r="E55" s="68">
        <f>+E52-E53-E54</f>
        <v>8713069.3298977893</v>
      </c>
      <c r="F55" s="170"/>
      <c r="AF55" s="176"/>
    </row>
    <row r="56" spans="1:52" x14ac:dyDescent="0.2">
      <c r="A56" s="2"/>
      <c r="B56" s="2"/>
      <c r="C56" s="2"/>
      <c r="D56" s="2"/>
      <c r="E56" s="2"/>
      <c r="F56" s="225"/>
      <c r="G56" s="210"/>
      <c r="H56" s="210"/>
      <c r="I56" s="210"/>
      <c r="J56" s="211"/>
      <c r="K56" s="2"/>
      <c r="L56" s="210"/>
      <c r="M56" s="210"/>
      <c r="N56" s="210"/>
      <c r="V56" s="13"/>
      <c r="W56" s="13"/>
      <c r="X56" s="2"/>
      <c r="Z56" s="2"/>
      <c r="AA56" s="13" t="s">
        <v>1</v>
      </c>
      <c r="AB56" s="2"/>
      <c r="AC56" s="12"/>
      <c r="AD56" s="2"/>
      <c r="AE56" s="2"/>
      <c r="AF56" s="17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12" t="s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11"/>
      <c r="X57" s="2"/>
      <c r="Z57" s="2"/>
      <c r="AA57" s="3"/>
      <c r="AB57" s="2"/>
      <c r="AC57" s="3"/>
      <c r="AD57" s="2"/>
      <c r="AE57" s="2"/>
      <c r="AF57" s="17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212" t="s">
        <v>120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11"/>
      <c r="X58" s="2"/>
      <c r="Z58" s="2"/>
      <c r="AA58" s="3"/>
      <c r="AB58" s="2"/>
      <c r="AC58" s="3"/>
      <c r="AD58" s="2"/>
      <c r="AE58" s="2"/>
      <c r="AF58" s="17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3.5" thickBot="1" x14ac:dyDescent="0.25">
      <c r="A59" s="10" t="s">
        <v>95</v>
      </c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10"/>
      <c r="Z59" s="9"/>
      <c r="AA59" s="8"/>
      <c r="AB59" s="9"/>
      <c r="AC59" s="8"/>
      <c r="AE59" s="2"/>
      <c r="AF59" s="17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213" t="s">
        <v>96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V60" s="2"/>
      <c r="W60" s="11"/>
      <c r="X60" s="2"/>
      <c r="Y60" s="199"/>
      <c r="Z60" s="2"/>
      <c r="AA60" s="11"/>
      <c r="AB60" s="2"/>
      <c r="AC60" s="11"/>
      <c r="AD60" s="2"/>
      <c r="AE60" s="2"/>
      <c r="AF60" s="17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11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</sheetData>
  <mergeCells count="10">
    <mergeCell ref="A52:C52"/>
    <mergeCell ref="A53:C53"/>
    <mergeCell ref="A54:C54"/>
    <mergeCell ref="A55:C55"/>
    <mergeCell ref="G6:I7"/>
    <mergeCell ref="R6:T6"/>
    <mergeCell ref="R7:T7"/>
    <mergeCell ref="P8:P9"/>
    <mergeCell ref="T8:T9"/>
    <mergeCell ref="A46:C46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 F33 F39 W33 AC33" formula="1"/>
    <ignoredError sqref="W9:Y9" numberStoredAsText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C3E6-270E-494E-BE0B-782DBDA7DC53}">
  <sheetPr>
    <pageSetUpPr fitToPage="1"/>
  </sheetPr>
  <dimension ref="A1:AZ80"/>
  <sheetViews>
    <sheetView showGridLines="0" showZeros="0" tabSelected="1" zoomScaleNormal="100" workbookViewId="0">
      <selection activeCell="A5" sqref="A5"/>
    </sheetView>
  </sheetViews>
  <sheetFormatPr baseColWidth="10" defaultRowHeight="12.75" x14ac:dyDescent="0.2"/>
  <cols>
    <col min="1" max="1" width="20.109375" style="1" customWidth="1"/>
    <col min="2" max="6" width="12.77734375" style="1" customWidth="1"/>
    <col min="7" max="7" width="33.21875" style="1" hidden="1" customWidth="1"/>
    <col min="8" max="8" width="36.33203125" style="1" hidden="1" customWidth="1"/>
    <col min="9" max="9" width="5.6640625" style="1" hidden="1" customWidth="1"/>
    <col min="10" max="18" width="12.77734375" style="1" customWidth="1"/>
    <col min="19" max="19" width="30.5546875" style="1" hidden="1" customWidth="1"/>
    <col min="20" max="23" width="12.77734375" style="1" customWidth="1"/>
    <col min="24" max="24" width="1.77734375" style="1" customWidth="1"/>
    <col min="25" max="25" width="12.77734375" style="1" customWidth="1"/>
    <col min="26" max="26" width="1.77734375" style="1" customWidth="1"/>
    <col min="27" max="27" width="49" style="1" hidden="1" customWidth="1"/>
    <col min="28" max="28" width="1.77734375" style="1" hidden="1" customWidth="1"/>
    <col min="29" max="29" width="12.77734375" style="1" customWidth="1"/>
    <col min="30" max="30" width="11.5546875" style="1"/>
    <col min="31" max="31" width="15.109375" style="1" customWidth="1"/>
    <col min="32" max="32" width="13" style="1" customWidth="1"/>
    <col min="33" max="33" width="11.5546875" style="1"/>
    <col min="34" max="34" width="11.77734375" style="1" customWidth="1"/>
    <col min="35" max="256" width="11.5546875" style="1"/>
    <col min="257" max="257" width="20.109375" style="1" customWidth="1"/>
    <col min="258" max="262" width="12.77734375" style="1" customWidth="1"/>
    <col min="263" max="265" width="0" style="1" hidden="1" customWidth="1"/>
    <col min="266" max="274" width="12.77734375" style="1" customWidth="1"/>
    <col min="275" max="275" width="0" style="1" hidden="1" customWidth="1"/>
    <col min="276" max="279" width="12.77734375" style="1" customWidth="1"/>
    <col min="280" max="280" width="1.77734375" style="1" customWidth="1"/>
    <col min="281" max="281" width="12.77734375" style="1" customWidth="1"/>
    <col min="282" max="282" width="1.77734375" style="1" customWidth="1"/>
    <col min="283" max="284" width="0" style="1" hidden="1" customWidth="1"/>
    <col min="285" max="285" width="12.77734375" style="1" customWidth="1"/>
    <col min="286" max="286" width="11.5546875" style="1"/>
    <col min="287" max="287" width="15.109375" style="1" customWidth="1"/>
    <col min="288" max="288" width="13" style="1" customWidth="1"/>
    <col min="289" max="289" width="11.5546875" style="1"/>
    <col min="290" max="290" width="11.77734375" style="1" customWidth="1"/>
    <col min="291" max="512" width="11.5546875" style="1"/>
    <col min="513" max="513" width="20.109375" style="1" customWidth="1"/>
    <col min="514" max="518" width="12.77734375" style="1" customWidth="1"/>
    <col min="519" max="521" width="0" style="1" hidden="1" customWidth="1"/>
    <col min="522" max="530" width="12.77734375" style="1" customWidth="1"/>
    <col min="531" max="531" width="0" style="1" hidden="1" customWidth="1"/>
    <col min="532" max="535" width="12.77734375" style="1" customWidth="1"/>
    <col min="536" max="536" width="1.77734375" style="1" customWidth="1"/>
    <col min="537" max="537" width="12.77734375" style="1" customWidth="1"/>
    <col min="538" max="538" width="1.77734375" style="1" customWidth="1"/>
    <col min="539" max="540" width="0" style="1" hidden="1" customWidth="1"/>
    <col min="541" max="541" width="12.77734375" style="1" customWidth="1"/>
    <col min="542" max="542" width="11.5546875" style="1"/>
    <col min="543" max="543" width="15.109375" style="1" customWidth="1"/>
    <col min="544" max="544" width="13" style="1" customWidth="1"/>
    <col min="545" max="545" width="11.5546875" style="1"/>
    <col min="546" max="546" width="11.77734375" style="1" customWidth="1"/>
    <col min="547" max="768" width="11.5546875" style="1"/>
    <col min="769" max="769" width="20.109375" style="1" customWidth="1"/>
    <col min="770" max="774" width="12.77734375" style="1" customWidth="1"/>
    <col min="775" max="777" width="0" style="1" hidden="1" customWidth="1"/>
    <col min="778" max="786" width="12.77734375" style="1" customWidth="1"/>
    <col min="787" max="787" width="0" style="1" hidden="1" customWidth="1"/>
    <col min="788" max="791" width="12.77734375" style="1" customWidth="1"/>
    <col min="792" max="792" width="1.77734375" style="1" customWidth="1"/>
    <col min="793" max="793" width="12.77734375" style="1" customWidth="1"/>
    <col min="794" max="794" width="1.77734375" style="1" customWidth="1"/>
    <col min="795" max="796" width="0" style="1" hidden="1" customWidth="1"/>
    <col min="797" max="797" width="12.77734375" style="1" customWidth="1"/>
    <col min="798" max="798" width="11.5546875" style="1"/>
    <col min="799" max="799" width="15.109375" style="1" customWidth="1"/>
    <col min="800" max="800" width="13" style="1" customWidth="1"/>
    <col min="801" max="801" width="11.5546875" style="1"/>
    <col min="802" max="802" width="11.77734375" style="1" customWidth="1"/>
    <col min="803" max="1024" width="11.5546875" style="1"/>
    <col min="1025" max="1025" width="20.109375" style="1" customWidth="1"/>
    <col min="1026" max="1030" width="12.77734375" style="1" customWidth="1"/>
    <col min="1031" max="1033" width="0" style="1" hidden="1" customWidth="1"/>
    <col min="1034" max="1042" width="12.77734375" style="1" customWidth="1"/>
    <col min="1043" max="1043" width="0" style="1" hidden="1" customWidth="1"/>
    <col min="1044" max="1047" width="12.77734375" style="1" customWidth="1"/>
    <col min="1048" max="1048" width="1.77734375" style="1" customWidth="1"/>
    <col min="1049" max="1049" width="12.77734375" style="1" customWidth="1"/>
    <col min="1050" max="1050" width="1.77734375" style="1" customWidth="1"/>
    <col min="1051" max="1052" width="0" style="1" hidden="1" customWidth="1"/>
    <col min="1053" max="1053" width="12.77734375" style="1" customWidth="1"/>
    <col min="1054" max="1054" width="11.5546875" style="1"/>
    <col min="1055" max="1055" width="15.109375" style="1" customWidth="1"/>
    <col min="1056" max="1056" width="13" style="1" customWidth="1"/>
    <col min="1057" max="1057" width="11.5546875" style="1"/>
    <col min="1058" max="1058" width="11.77734375" style="1" customWidth="1"/>
    <col min="1059" max="1280" width="11.5546875" style="1"/>
    <col min="1281" max="1281" width="20.109375" style="1" customWidth="1"/>
    <col min="1282" max="1286" width="12.77734375" style="1" customWidth="1"/>
    <col min="1287" max="1289" width="0" style="1" hidden="1" customWidth="1"/>
    <col min="1290" max="1298" width="12.77734375" style="1" customWidth="1"/>
    <col min="1299" max="1299" width="0" style="1" hidden="1" customWidth="1"/>
    <col min="1300" max="1303" width="12.77734375" style="1" customWidth="1"/>
    <col min="1304" max="1304" width="1.77734375" style="1" customWidth="1"/>
    <col min="1305" max="1305" width="12.77734375" style="1" customWidth="1"/>
    <col min="1306" max="1306" width="1.77734375" style="1" customWidth="1"/>
    <col min="1307" max="1308" width="0" style="1" hidden="1" customWidth="1"/>
    <col min="1309" max="1309" width="12.77734375" style="1" customWidth="1"/>
    <col min="1310" max="1310" width="11.5546875" style="1"/>
    <col min="1311" max="1311" width="15.109375" style="1" customWidth="1"/>
    <col min="1312" max="1312" width="13" style="1" customWidth="1"/>
    <col min="1313" max="1313" width="11.5546875" style="1"/>
    <col min="1314" max="1314" width="11.77734375" style="1" customWidth="1"/>
    <col min="1315" max="1536" width="11.5546875" style="1"/>
    <col min="1537" max="1537" width="20.109375" style="1" customWidth="1"/>
    <col min="1538" max="1542" width="12.77734375" style="1" customWidth="1"/>
    <col min="1543" max="1545" width="0" style="1" hidden="1" customWidth="1"/>
    <col min="1546" max="1554" width="12.77734375" style="1" customWidth="1"/>
    <col min="1555" max="1555" width="0" style="1" hidden="1" customWidth="1"/>
    <col min="1556" max="1559" width="12.77734375" style="1" customWidth="1"/>
    <col min="1560" max="1560" width="1.77734375" style="1" customWidth="1"/>
    <col min="1561" max="1561" width="12.77734375" style="1" customWidth="1"/>
    <col min="1562" max="1562" width="1.77734375" style="1" customWidth="1"/>
    <col min="1563" max="1564" width="0" style="1" hidden="1" customWidth="1"/>
    <col min="1565" max="1565" width="12.77734375" style="1" customWidth="1"/>
    <col min="1566" max="1566" width="11.5546875" style="1"/>
    <col min="1567" max="1567" width="15.109375" style="1" customWidth="1"/>
    <col min="1568" max="1568" width="13" style="1" customWidth="1"/>
    <col min="1569" max="1569" width="11.5546875" style="1"/>
    <col min="1570" max="1570" width="11.77734375" style="1" customWidth="1"/>
    <col min="1571" max="1792" width="11.5546875" style="1"/>
    <col min="1793" max="1793" width="20.109375" style="1" customWidth="1"/>
    <col min="1794" max="1798" width="12.77734375" style="1" customWidth="1"/>
    <col min="1799" max="1801" width="0" style="1" hidden="1" customWidth="1"/>
    <col min="1802" max="1810" width="12.77734375" style="1" customWidth="1"/>
    <col min="1811" max="1811" width="0" style="1" hidden="1" customWidth="1"/>
    <col min="1812" max="1815" width="12.77734375" style="1" customWidth="1"/>
    <col min="1816" max="1816" width="1.77734375" style="1" customWidth="1"/>
    <col min="1817" max="1817" width="12.77734375" style="1" customWidth="1"/>
    <col min="1818" max="1818" width="1.77734375" style="1" customWidth="1"/>
    <col min="1819" max="1820" width="0" style="1" hidden="1" customWidth="1"/>
    <col min="1821" max="1821" width="12.77734375" style="1" customWidth="1"/>
    <col min="1822" max="1822" width="11.5546875" style="1"/>
    <col min="1823" max="1823" width="15.109375" style="1" customWidth="1"/>
    <col min="1824" max="1824" width="13" style="1" customWidth="1"/>
    <col min="1825" max="1825" width="11.5546875" style="1"/>
    <col min="1826" max="1826" width="11.77734375" style="1" customWidth="1"/>
    <col min="1827" max="2048" width="11.5546875" style="1"/>
    <col min="2049" max="2049" width="20.109375" style="1" customWidth="1"/>
    <col min="2050" max="2054" width="12.77734375" style="1" customWidth="1"/>
    <col min="2055" max="2057" width="0" style="1" hidden="1" customWidth="1"/>
    <col min="2058" max="2066" width="12.77734375" style="1" customWidth="1"/>
    <col min="2067" max="2067" width="0" style="1" hidden="1" customWidth="1"/>
    <col min="2068" max="2071" width="12.77734375" style="1" customWidth="1"/>
    <col min="2072" max="2072" width="1.77734375" style="1" customWidth="1"/>
    <col min="2073" max="2073" width="12.77734375" style="1" customWidth="1"/>
    <col min="2074" max="2074" width="1.77734375" style="1" customWidth="1"/>
    <col min="2075" max="2076" width="0" style="1" hidden="1" customWidth="1"/>
    <col min="2077" max="2077" width="12.77734375" style="1" customWidth="1"/>
    <col min="2078" max="2078" width="11.5546875" style="1"/>
    <col min="2079" max="2079" width="15.109375" style="1" customWidth="1"/>
    <col min="2080" max="2080" width="13" style="1" customWidth="1"/>
    <col min="2081" max="2081" width="11.5546875" style="1"/>
    <col min="2082" max="2082" width="11.77734375" style="1" customWidth="1"/>
    <col min="2083" max="2304" width="11.5546875" style="1"/>
    <col min="2305" max="2305" width="20.109375" style="1" customWidth="1"/>
    <col min="2306" max="2310" width="12.77734375" style="1" customWidth="1"/>
    <col min="2311" max="2313" width="0" style="1" hidden="1" customWidth="1"/>
    <col min="2314" max="2322" width="12.77734375" style="1" customWidth="1"/>
    <col min="2323" max="2323" width="0" style="1" hidden="1" customWidth="1"/>
    <col min="2324" max="2327" width="12.77734375" style="1" customWidth="1"/>
    <col min="2328" max="2328" width="1.77734375" style="1" customWidth="1"/>
    <col min="2329" max="2329" width="12.77734375" style="1" customWidth="1"/>
    <col min="2330" max="2330" width="1.77734375" style="1" customWidth="1"/>
    <col min="2331" max="2332" width="0" style="1" hidden="1" customWidth="1"/>
    <col min="2333" max="2333" width="12.77734375" style="1" customWidth="1"/>
    <col min="2334" max="2334" width="11.5546875" style="1"/>
    <col min="2335" max="2335" width="15.109375" style="1" customWidth="1"/>
    <col min="2336" max="2336" width="13" style="1" customWidth="1"/>
    <col min="2337" max="2337" width="11.5546875" style="1"/>
    <col min="2338" max="2338" width="11.77734375" style="1" customWidth="1"/>
    <col min="2339" max="2560" width="11.5546875" style="1"/>
    <col min="2561" max="2561" width="20.109375" style="1" customWidth="1"/>
    <col min="2562" max="2566" width="12.77734375" style="1" customWidth="1"/>
    <col min="2567" max="2569" width="0" style="1" hidden="1" customWidth="1"/>
    <col min="2570" max="2578" width="12.77734375" style="1" customWidth="1"/>
    <col min="2579" max="2579" width="0" style="1" hidden="1" customWidth="1"/>
    <col min="2580" max="2583" width="12.77734375" style="1" customWidth="1"/>
    <col min="2584" max="2584" width="1.77734375" style="1" customWidth="1"/>
    <col min="2585" max="2585" width="12.77734375" style="1" customWidth="1"/>
    <col min="2586" max="2586" width="1.77734375" style="1" customWidth="1"/>
    <col min="2587" max="2588" width="0" style="1" hidden="1" customWidth="1"/>
    <col min="2589" max="2589" width="12.77734375" style="1" customWidth="1"/>
    <col min="2590" max="2590" width="11.5546875" style="1"/>
    <col min="2591" max="2591" width="15.109375" style="1" customWidth="1"/>
    <col min="2592" max="2592" width="13" style="1" customWidth="1"/>
    <col min="2593" max="2593" width="11.5546875" style="1"/>
    <col min="2594" max="2594" width="11.77734375" style="1" customWidth="1"/>
    <col min="2595" max="2816" width="11.5546875" style="1"/>
    <col min="2817" max="2817" width="20.109375" style="1" customWidth="1"/>
    <col min="2818" max="2822" width="12.77734375" style="1" customWidth="1"/>
    <col min="2823" max="2825" width="0" style="1" hidden="1" customWidth="1"/>
    <col min="2826" max="2834" width="12.77734375" style="1" customWidth="1"/>
    <col min="2835" max="2835" width="0" style="1" hidden="1" customWidth="1"/>
    <col min="2836" max="2839" width="12.77734375" style="1" customWidth="1"/>
    <col min="2840" max="2840" width="1.77734375" style="1" customWidth="1"/>
    <col min="2841" max="2841" width="12.77734375" style="1" customWidth="1"/>
    <col min="2842" max="2842" width="1.77734375" style="1" customWidth="1"/>
    <col min="2843" max="2844" width="0" style="1" hidden="1" customWidth="1"/>
    <col min="2845" max="2845" width="12.77734375" style="1" customWidth="1"/>
    <col min="2846" max="2846" width="11.5546875" style="1"/>
    <col min="2847" max="2847" width="15.109375" style="1" customWidth="1"/>
    <col min="2848" max="2848" width="13" style="1" customWidth="1"/>
    <col min="2849" max="2849" width="11.5546875" style="1"/>
    <col min="2850" max="2850" width="11.77734375" style="1" customWidth="1"/>
    <col min="2851" max="3072" width="11.5546875" style="1"/>
    <col min="3073" max="3073" width="20.109375" style="1" customWidth="1"/>
    <col min="3074" max="3078" width="12.77734375" style="1" customWidth="1"/>
    <col min="3079" max="3081" width="0" style="1" hidden="1" customWidth="1"/>
    <col min="3082" max="3090" width="12.77734375" style="1" customWidth="1"/>
    <col min="3091" max="3091" width="0" style="1" hidden="1" customWidth="1"/>
    <col min="3092" max="3095" width="12.77734375" style="1" customWidth="1"/>
    <col min="3096" max="3096" width="1.77734375" style="1" customWidth="1"/>
    <col min="3097" max="3097" width="12.77734375" style="1" customWidth="1"/>
    <col min="3098" max="3098" width="1.77734375" style="1" customWidth="1"/>
    <col min="3099" max="3100" width="0" style="1" hidden="1" customWidth="1"/>
    <col min="3101" max="3101" width="12.77734375" style="1" customWidth="1"/>
    <col min="3102" max="3102" width="11.5546875" style="1"/>
    <col min="3103" max="3103" width="15.109375" style="1" customWidth="1"/>
    <col min="3104" max="3104" width="13" style="1" customWidth="1"/>
    <col min="3105" max="3105" width="11.5546875" style="1"/>
    <col min="3106" max="3106" width="11.77734375" style="1" customWidth="1"/>
    <col min="3107" max="3328" width="11.5546875" style="1"/>
    <col min="3329" max="3329" width="20.109375" style="1" customWidth="1"/>
    <col min="3330" max="3334" width="12.77734375" style="1" customWidth="1"/>
    <col min="3335" max="3337" width="0" style="1" hidden="1" customWidth="1"/>
    <col min="3338" max="3346" width="12.77734375" style="1" customWidth="1"/>
    <col min="3347" max="3347" width="0" style="1" hidden="1" customWidth="1"/>
    <col min="3348" max="3351" width="12.77734375" style="1" customWidth="1"/>
    <col min="3352" max="3352" width="1.77734375" style="1" customWidth="1"/>
    <col min="3353" max="3353" width="12.77734375" style="1" customWidth="1"/>
    <col min="3354" max="3354" width="1.77734375" style="1" customWidth="1"/>
    <col min="3355" max="3356" width="0" style="1" hidden="1" customWidth="1"/>
    <col min="3357" max="3357" width="12.77734375" style="1" customWidth="1"/>
    <col min="3358" max="3358" width="11.5546875" style="1"/>
    <col min="3359" max="3359" width="15.109375" style="1" customWidth="1"/>
    <col min="3360" max="3360" width="13" style="1" customWidth="1"/>
    <col min="3361" max="3361" width="11.5546875" style="1"/>
    <col min="3362" max="3362" width="11.77734375" style="1" customWidth="1"/>
    <col min="3363" max="3584" width="11.5546875" style="1"/>
    <col min="3585" max="3585" width="20.109375" style="1" customWidth="1"/>
    <col min="3586" max="3590" width="12.77734375" style="1" customWidth="1"/>
    <col min="3591" max="3593" width="0" style="1" hidden="1" customWidth="1"/>
    <col min="3594" max="3602" width="12.77734375" style="1" customWidth="1"/>
    <col min="3603" max="3603" width="0" style="1" hidden="1" customWidth="1"/>
    <col min="3604" max="3607" width="12.77734375" style="1" customWidth="1"/>
    <col min="3608" max="3608" width="1.77734375" style="1" customWidth="1"/>
    <col min="3609" max="3609" width="12.77734375" style="1" customWidth="1"/>
    <col min="3610" max="3610" width="1.77734375" style="1" customWidth="1"/>
    <col min="3611" max="3612" width="0" style="1" hidden="1" customWidth="1"/>
    <col min="3613" max="3613" width="12.77734375" style="1" customWidth="1"/>
    <col min="3614" max="3614" width="11.5546875" style="1"/>
    <col min="3615" max="3615" width="15.109375" style="1" customWidth="1"/>
    <col min="3616" max="3616" width="13" style="1" customWidth="1"/>
    <col min="3617" max="3617" width="11.5546875" style="1"/>
    <col min="3618" max="3618" width="11.77734375" style="1" customWidth="1"/>
    <col min="3619" max="3840" width="11.5546875" style="1"/>
    <col min="3841" max="3841" width="20.109375" style="1" customWidth="1"/>
    <col min="3842" max="3846" width="12.77734375" style="1" customWidth="1"/>
    <col min="3847" max="3849" width="0" style="1" hidden="1" customWidth="1"/>
    <col min="3850" max="3858" width="12.77734375" style="1" customWidth="1"/>
    <col min="3859" max="3859" width="0" style="1" hidden="1" customWidth="1"/>
    <col min="3860" max="3863" width="12.77734375" style="1" customWidth="1"/>
    <col min="3864" max="3864" width="1.77734375" style="1" customWidth="1"/>
    <col min="3865" max="3865" width="12.77734375" style="1" customWidth="1"/>
    <col min="3866" max="3866" width="1.77734375" style="1" customWidth="1"/>
    <col min="3867" max="3868" width="0" style="1" hidden="1" customWidth="1"/>
    <col min="3869" max="3869" width="12.77734375" style="1" customWidth="1"/>
    <col min="3870" max="3870" width="11.5546875" style="1"/>
    <col min="3871" max="3871" width="15.109375" style="1" customWidth="1"/>
    <col min="3872" max="3872" width="13" style="1" customWidth="1"/>
    <col min="3873" max="3873" width="11.5546875" style="1"/>
    <col min="3874" max="3874" width="11.77734375" style="1" customWidth="1"/>
    <col min="3875" max="4096" width="11.5546875" style="1"/>
    <col min="4097" max="4097" width="20.109375" style="1" customWidth="1"/>
    <col min="4098" max="4102" width="12.77734375" style="1" customWidth="1"/>
    <col min="4103" max="4105" width="0" style="1" hidden="1" customWidth="1"/>
    <col min="4106" max="4114" width="12.77734375" style="1" customWidth="1"/>
    <col min="4115" max="4115" width="0" style="1" hidden="1" customWidth="1"/>
    <col min="4116" max="4119" width="12.77734375" style="1" customWidth="1"/>
    <col min="4120" max="4120" width="1.77734375" style="1" customWidth="1"/>
    <col min="4121" max="4121" width="12.77734375" style="1" customWidth="1"/>
    <col min="4122" max="4122" width="1.77734375" style="1" customWidth="1"/>
    <col min="4123" max="4124" width="0" style="1" hidden="1" customWidth="1"/>
    <col min="4125" max="4125" width="12.77734375" style="1" customWidth="1"/>
    <col min="4126" max="4126" width="11.5546875" style="1"/>
    <col min="4127" max="4127" width="15.109375" style="1" customWidth="1"/>
    <col min="4128" max="4128" width="13" style="1" customWidth="1"/>
    <col min="4129" max="4129" width="11.5546875" style="1"/>
    <col min="4130" max="4130" width="11.77734375" style="1" customWidth="1"/>
    <col min="4131" max="4352" width="11.5546875" style="1"/>
    <col min="4353" max="4353" width="20.109375" style="1" customWidth="1"/>
    <col min="4354" max="4358" width="12.77734375" style="1" customWidth="1"/>
    <col min="4359" max="4361" width="0" style="1" hidden="1" customWidth="1"/>
    <col min="4362" max="4370" width="12.77734375" style="1" customWidth="1"/>
    <col min="4371" max="4371" width="0" style="1" hidden="1" customWidth="1"/>
    <col min="4372" max="4375" width="12.77734375" style="1" customWidth="1"/>
    <col min="4376" max="4376" width="1.77734375" style="1" customWidth="1"/>
    <col min="4377" max="4377" width="12.77734375" style="1" customWidth="1"/>
    <col min="4378" max="4378" width="1.77734375" style="1" customWidth="1"/>
    <col min="4379" max="4380" width="0" style="1" hidden="1" customWidth="1"/>
    <col min="4381" max="4381" width="12.77734375" style="1" customWidth="1"/>
    <col min="4382" max="4382" width="11.5546875" style="1"/>
    <col min="4383" max="4383" width="15.109375" style="1" customWidth="1"/>
    <col min="4384" max="4384" width="13" style="1" customWidth="1"/>
    <col min="4385" max="4385" width="11.5546875" style="1"/>
    <col min="4386" max="4386" width="11.77734375" style="1" customWidth="1"/>
    <col min="4387" max="4608" width="11.5546875" style="1"/>
    <col min="4609" max="4609" width="20.109375" style="1" customWidth="1"/>
    <col min="4610" max="4614" width="12.77734375" style="1" customWidth="1"/>
    <col min="4615" max="4617" width="0" style="1" hidden="1" customWidth="1"/>
    <col min="4618" max="4626" width="12.77734375" style="1" customWidth="1"/>
    <col min="4627" max="4627" width="0" style="1" hidden="1" customWidth="1"/>
    <col min="4628" max="4631" width="12.77734375" style="1" customWidth="1"/>
    <col min="4632" max="4632" width="1.77734375" style="1" customWidth="1"/>
    <col min="4633" max="4633" width="12.77734375" style="1" customWidth="1"/>
    <col min="4634" max="4634" width="1.77734375" style="1" customWidth="1"/>
    <col min="4635" max="4636" width="0" style="1" hidden="1" customWidth="1"/>
    <col min="4637" max="4637" width="12.77734375" style="1" customWidth="1"/>
    <col min="4638" max="4638" width="11.5546875" style="1"/>
    <col min="4639" max="4639" width="15.109375" style="1" customWidth="1"/>
    <col min="4640" max="4640" width="13" style="1" customWidth="1"/>
    <col min="4641" max="4641" width="11.5546875" style="1"/>
    <col min="4642" max="4642" width="11.77734375" style="1" customWidth="1"/>
    <col min="4643" max="4864" width="11.5546875" style="1"/>
    <col min="4865" max="4865" width="20.109375" style="1" customWidth="1"/>
    <col min="4866" max="4870" width="12.77734375" style="1" customWidth="1"/>
    <col min="4871" max="4873" width="0" style="1" hidden="1" customWidth="1"/>
    <col min="4874" max="4882" width="12.77734375" style="1" customWidth="1"/>
    <col min="4883" max="4883" width="0" style="1" hidden="1" customWidth="1"/>
    <col min="4884" max="4887" width="12.77734375" style="1" customWidth="1"/>
    <col min="4888" max="4888" width="1.77734375" style="1" customWidth="1"/>
    <col min="4889" max="4889" width="12.77734375" style="1" customWidth="1"/>
    <col min="4890" max="4890" width="1.77734375" style="1" customWidth="1"/>
    <col min="4891" max="4892" width="0" style="1" hidden="1" customWidth="1"/>
    <col min="4893" max="4893" width="12.77734375" style="1" customWidth="1"/>
    <col min="4894" max="4894" width="11.5546875" style="1"/>
    <col min="4895" max="4895" width="15.109375" style="1" customWidth="1"/>
    <col min="4896" max="4896" width="13" style="1" customWidth="1"/>
    <col min="4897" max="4897" width="11.5546875" style="1"/>
    <col min="4898" max="4898" width="11.77734375" style="1" customWidth="1"/>
    <col min="4899" max="5120" width="11.5546875" style="1"/>
    <col min="5121" max="5121" width="20.109375" style="1" customWidth="1"/>
    <col min="5122" max="5126" width="12.77734375" style="1" customWidth="1"/>
    <col min="5127" max="5129" width="0" style="1" hidden="1" customWidth="1"/>
    <col min="5130" max="5138" width="12.77734375" style="1" customWidth="1"/>
    <col min="5139" max="5139" width="0" style="1" hidden="1" customWidth="1"/>
    <col min="5140" max="5143" width="12.77734375" style="1" customWidth="1"/>
    <col min="5144" max="5144" width="1.77734375" style="1" customWidth="1"/>
    <col min="5145" max="5145" width="12.77734375" style="1" customWidth="1"/>
    <col min="5146" max="5146" width="1.77734375" style="1" customWidth="1"/>
    <col min="5147" max="5148" width="0" style="1" hidden="1" customWidth="1"/>
    <col min="5149" max="5149" width="12.77734375" style="1" customWidth="1"/>
    <col min="5150" max="5150" width="11.5546875" style="1"/>
    <col min="5151" max="5151" width="15.109375" style="1" customWidth="1"/>
    <col min="5152" max="5152" width="13" style="1" customWidth="1"/>
    <col min="5153" max="5153" width="11.5546875" style="1"/>
    <col min="5154" max="5154" width="11.77734375" style="1" customWidth="1"/>
    <col min="5155" max="5376" width="11.5546875" style="1"/>
    <col min="5377" max="5377" width="20.109375" style="1" customWidth="1"/>
    <col min="5378" max="5382" width="12.77734375" style="1" customWidth="1"/>
    <col min="5383" max="5385" width="0" style="1" hidden="1" customWidth="1"/>
    <col min="5386" max="5394" width="12.77734375" style="1" customWidth="1"/>
    <col min="5395" max="5395" width="0" style="1" hidden="1" customWidth="1"/>
    <col min="5396" max="5399" width="12.77734375" style="1" customWidth="1"/>
    <col min="5400" max="5400" width="1.77734375" style="1" customWidth="1"/>
    <col min="5401" max="5401" width="12.77734375" style="1" customWidth="1"/>
    <col min="5402" max="5402" width="1.77734375" style="1" customWidth="1"/>
    <col min="5403" max="5404" width="0" style="1" hidden="1" customWidth="1"/>
    <col min="5405" max="5405" width="12.77734375" style="1" customWidth="1"/>
    <col min="5406" max="5406" width="11.5546875" style="1"/>
    <col min="5407" max="5407" width="15.109375" style="1" customWidth="1"/>
    <col min="5408" max="5408" width="13" style="1" customWidth="1"/>
    <col min="5409" max="5409" width="11.5546875" style="1"/>
    <col min="5410" max="5410" width="11.77734375" style="1" customWidth="1"/>
    <col min="5411" max="5632" width="11.5546875" style="1"/>
    <col min="5633" max="5633" width="20.109375" style="1" customWidth="1"/>
    <col min="5634" max="5638" width="12.77734375" style="1" customWidth="1"/>
    <col min="5639" max="5641" width="0" style="1" hidden="1" customWidth="1"/>
    <col min="5642" max="5650" width="12.77734375" style="1" customWidth="1"/>
    <col min="5651" max="5651" width="0" style="1" hidden="1" customWidth="1"/>
    <col min="5652" max="5655" width="12.77734375" style="1" customWidth="1"/>
    <col min="5656" max="5656" width="1.77734375" style="1" customWidth="1"/>
    <col min="5657" max="5657" width="12.77734375" style="1" customWidth="1"/>
    <col min="5658" max="5658" width="1.77734375" style="1" customWidth="1"/>
    <col min="5659" max="5660" width="0" style="1" hidden="1" customWidth="1"/>
    <col min="5661" max="5661" width="12.77734375" style="1" customWidth="1"/>
    <col min="5662" max="5662" width="11.5546875" style="1"/>
    <col min="5663" max="5663" width="15.109375" style="1" customWidth="1"/>
    <col min="5664" max="5664" width="13" style="1" customWidth="1"/>
    <col min="5665" max="5665" width="11.5546875" style="1"/>
    <col min="5666" max="5666" width="11.77734375" style="1" customWidth="1"/>
    <col min="5667" max="5888" width="11.5546875" style="1"/>
    <col min="5889" max="5889" width="20.109375" style="1" customWidth="1"/>
    <col min="5890" max="5894" width="12.77734375" style="1" customWidth="1"/>
    <col min="5895" max="5897" width="0" style="1" hidden="1" customWidth="1"/>
    <col min="5898" max="5906" width="12.77734375" style="1" customWidth="1"/>
    <col min="5907" max="5907" width="0" style="1" hidden="1" customWidth="1"/>
    <col min="5908" max="5911" width="12.77734375" style="1" customWidth="1"/>
    <col min="5912" max="5912" width="1.77734375" style="1" customWidth="1"/>
    <col min="5913" max="5913" width="12.77734375" style="1" customWidth="1"/>
    <col min="5914" max="5914" width="1.77734375" style="1" customWidth="1"/>
    <col min="5915" max="5916" width="0" style="1" hidden="1" customWidth="1"/>
    <col min="5917" max="5917" width="12.77734375" style="1" customWidth="1"/>
    <col min="5918" max="5918" width="11.5546875" style="1"/>
    <col min="5919" max="5919" width="15.109375" style="1" customWidth="1"/>
    <col min="5920" max="5920" width="13" style="1" customWidth="1"/>
    <col min="5921" max="5921" width="11.5546875" style="1"/>
    <col min="5922" max="5922" width="11.77734375" style="1" customWidth="1"/>
    <col min="5923" max="6144" width="11.5546875" style="1"/>
    <col min="6145" max="6145" width="20.109375" style="1" customWidth="1"/>
    <col min="6146" max="6150" width="12.77734375" style="1" customWidth="1"/>
    <col min="6151" max="6153" width="0" style="1" hidden="1" customWidth="1"/>
    <col min="6154" max="6162" width="12.77734375" style="1" customWidth="1"/>
    <col min="6163" max="6163" width="0" style="1" hidden="1" customWidth="1"/>
    <col min="6164" max="6167" width="12.77734375" style="1" customWidth="1"/>
    <col min="6168" max="6168" width="1.77734375" style="1" customWidth="1"/>
    <col min="6169" max="6169" width="12.77734375" style="1" customWidth="1"/>
    <col min="6170" max="6170" width="1.77734375" style="1" customWidth="1"/>
    <col min="6171" max="6172" width="0" style="1" hidden="1" customWidth="1"/>
    <col min="6173" max="6173" width="12.77734375" style="1" customWidth="1"/>
    <col min="6174" max="6174" width="11.5546875" style="1"/>
    <col min="6175" max="6175" width="15.109375" style="1" customWidth="1"/>
    <col min="6176" max="6176" width="13" style="1" customWidth="1"/>
    <col min="6177" max="6177" width="11.5546875" style="1"/>
    <col min="6178" max="6178" width="11.77734375" style="1" customWidth="1"/>
    <col min="6179" max="6400" width="11.5546875" style="1"/>
    <col min="6401" max="6401" width="20.109375" style="1" customWidth="1"/>
    <col min="6402" max="6406" width="12.77734375" style="1" customWidth="1"/>
    <col min="6407" max="6409" width="0" style="1" hidden="1" customWidth="1"/>
    <col min="6410" max="6418" width="12.77734375" style="1" customWidth="1"/>
    <col min="6419" max="6419" width="0" style="1" hidden="1" customWidth="1"/>
    <col min="6420" max="6423" width="12.77734375" style="1" customWidth="1"/>
    <col min="6424" max="6424" width="1.77734375" style="1" customWidth="1"/>
    <col min="6425" max="6425" width="12.77734375" style="1" customWidth="1"/>
    <col min="6426" max="6426" width="1.77734375" style="1" customWidth="1"/>
    <col min="6427" max="6428" width="0" style="1" hidden="1" customWidth="1"/>
    <col min="6429" max="6429" width="12.77734375" style="1" customWidth="1"/>
    <col min="6430" max="6430" width="11.5546875" style="1"/>
    <col min="6431" max="6431" width="15.109375" style="1" customWidth="1"/>
    <col min="6432" max="6432" width="13" style="1" customWidth="1"/>
    <col min="6433" max="6433" width="11.5546875" style="1"/>
    <col min="6434" max="6434" width="11.77734375" style="1" customWidth="1"/>
    <col min="6435" max="6656" width="11.5546875" style="1"/>
    <col min="6657" max="6657" width="20.109375" style="1" customWidth="1"/>
    <col min="6658" max="6662" width="12.77734375" style="1" customWidth="1"/>
    <col min="6663" max="6665" width="0" style="1" hidden="1" customWidth="1"/>
    <col min="6666" max="6674" width="12.77734375" style="1" customWidth="1"/>
    <col min="6675" max="6675" width="0" style="1" hidden="1" customWidth="1"/>
    <col min="6676" max="6679" width="12.77734375" style="1" customWidth="1"/>
    <col min="6680" max="6680" width="1.77734375" style="1" customWidth="1"/>
    <col min="6681" max="6681" width="12.77734375" style="1" customWidth="1"/>
    <col min="6682" max="6682" width="1.77734375" style="1" customWidth="1"/>
    <col min="6683" max="6684" width="0" style="1" hidden="1" customWidth="1"/>
    <col min="6685" max="6685" width="12.77734375" style="1" customWidth="1"/>
    <col min="6686" max="6686" width="11.5546875" style="1"/>
    <col min="6687" max="6687" width="15.109375" style="1" customWidth="1"/>
    <col min="6688" max="6688" width="13" style="1" customWidth="1"/>
    <col min="6689" max="6689" width="11.5546875" style="1"/>
    <col min="6690" max="6690" width="11.77734375" style="1" customWidth="1"/>
    <col min="6691" max="6912" width="11.5546875" style="1"/>
    <col min="6913" max="6913" width="20.109375" style="1" customWidth="1"/>
    <col min="6914" max="6918" width="12.77734375" style="1" customWidth="1"/>
    <col min="6919" max="6921" width="0" style="1" hidden="1" customWidth="1"/>
    <col min="6922" max="6930" width="12.77734375" style="1" customWidth="1"/>
    <col min="6931" max="6931" width="0" style="1" hidden="1" customWidth="1"/>
    <col min="6932" max="6935" width="12.77734375" style="1" customWidth="1"/>
    <col min="6936" max="6936" width="1.77734375" style="1" customWidth="1"/>
    <col min="6937" max="6937" width="12.77734375" style="1" customWidth="1"/>
    <col min="6938" max="6938" width="1.77734375" style="1" customWidth="1"/>
    <col min="6939" max="6940" width="0" style="1" hidden="1" customWidth="1"/>
    <col min="6941" max="6941" width="12.77734375" style="1" customWidth="1"/>
    <col min="6942" max="6942" width="11.5546875" style="1"/>
    <col min="6943" max="6943" width="15.109375" style="1" customWidth="1"/>
    <col min="6944" max="6944" width="13" style="1" customWidth="1"/>
    <col min="6945" max="6945" width="11.5546875" style="1"/>
    <col min="6946" max="6946" width="11.77734375" style="1" customWidth="1"/>
    <col min="6947" max="7168" width="11.5546875" style="1"/>
    <col min="7169" max="7169" width="20.109375" style="1" customWidth="1"/>
    <col min="7170" max="7174" width="12.77734375" style="1" customWidth="1"/>
    <col min="7175" max="7177" width="0" style="1" hidden="1" customWidth="1"/>
    <col min="7178" max="7186" width="12.77734375" style="1" customWidth="1"/>
    <col min="7187" max="7187" width="0" style="1" hidden="1" customWidth="1"/>
    <col min="7188" max="7191" width="12.77734375" style="1" customWidth="1"/>
    <col min="7192" max="7192" width="1.77734375" style="1" customWidth="1"/>
    <col min="7193" max="7193" width="12.77734375" style="1" customWidth="1"/>
    <col min="7194" max="7194" width="1.77734375" style="1" customWidth="1"/>
    <col min="7195" max="7196" width="0" style="1" hidden="1" customWidth="1"/>
    <col min="7197" max="7197" width="12.77734375" style="1" customWidth="1"/>
    <col min="7198" max="7198" width="11.5546875" style="1"/>
    <col min="7199" max="7199" width="15.109375" style="1" customWidth="1"/>
    <col min="7200" max="7200" width="13" style="1" customWidth="1"/>
    <col min="7201" max="7201" width="11.5546875" style="1"/>
    <col min="7202" max="7202" width="11.77734375" style="1" customWidth="1"/>
    <col min="7203" max="7424" width="11.5546875" style="1"/>
    <col min="7425" max="7425" width="20.109375" style="1" customWidth="1"/>
    <col min="7426" max="7430" width="12.77734375" style="1" customWidth="1"/>
    <col min="7431" max="7433" width="0" style="1" hidden="1" customWidth="1"/>
    <col min="7434" max="7442" width="12.77734375" style="1" customWidth="1"/>
    <col min="7443" max="7443" width="0" style="1" hidden="1" customWidth="1"/>
    <col min="7444" max="7447" width="12.77734375" style="1" customWidth="1"/>
    <col min="7448" max="7448" width="1.77734375" style="1" customWidth="1"/>
    <col min="7449" max="7449" width="12.77734375" style="1" customWidth="1"/>
    <col min="7450" max="7450" width="1.77734375" style="1" customWidth="1"/>
    <col min="7451" max="7452" width="0" style="1" hidden="1" customWidth="1"/>
    <col min="7453" max="7453" width="12.77734375" style="1" customWidth="1"/>
    <col min="7454" max="7454" width="11.5546875" style="1"/>
    <col min="7455" max="7455" width="15.109375" style="1" customWidth="1"/>
    <col min="7456" max="7456" width="13" style="1" customWidth="1"/>
    <col min="7457" max="7457" width="11.5546875" style="1"/>
    <col min="7458" max="7458" width="11.77734375" style="1" customWidth="1"/>
    <col min="7459" max="7680" width="11.5546875" style="1"/>
    <col min="7681" max="7681" width="20.109375" style="1" customWidth="1"/>
    <col min="7682" max="7686" width="12.77734375" style="1" customWidth="1"/>
    <col min="7687" max="7689" width="0" style="1" hidden="1" customWidth="1"/>
    <col min="7690" max="7698" width="12.77734375" style="1" customWidth="1"/>
    <col min="7699" max="7699" width="0" style="1" hidden="1" customWidth="1"/>
    <col min="7700" max="7703" width="12.77734375" style="1" customWidth="1"/>
    <col min="7704" max="7704" width="1.77734375" style="1" customWidth="1"/>
    <col min="7705" max="7705" width="12.77734375" style="1" customWidth="1"/>
    <col min="7706" max="7706" width="1.77734375" style="1" customWidth="1"/>
    <col min="7707" max="7708" width="0" style="1" hidden="1" customWidth="1"/>
    <col min="7709" max="7709" width="12.77734375" style="1" customWidth="1"/>
    <col min="7710" max="7710" width="11.5546875" style="1"/>
    <col min="7711" max="7711" width="15.109375" style="1" customWidth="1"/>
    <col min="7712" max="7712" width="13" style="1" customWidth="1"/>
    <col min="7713" max="7713" width="11.5546875" style="1"/>
    <col min="7714" max="7714" width="11.77734375" style="1" customWidth="1"/>
    <col min="7715" max="7936" width="11.5546875" style="1"/>
    <col min="7937" max="7937" width="20.109375" style="1" customWidth="1"/>
    <col min="7938" max="7942" width="12.77734375" style="1" customWidth="1"/>
    <col min="7943" max="7945" width="0" style="1" hidden="1" customWidth="1"/>
    <col min="7946" max="7954" width="12.77734375" style="1" customWidth="1"/>
    <col min="7955" max="7955" width="0" style="1" hidden="1" customWidth="1"/>
    <col min="7956" max="7959" width="12.77734375" style="1" customWidth="1"/>
    <col min="7960" max="7960" width="1.77734375" style="1" customWidth="1"/>
    <col min="7961" max="7961" width="12.77734375" style="1" customWidth="1"/>
    <col min="7962" max="7962" width="1.77734375" style="1" customWidth="1"/>
    <col min="7963" max="7964" width="0" style="1" hidden="1" customWidth="1"/>
    <col min="7965" max="7965" width="12.77734375" style="1" customWidth="1"/>
    <col min="7966" max="7966" width="11.5546875" style="1"/>
    <col min="7967" max="7967" width="15.109375" style="1" customWidth="1"/>
    <col min="7968" max="7968" width="13" style="1" customWidth="1"/>
    <col min="7969" max="7969" width="11.5546875" style="1"/>
    <col min="7970" max="7970" width="11.77734375" style="1" customWidth="1"/>
    <col min="7971" max="8192" width="11.5546875" style="1"/>
    <col min="8193" max="8193" width="20.109375" style="1" customWidth="1"/>
    <col min="8194" max="8198" width="12.77734375" style="1" customWidth="1"/>
    <col min="8199" max="8201" width="0" style="1" hidden="1" customWidth="1"/>
    <col min="8202" max="8210" width="12.77734375" style="1" customWidth="1"/>
    <col min="8211" max="8211" width="0" style="1" hidden="1" customWidth="1"/>
    <col min="8212" max="8215" width="12.77734375" style="1" customWidth="1"/>
    <col min="8216" max="8216" width="1.77734375" style="1" customWidth="1"/>
    <col min="8217" max="8217" width="12.77734375" style="1" customWidth="1"/>
    <col min="8218" max="8218" width="1.77734375" style="1" customWidth="1"/>
    <col min="8219" max="8220" width="0" style="1" hidden="1" customWidth="1"/>
    <col min="8221" max="8221" width="12.77734375" style="1" customWidth="1"/>
    <col min="8222" max="8222" width="11.5546875" style="1"/>
    <col min="8223" max="8223" width="15.109375" style="1" customWidth="1"/>
    <col min="8224" max="8224" width="13" style="1" customWidth="1"/>
    <col min="8225" max="8225" width="11.5546875" style="1"/>
    <col min="8226" max="8226" width="11.77734375" style="1" customWidth="1"/>
    <col min="8227" max="8448" width="11.5546875" style="1"/>
    <col min="8449" max="8449" width="20.109375" style="1" customWidth="1"/>
    <col min="8450" max="8454" width="12.77734375" style="1" customWidth="1"/>
    <col min="8455" max="8457" width="0" style="1" hidden="1" customWidth="1"/>
    <col min="8458" max="8466" width="12.77734375" style="1" customWidth="1"/>
    <col min="8467" max="8467" width="0" style="1" hidden="1" customWidth="1"/>
    <col min="8468" max="8471" width="12.77734375" style="1" customWidth="1"/>
    <col min="8472" max="8472" width="1.77734375" style="1" customWidth="1"/>
    <col min="8473" max="8473" width="12.77734375" style="1" customWidth="1"/>
    <col min="8474" max="8474" width="1.77734375" style="1" customWidth="1"/>
    <col min="8475" max="8476" width="0" style="1" hidden="1" customWidth="1"/>
    <col min="8477" max="8477" width="12.77734375" style="1" customWidth="1"/>
    <col min="8478" max="8478" width="11.5546875" style="1"/>
    <col min="8479" max="8479" width="15.109375" style="1" customWidth="1"/>
    <col min="8480" max="8480" width="13" style="1" customWidth="1"/>
    <col min="8481" max="8481" width="11.5546875" style="1"/>
    <col min="8482" max="8482" width="11.77734375" style="1" customWidth="1"/>
    <col min="8483" max="8704" width="11.5546875" style="1"/>
    <col min="8705" max="8705" width="20.109375" style="1" customWidth="1"/>
    <col min="8706" max="8710" width="12.77734375" style="1" customWidth="1"/>
    <col min="8711" max="8713" width="0" style="1" hidden="1" customWidth="1"/>
    <col min="8714" max="8722" width="12.77734375" style="1" customWidth="1"/>
    <col min="8723" max="8723" width="0" style="1" hidden="1" customWidth="1"/>
    <col min="8724" max="8727" width="12.77734375" style="1" customWidth="1"/>
    <col min="8728" max="8728" width="1.77734375" style="1" customWidth="1"/>
    <col min="8729" max="8729" width="12.77734375" style="1" customWidth="1"/>
    <col min="8730" max="8730" width="1.77734375" style="1" customWidth="1"/>
    <col min="8731" max="8732" width="0" style="1" hidden="1" customWidth="1"/>
    <col min="8733" max="8733" width="12.77734375" style="1" customWidth="1"/>
    <col min="8734" max="8734" width="11.5546875" style="1"/>
    <col min="8735" max="8735" width="15.109375" style="1" customWidth="1"/>
    <col min="8736" max="8736" width="13" style="1" customWidth="1"/>
    <col min="8737" max="8737" width="11.5546875" style="1"/>
    <col min="8738" max="8738" width="11.77734375" style="1" customWidth="1"/>
    <col min="8739" max="8960" width="11.5546875" style="1"/>
    <col min="8961" max="8961" width="20.109375" style="1" customWidth="1"/>
    <col min="8962" max="8966" width="12.77734375" style="1" customWidth="1"/>
    <col min="8967" max="8969" width="0" style="1" hidden="1" customWidth="1"/>
    <col min="8970" max="8978" width="12.77734375" style="1" customWidth="1"/>
    <col min="8979" max="8979" width="0" style="1" hidden="1" customWidth="1"/>
    <col min="8980" max="8983" width="12.77734375" style="1" customWidth="1"/>
    <col min="8984" max="8984" width="1.77734375" style="1" customWidth="1"/>
    <col min="8985" max="8985" width="12.77734375" style="1" customWidth="1"/>
    <col min="8986" max="8986" width="1.77734375" style="1" customWidth="1"/>
    <col min="8987" max="8988" width="0" style="1" hidden="1" customWidth="1"/>
    <col min="8989" max="8989" width="12.77734375" style="1" customWidth="1"/>
    <col min="8990" max="8990" width="11.5546875" style="1"/>
    <col min="8991" max="8991" width="15.109375" style="1" customWidth="1"/>
    <col min="8992" max="8992" width="13" style="1" customWidth="1"/>
    <col min="8993" max="8993" width="11.5546875" style="1"/>
    <col min="8994" max="8994" width="11.77734375" style="1" customWidth="1"/>
    <col min="8995" max="9216" width="11.5546875" style="1"/>
    <col min="9217" max="9217" width="20.109375" style="1" customWidth="1"/>
    <col min="9218" max="9222" width="12.77734375" style="1" customWidth="1"/>
    <col min="9223" max="9225" width="0" style="1" hidden="1" customWidth="1"/>
    <col min="9226" max="9234" width="12.77734375" style="1" customWidth="1"/>
    <col min="9235" max="9235" width="0" style="1" hidden="1" customWidth="1"/>
    <col min="9236" max="9239" width="12.77734375" style="1" customWidth="1"/>
    <col min="9240" max="9240" width="1.77734375" style="1" customWidth="1"/>
    <col min="9241" max="9241" width="12.77734375" style="1" customWidth="1"/>
    <col min="9242" max="9242" width="1.77734375" style="1" customWidth="1"/>
    <col min="9243" max="9244" width="0" style="1" hidden="1" customWidth="1"/>
    <col min="9245" max="9245" width="12.77734375" style="1" customWidth="1"/>
    <col min="9246" max="9246" width="11.5546875" style="1"/>
    <col min="9247" max="9247" width="15.109375" style="1" customWidth="1"/>
    <col min="9248" max="9248" width="13" style="1" customWidth="1"/>
    <col min="9249" max="9249" width="11.5546875" style="1"/>
    <col min="9250" max="9250" width="11.77734375" style="1" customWidth="1"/>
    <col min="9251" max="9472" width="11.5546875" style="1"/>
    <col min="9473" max="9473" width="20.109375" style="1" customWidth="1"/>
    <col min="9474" max="9478" width="12.77734375" style="1" customWidth="1"/>
    <col min="9479" max="9481" width="0" style="1" hidden="1" customWidth="1"/>
    <col min="9482" max="9490" width="12.77734375" style="1" customWidth="1"/>
    <col min="9491" max="9491" width="0" style="1" hidden="1" customWidth="1"/>
    <col min="9492" max="9495" width="12.77734375" style="1" customWidth="1"/>
    <col min="9496" max="9496" width="1.77734375" style="1" customWidth="1"/>
    <col min="9497" max="9497" width="12.77734375" style="1" customWidth="1"/>
    <col min="9498" max="9498" width="1.77734375" style="1" customWidth="1"/>
    <col min="9499" max="9500" width="0" style="1" hidden="1" customWidth="1"/>
    <col min="9501" max="9501" width="12.77734375" style="1" customWidth="1"/>
    <col min="9502" max="9502" width="11.5546875" style="1"/>
    <col min="9503" max="9503" width="15.109375" style="1" customWidth="1"/>
    <col min="9504" max="9504" width="13" style="1" customWidth="1"/>
    <col min="9505" max="9505" width="11.5546875" style="1"/>
    <col min="9506" max="9506" width="11.77734375" style="1" customWidth="1"/>
    <col min="9507" max="9728" width="11.5546875" style="1"/>
    <col min="9729" max="9729" width="20.109375" style="1" customWidth="1"/>
    <col min="9730" max="9734" width="12.77734375" style="1" customWidth="1"/>
    <col min="9735" max="9737" width="0" style="1" hidden="1" customWidth="1"/>
    <col min="9738" max="9746" width="12.77734375" style="1" customWidth="1"/>
    <col min="9747" max="9747" width="0" style="1" hidden="1" customWidth="1"/>
    <col min="9748" max="9751" width="12.77734375" style="1" customWidth="1"/>
    <col min="9752" max="9752" width="1.77734375" style="1" customWidth="1"/>
    <col min="9753" max="9753" width="12.77734375" style="1" customWidth="1"/>
    <col min="9754" max="9754" width="1.77734375" style="1" customWidth="1"/>
    <col min="9755" max="9756" width="0" style="1" hidden="1" customWidth="1"/>
    <col min="9757" max="9757" width="12.77734375" style="1" customWidth="1"/>
    <col min="9758" max="9758" width="11.5546875" style="1"/>
    <col min="9759" max="9759" width="15.109375" style="1" customWidth="1"/>
    <col min="9760" max="9760" width="13" style="1" customWidth="1"/>
    <col min="9761" max="9761" width="11.5546875" style="1"/>
    <col min="9762" max="9762" width="11.77734375" style="1" customWidth="1"/>
    <col min="9763" max="9984" width="11.5546875" style="1"/>
    <col min="9985" max="9985" width="20.109375" style="1" customWidth="1"/>
    <col min="9986" max="9990" width="12.77734375" style="1" customWidth="1"/>
    <col min="9991" max="9993" width="0" style="1" hidden="1" customWidth="1"/>
    <col min="9994" max="10002" width="12.77734375" style="1" customWidth="1"/>
    <col min="10003" max="10003" width="0" style="1" hidden="1" customWidth="1"/>
    <col min="10004" max="10007" width="12.77734375" style="1" customWidth="1"/>
    <col min="10008" max="10008" width="1.77734375" style="1" customWidth="1"/>
    <col min="10009" max="10009" width="12.77734375" style="1" customWidth="1"/>
    <col min="10010" max="10010" width="1.77734375" style="1" customWidth="1"/>
    <col min="10011" max="10012" width="0" style="1" hidden="1" customWidth="1"/>
    <col min="10013" max="10013" width="12.77734375" style="1" customWidth="1"/>
    <col min="10014" max="10014" width="11.5546875" style="1"/>
    <col min="10015" max="10015" width="15.109375" style="1" customWidth="1"/>
    <col min="10016" max="10016" width="13" style="1" customWidth="1"/>
    <col min="10017" max="10017" width="11.5546875" style="1"/>
    <col min="10018" max="10018" width="11.77734375" style="1" customWidth="1"/>
    <col min="10019" max="10240" width="11.5546875" style="1"/>
    <col min="10241" max="10241" width="20.109375" style="1" customWidth="1"/>
    <col min="10242" max="10246" width="12.77734375" style="1" customWidth="1"/>
    <col min="10247" max="10249" width="0" style="1" hidden="1" customWidth="1"/>
    <col min="10250" max="10258" width="12.77734375" style="1" customWidth="1"/>
    <col min="10259" max="10259" width="0" style="1" hidden="1" customWidth="1"/>
    <col min="10260" max="10263" width="12.77734375" style="1" customWidth="1"/>
    <col min="10264" max="10264" width="1.77734375" style="1" customWidth="1"/>
    <col min="10265" max="10265" width="12.77734375" style="1" customWidth="1"/>
    <col min="10266" max="10266" width="1.77734375" style="1" customWidth="1"/>
    <col min="10267" max="10268" width="0" style="1" hidden="1" customWidth="1"/>
    <col min="10269" max="10269" width="12.77734375" style="1" customWidth="1"/>
    <col min="10270" max="10270" width="11.5546875" style="1"/>
    <col min="10271" max="10271" width="15.109375" style="1" customWidth="1"/>
    <col min="10272" max="10272" width="13" style="1" customWidth="1"/>
    <col min="10273" max="10273" width="11.5546875" style="1"/>
    <col min="10274" max="10274" width="11.77734375" style="1" customWidth="1"/>
    <col min="10275" max="10496" width="11.5546875" style="1"/>
    <col min="10497" max="10497" width="20.109375" style="1" customWidth="1"/>
    <col min="10498" max="10502" width="12.77734375" style="1" customWidth="1"/>
    <col min="10503" max="10505" width="0" style="1" hidden="1" customWidth="1"/>
    <col min="10506" max="10514" width="12.77734375" style="1" customWidth="1"/>
    <col min="10515" max="10515" width="0" style="1" hidden="1" customWidth="1"/>
    <col min="10516" max="10519" width="12.77734375" style="1" customWidth="1"/>
    <col min="10520" max="10520" width="1.77734375" style="1" customWidth="1"/>
    <col min="10521" max="10521" width="12.77734375" style="1" customWidth="1"/>
    <col min="10522" max="10522" width="1.77734375" style="1" customWidth="1"/>
    <col min="10523" max="10524" width="0" style="1" hidden="1" customWidth="1"/>
    <col min="10525" max="10525" width="12.77734375" style="1" customWidth="1"/>
    <col min="10526" max="10526" width="11.5546875" style="1"/>
    <col min="10527" max="10527" width="15.109375" style="1" customWidth="1"/>
    <col min="10528" max="10528" width="13" style="1" customWidth="1"/>
    <col min="10529" max="10529" width="11.5546875" style="1"/>
    <col min="10530" max="10530" width="11.77734375" style="1" customWidth="1"/>
    <col min="10531" max="10752" width="11.5546875" style="1"/>
    <col min="10753" max="10753" width="20.109375" style="1" customWidth="1"/>
    <col min="10754" max="10758" width="12.77734375" style="1" customWidth="1"/>
    <col min="10759" max="10761" width="0" style="1" hidden="1" customWidth="1"/>
    <col min="10762" max="10770" width="12.77734375" style="1" customWidth="1"/>
    <col min="10771" max="10771" width="0" style="1" hidden="1" customWidth="1"/>
    <col min="10772" max="10775" width="12.77734375" style="1" customWidth="1"/>
    <col min="10776" max="10776" width="1.77734375" style="1" customWidth="1"/>
    <col min="10777" max="10777" width="12.77734375" style="1" customWidth="1"/>
    <col min="10778" max="10778" width="1.77734375" style="1" customWidth="1"/>
    <col min="10779" max="10780" width="0" style="1" hidden="1" customWidth="1"/>
    <col min="10781" max="10781" width="12.77734375" style="1" customWidth="1"/>
    <col min="10782" max="10782" width="11.5546875" style="1"/>
    <col min="10783" max="10783" width="15.109375" style="1" customWidth="1"/>
    <col min="10784" max="10784" width="13" style="1" customWidth="1"/>
    <col min="10785" max="10785" width="11.5546875" style="1"/>
    <col min="10786" max="10786" width="11.77734375" style="1" customWidth="1"/>
    <col min="10787" max="11008" width="11.5546875" style="1"/>
    <col min="11009" max="11009" width="20.109375" style="1" customWidth="1"/>
    <col min="11010" max="11014" width="12.77734375" style="1" customWidth="1"/>
    <col min="11015" max="11017" width="0" style="1" hidden="1" customWidth="1"/>
    <col min="11018" max="11026" width="12.77734375" style="1" customWidth="1"/>
    <col min="11027" max="11027" width="0" style="1" hidden="1" customWidth="1"/>
    <col min="11028" max="11031" width="12.77734375" style="1" customWidth="1"/>
    <col min="11032" max="11032" width="1.77734375" style="1" customWidth="1"/>
    <col min="11033" max="11033" width="12.77734375" style="1" customWidth="1"/>
    <col min="11034" max="11034" width="1.77734375" style="1" customWidth="1"/>
    <col min="11035" max="11036" width="0" style="1" hidden="1" customWidth="1"/>
    <col min="11037" max="11037" width="12.77734375" style="1" customWidth="1"/>
    <col min="11038" max="11038" width="11.5546875" style="1"/>
    <col min="11039" max="11039" width="15.109375" style="1" customWidth="1"/>
    <col min="11040" max="11040" width="13" style="1" customWidth="1"/>
    <col min="11041" max="11041" width="11.5546875" style="1"/>
    <col min="11042" max="11042" width="11.77734375" style="1" customWidth="1"/>
    <col min="11043" max="11264" width="11.5546875" style="1"/>
    <col min="11265" max="11265" width="20.109375" style="1" customWidth="1"/>
    <col min="11266" max="11270" width="12.77734375" style="1" customWidth="1"/>
    <col min="11271" max="11273" width="0" style="1" hidden="1" customWidth="1"/>
    <col min="11274" max="11282" width="12.77734375" style="1" customWidth="1"/>
    <col min="11283" max="11283" width="0" style="1" hidden="1" customWidth="1"/>
    <col min="11284" max="11287" width="12.77734375" style="1" customWidth="1"/>
    <col min="11288" max="11288" width="1.77734375" style="1" customWidth="1"/>
    <col min="11289" max="11289" width="12.77734375" style="1" customWidth="1"/>
    <col min="11290" max="11290" width="1.77734375" style="1" customWidth="1"/>
    <col min="11291" max="11292" width="0" style="1" hidden="1" customWidth="1"/>
    <col min="11293" max="11293" width="12.77734375" style="1" customWidth="1"/>
    <col min="11294" max="11294" width="11.5546875" style="1"/>
    <col min="11295" max="11295" width="15.109375" style="1" customWidth="1"/>
    <col min="11296" max="11296" width="13" style="1" customWidth="1"/>
    <col min="11297" max="11297" width="11.5546875" style="1"/>
    <col min="11298" max="11298" width="11.77734375" style="1" customWidth="1"/>
    <col min="11299" max="11520" width="11.5546875" style="1"/>
    <col min="11521" max="11521" width="20.109375" style="1" customWidth="1"/>
    <col min="11522" max="11526" width="12.77734375" style="1" customWidth="1"/>
    <col min="11527" max="11529" width="0" style="1" hidden="1" customWidth="1"/>
    <col min="11530" max="11538" width="12.77734375" style="1" customWidth="1"/>
    <col min="11539" max="11539" width="0" style="1" hidden="1" customWidth="1"/>
    <col min="11540" max="11543" width="12.77734375" style="1" customWidth="1"/>
    <col min="11544" max="11544" width="1.77734375" style="1" customWidth="1"/>
    <col min="11545" max="11545" width="12.77734375" style="1" customWidth="1"/>
    <col min="11546" max="11546" width="1.77734375" style="1" customWidth="1"/>
    <col min="11547" max="11548" width="0" style="1" hidden="1" customWidth="1"/>
    <col min="11549" max="11549" width="12.77734375" style="1" customWidth="1"/>
    <col min="11550" max="11550" width="11.5546875" style="1"/>
    <col min="11551" max="11551" width="15.109375" style="1" customWidth="1"/>
    <col min="11552" max="11552" width="13" style="1" customWidth="1"/>
    <col min="11553" max="11553" width="11.5546875" style="1"/>
    <col min="11554" max="11554" width="11.77734375" style="1" customWidth="1"/>
    <col min="11555" max="11776" width="11.5546875" style="1"/>
    <col min="11777" max="11777" width="20.109375" style="1" customWidth="1"/>
    <col min="11778" max="11782" width="12.77734375" style="1" customWidth="1"/>
    <col min="11783" max="11785" width="0" style="1" hidden="1" customWidth="1"/>
    <col min="11786" max="11794" width="12.77734375" style="1" customWidth="1"/>
    <col min="11795" max="11795" width="0" style="1" hidden="1" customWidth="1"/>
    <col min="11796" max="11799" width="12.77734375" style="1" customWidth="1"/>
    <col min="11800" max="11800" width="1.77734375" style="1" customWidth="1"/>
    <col min="11801" max="11801" width="12.77734375" style="1" customWidth="1"/>
    <col min="11802" max="11802" width="1.77734375" style="1" customWidth="1"/>
    <col min="11803" max="11804" width="0" style="1" hidden="1" customWidth="1"/>
    <col min="11805" max="11805" width="12.77734375" style="1" customWidth="1"/>
    <col min="11806" max="11806" width="11.5546875" style="1"/>
    <col min="11807" max="11807" width="15.109375" style="1" customWidth="1"/>
    <col min="11808" max="11808" width="13" style="1" customWidth="1"/>
    <col min="11809" max="11809" width="11.5546875" style="1"/>
    <col min="11810" max="11810" width="11.77734375" style="1" customWidth="1"/>
    <col min="11811" max="12032" width="11.5546875" style="1"/>
    <col min="12033" max="12033" width="20.109375" style="1" customWidth="1"/>
    <col min="12034" max="12038" width="12.77734375" style="1" customWidth="1"/>
    <col min="12039" max="12041" width="0" style="1" hidden="1" customWidth="1"/>
    <col min="12042" max="12050" width="12.77734375" style="1" customWidth="1"/>
    <col min="12051" max="12051" width="0" style="1" hidden="1" customWidth="1"/>
    <col min="12052" max="12055" width="12.77734375" style="1" customWidth="1"/>
    <col min="12056" max="12056" width="1.77734375" style="1" customWidth="1"/>
    <col min="12057" max="12057" width="12.77734375" style="1" customWidth="1"/>
    <col min="12058" max="12058" width="1.77734375" style="1" customWidth="1"/>
    <col min="12059" max="12060" width="0" style="1" hidden="1" customWidth="1"/>
    <col min="12061" max="12061" width="12.77734375" style="1" customWidth="1"/>
    <col min="12062" max="12062" width="11.5546875" style="1"/>
    <col min="12063" max="12063" width="15.109375" style="1" customWidth="1"/>
    <col min="12064" max="12064" width="13" style="1" customWidth="1"/>
    <col min="12065" max="12065" width="11.5546875" style="1"/>
    <col min="12066" max="12066" width="11.77734375" style="1" customWidth="1"/>
    <col min="12067" max="12288" width="11.5546875" style="1"/>
    <col min="12289" max="12289" width="20.109375" style="1" customWidth="1"/>
    <col min="12290" max="12294" width="12.77734375" style="1" customWidth="1"/>
    <col min="12295" max="12297" width="0" style="1" hidden="1" customWidth="1"/>
    <col min="12298" max="12306" width="12.77734375" style="1" customWidth="1"/>
    <col min="12307" max="12307" width="0" style="1" hidden="1" customWidth="1"/>
    <col min="12308" max="12311" width="12.77734375" style="1" customWidth="1"/>
    <col min="12312" max="12312" width="1.77734375" style="1" customWidth="1"/>
    <col min="12313" max="12313" width="12.77734375" style="1" customWidth="1"/>
    <col min="12314" max="12314" width="1.77734375" style="1" customWidth="1"/>
    <col min="12315" max="12316" width="0" style="1" hidden="1" customWidth="1"/>
    <col min="12317" max="12317" width="12.77734375" style="1" customWidth="1"/>
    <col min="12318" max="12318" width="11.5546875" style="1"/>
    <col min="12319" max="12319" width="15.109375" style="1" customWidth="1"/>
    <col min="12320" max="12320" width="13" style="1" customWidth="1"/>
    <col min="12321" max="12321" width="11.5546875" style="1"/>
    <col min="12322" max="12322" width="11.77734375" style="1" customWidth="1"/>
    <col min="12323" max="12544" width="11.5546875" style="1"/>
    <col min="12545" max="12545" width="20.109375" style="1" customWidth="1"/>
    <col min="12546" max="12550" width="12.77734375" style="1" customWidth="1"/>
    <col min="12551" max="12553" width="0" style="1" hidden="1" customWidth="1"/>
    <col min="12554" max="12562" width="12.77734375" style="1" customWidth="1"/>
    <col min="12563" max="12563" width="0" style="1" hidden="1" customWidth="1"/>
    <col min="12564" max="12567" width="12.77734375" style="1" customWidth="1"/>
    <col min="12568" max="12568" width="1.77734375" style="1" customWidth="1"/>
    <col min="12569" max="12569" width="12.77734375" style="1" customWidth="1"/>
    <col min="12570" max="12570" width="1.77734375" style="1" customWidth="1"/>
    <col min="12571" max="12572" width="0" style="1" hidden="1" customWidth="1"/>
    <col min="12573" max="12573" width="12.77734375" style="1" customWidth="1"/>
    <col min="12574" max="12574" width="11.5546875" style="1"/>
    <col min="12575" max="12575" width="15.109375" style="1" customWidth="1"/>
    <col min="12576" max="12576" width="13" style="1" customWidth="1"/>
    <col min="12577" max="12577" width="11.5546875" style="1"/>
    <col min="12578" max="12578" width="11.77734375" style="1" customWidth="1"/>
    <col min="12579" max="12800" width="11.5546875" style="1"/>
    <col min="12801" max="12801" width="20.109375" style="1" customWidth="1"/>
    <col min="12802" max="12806" width="12.77734375" style="1" customWidth="1"/>
    <col min="12807" max="12809" width="0" style="1" hidden="1" customWidth="1"/>
    <col min="12810" max="12818" width="12.77734375" style="1" customWidth="1"/>
    <col min="12819" max="12819" width="0" style="1" hidden="1" customWidth="1"/>
    <col min="12820" max="12823" width="12.77734375" style="1" customWidth="1"/>
    <col min="12824" max="12824" width="1.77734375" style="1" customWidth="1"/>
    <col min="12825" max="12825" width="12.77734375" style="1" customWidth="1"/>
    <col min="12826" max="12826" width="1.77734375" style="1" customWidth="1"/>
    <col min="12827" max="12828" width="0" style="1" hidden="1" customWidth="1"/>
    <col min="12829" max="12829" width="12.77734375" style="1" customWidth="1"/>
    <col min="12830" max="12830" width="11.5546875" style="1"/>
    <col min="12831" max="12831" width="15.109375" style="1" customWidth="1"/>
    <col min="12832" max="12832" width="13" style="1" customWidth="1"/>
    <col min="12833" max="12833" width="11.5546875" style="1"/>
    <col min="12834" max="12834" width="11.77734375" style="1" customWidth="1"/>
    <col min="12835" max="13056" width="11.5546875" style="1"/>
    <col min="13057" max="13057" width="20.109375" style="1" customWidth="1"/>
    <col min="13058" max="13062" width="12.77734375" style="1" customWidth="1"/>
    <col min="13063" max="13065" width="0" style="1" hidden="1" customWidth="1"/>
    <col min="13066" max="13074" width="12.77734375" style="1" customWidth="1"/>
    <col min="13075" max="13075" width="0" style="1" hidden="1" customWidth="1"/>
    <col min="13076" max="13079" width="12.77734375" style="1" customWidth="1"/>
    <col min="13080" max="13080" width="1.77734375" style="1" customWidth="1"/>
    <col min="13081" max="13081" width="12.77734375" style="1" customWidth="1"/>
    <col min="13082" max="13082" width="1.77734375" style="1" customWidth="1"/>
    <col min="13083" max="13084" width="0" style="1" hidden="1" customWidth="1"/>
    <col min="13085" max="13085" width="12.77734375" style="1" customWidth="1"/>
    <col min="13086" max="13086" width="11.5546875" style="1"/>
    <col min="13087" max="13087" width="15.109375" style="1" customWidth="1"/>
    <col min="13088" max="13088" width="13" style="1" customWidth="1"/>
    <col min="13089" max="13089" width="11.5546875" style="1"/>
    <col min="13090" max="13090" width="11.77734375" style="1" customWidth="1"/>
    <col min="13091" max="13312" width="11.5546875" style="1"/>
    <col min="13313" max="13313" width="20.109375" style="1" customWidth="1"/>
    <col min="13314" max="13318" width="12.77734375" style="1" customWidth="1"/>
    <col min="13319" max="13321" width="0" style="1" hidden="1" customWidth="1"/>
    <col min="13322" max="13330" width="12.77734375" style="1" customWidth="1"/>
    <col min="13331" max="13331" width="0" style="1" hidden="1" customWidth="1"/>
    <col min="13332" max="13335" width="12.77734375" style="1" customWidth="1"/>
    <col min="13336" max="13336" width="1.77734375" style="1" customWidth="1"/>
    <col min="13337" max="13337" width="12.77734375" style="1" customWidth="1"/>
    <col min="13338" max="13338" width="1.77734375" style="1" customWidth="1"/>
    <col min="13339" max="13340" width="0" style="1" hidden="1" customWidth="1"/>
    <col min="13341" max="13341" width="12.77734375" style="1" customWidth="1"/>
    <col min="13342" max="13342" width="11.5546875" style="1"/>
    <col min="13343" max="13343" width="15.109375" style="1" customWidth="1"/>
    <col min="13344" max="13344" width="13" style="1" customWidth="1"/>
    <col min="13345" max="13345" width="11.5546875" style="1"/>
    <col min="13346" max="13346" width="11.77734375" style="1" customWidth="1"/>
    <col min="13347" max="13568" width="11.5546875" style="1"/>
    <col min="13569" max="13569" width="20.109375" style="1" customWidth="1"/>
    <col min="13570" max="13574" width="12.77734375" style="1" customWidth="1"/>
    <col min="13575" max="13577" width="0" style="1" hidden="1" customWidth="1"/>
    <col min="13578" max="13586" width="12.77734375" style="1" customWidth="1"/>
    <col min="13587" max="13587" width="0" style="1" hidden="1" customWidth="1"/>
    <col min="13588" max="13591" width="12.77734375" style="1" customWidth="1"/>
    <col min="13592" max="13592" width="1.77734375" style="1" customWidth="1"/>
    <col min="13593" max="13593" width="12.77734375" style="1" customWidth="1"/>
    <col min="13594" max="13594" width="1.77734375" style="1" customWidth="1"/>
    <col min="13595" max="13596" width="0" style="1" hidden="1" customWidth="1"/>
    <col min="13597" max="13597" width="12.77734375" style="1" customWidth="1"/>
    <col min="13598" max="13598" width="11.5546875" style="1"/>
    <col min="13599" max="13599" width="15.109375" style="1" customWidth="1"/>
    <col min="13600" max="13600" width="13" style="1" customWidth="1"/>
    <col min="13601" max="13601" width="11.5546875" style="1"/>
    <col min="13602" max="13602" width="11.77734375" style="1" customWidth="1"/>
    <col min="13603" max="13824" width="11.5546875" style="1"/>
    <col min="13825" max="13825" width="20.109375" style="1" customWidth="1"/>
    <col min="13826" max="13830" width="12.77734375" style="1" customWidth="1"/>
    <col min="13831" max="13833" width="0" style="1" hidden="1" customWidth="1"/>
    <col min="13834" max="13842" width="12.77734375" style="1" customWidth="1"/>
    <col min="13843" max="13843" width="0" style="1" hidden="1" customWidth="1"/>
    <col min="13844" max="13847" width="12.77734375" style="1" customWidth="1"/>
    <col min="13848" max="13848" width="1.77734375" style="1" customWidth="1"/>
    <col min="13849" max="13849" width="12.77734375" style="1" customWidth="1"/>
    <col min="13850" max="13850" width="1.77734375" style="1" customWidth="1"/>
    <col min="13851" max="13852" width="0" style="1" hidden="1" customWidth="1"/>
    <col min="13853" max="13853" width="12.77734375" style="1" customWidth="1"/>
    <col min="13854" max="13854" width="11.5546875" style="1"/>
    <col min="13855" max="13855" width="15.109375" style="1" customWidth="1"/>
    <col min="13856" max="13856" width="13" style="1" customWidth="1"/>
    <col min="13857" max="13857" width="11.5546875" style="1"/>
    <col min="13858" max="13858" width="11.77734375" style="1" customWidth="1"/>
    <col min="13859" max="14080" width="11.5546875" style="1"/>
    <col min="14081" max="14081" width="20.109375" style="1" customWidth="1"/>
    <col min="14082" max="14086" width="12.77734375" style="1" customWidth="1"/>
    <col min="14087" max="14089" width="0" style="1" hidden="1" customWidth="1"/>
    <col min="14090" max="14098" width="12.77734375" style="1" customWidth="1"/>
    <col min="14099" max="14099" width="0" style="1" hidden="1" customWidth="1"/>
    <col min="14100" max="14103" width="12.77734375" style="1" customWidth="1"/>
    <col min="14104" max="14104" width="1.77734375" style="1" customWidth="1"/>
    <col min="14105" max="14105" width="12.77734375" style="1" customWidth="1"/>
    <col min="14106" max="14106" width="1.77734375" style="1" customWidth="1"/>
    <col min="14107" max="14108" width="0" style="1" hidden="1" customWidth="1"/>
    <col min="14109" max="14109" width="12.77734375" style="1" customWidth="1"/>
    <col min="14110" max="14110" width="11.5546875" style="1"/>
    <col min="14111" max="14111" width="15.109375" style="1" customWidth="1"/>
    <col min="14112" max="14112" width="13" style="1" customWidth="1"/>
    <col min="14113" max="14113" width="11.5546875" style="1"/>
    <col min="14114" max="14114" width="11.77734375" style="1" customWidth="1"/>
    <col min="14115" max="14336" width="11.5546875" style="1"/>
    <col min="14337" max="14337" width="20.109375" style="1" customWidth="1"/>
    <col min="14338" max="14342" width="12.77734375" style="1" customWidth="1"/>
    <col min="14343" max="14345" width="0" style="1" hidden="1" customWidth="1"/>
    <col min="14346" max="14354" width="12.77734375" style="1" customWidth="1"/>
    <col min="14355" max="14355" width="0" style="1" hidden="1" customWidth="1"/>
    <col min="14356" max="14359" width="12.77734375" style="1" customWidth="1"/>
    <col min="14360" max="14360" width="1.77734375" style="1" customWidth="1"/>
    <col min="14361" max="14361" width="12.77734375" style="1" customWidth="1"/>
    <col min="14362" max="14362" width="1.77734375" style="1" customWidth="1"/>
    <col min="14363" max="14364" width="0" style="1" hidden="1" customWidth="1"/>
    <col min="14365" max="14365" width="12.77734375" style="1" customWidth="1"/>
    <col min="14366" max="14366" width="11.5546875" style="1"/>
    <col min="14367" max="14367" width="15.109375" style="1" customWidth="1"/>
    <col min="14368" max="14368" width="13" style="1" customWidth="1"/>
    <col min="14369" max="14369" width="11.5546875" style="1"/>
    <col min="14370" max="14370" width="11.77734375" style="1" customWidth="1"/>
    <col min="14371" max="14592" width="11.5546875" style="1"/>
    <col min="14593" max="14593" width="20.109375" style="1" customWidth="1"/>
    <col min="14594" max="14598" width="12.77734375" style="1" customWidth="1"/>
    <col min="14599" max="14601" width="0" style="1" hidden="1" customWidth="1"/>
    <col min="14602" max="14610" width="12.77734375" style="1" customWidth="1"/>
    <col min="14611" max="14611" width="0" style="1" hidden="1" customWidth="1"/>
    <col min="14612" max="14615" width="12.77734375" style="1" customWidth="1"/>
    <col min="14616" max="14616" width="1.77734375" style="1" customWidth="1"/>
    <col min="14617" max="14617" width="12.77734375" style="1" customWidth="1"/>
    <col min="14618" max="14618" width="1.77734375" style="1" customWidth="1"/>
    <col min="14619" max="14620" width="0" style="1" hidden="1" customWidth="1"/>
    <col min="14621" max="14621" width="12.77734375" style="1" customWidth="1"/>
    <col min="14622" max="14622" width="11.5546875" style="1"/>
    <col min="14623" max="14623" width="15.109375" style="1" customWidth="1"/>
    <col min="14624" max="14624" width="13" style="1" customWidth="1"/>
    <col min="14625" max="14625" width="11.5546875" style="1"/>
    <col min="14626" max="14626" width="11.77734375" style="1" customWidth="1"/>
    <col min="14627" max="14848" width="11.5546875" style="1"/>
    <col min="14849" max="14849" width="20.109375" style="1" customWidth="1"/>
    <col min="14850" max="14854" width="12.77734375" style="1" customWidth="1"/>
    <col min="14855" max="14857" width="0" style="1" hidden="1" customWidth="1"/>
    <col min="14858" max="14866" width="12.77734375" style="1" customWidth="1"/>
    <col min="14867" max="14867" width="0" style="1" hidden="1" customWidth="1"/>
    <col min="14868" max="14871" width="12.77734375" style="1" customWidth="1"/>
    <col min="14872" max="14872" width="1.77734375" style="1" customWidth="1"/>
    <col min="14873" max="14873" width="12.77734375" style="1" customWidth="1"/>
    <col min="14874" max="14874" width="1.77734375" style="1" customWidth="1"/>
    <col min="14875" max="14876" width="0" style="1" hidden="1" customWidth="1"/>
    <col min="14877" max="14877" width="12.77734375" style="1" customWidth="1"/>
    <col min="14878" max="14878" width="11.5546875" style="1"/>
    <col min="14879" max="14879" width="15.109375" style="1" customWidth="1"/>
    <col min="14880" max="14880" width="13" style="1" customWidth="1"/>
    <col min="14881" max="14881" width="11.5546875" style="1"/>
    <col min="14882" max="14882" width="11.77734375" style="1" customWidth="1"/>
    <col min="14883" max="15104" width="11.5546875" style="1"/>
    <col min="15105" max="15105" width="20.109375" style="1" customWidth="1"/>
    <col min="15106" max="15110" width="12.77734375" style="1" customWidth="1"/>
    <col min="15111" max="15113" width="0" style="1" hidden="1" customWidth="1"/>
    <col min="15114" max="15122" width="12.77734375" style="1" customWidth="1"/>
    <col min="15123" max="15123" width="0" style="1" hidden="1" customWidth="1"/>
    <col min="15124" max="15127" width="12.77734375" style="1" customWidth="1"/>
    <col min="15128" max="15128" width="1.77734375" style="1" customWidth="1"/>
    <col min="15129" max="15129" width="12.77734375" style="1" customWidth="1"/>
    <col min="15130" max="15130" width="1.77734375" style="1" customWidth="1"/>
    <col min="15131" max="15132" width="0" style="1" hidden="1" customWidth="1"/>
    <col min="15133" max="15133" width="12.77734375" style="1" customWidth="1"/>
    <col min="15134" max="15134" width="11.5546875" style="1"/>
    <col min="15135" max="15135" width="15.109375" style="1" customWidth="1"/>
    <col min="15136" max="15136" width="13" style="1" customWidth="1"/>
    <col min="15137" max="15137" width="11.5546875" style="1"/>
    <col min="15138" max="15138" width="11.77734375" style="1" customWidth="1"/>
    <col min="15139" max="15360" width="11.5546875" style="1"/>
    <col min="15361" max="15361" width="20.109375" style="1" customWidth="1"/>
    <col min="15362" max="15366" width="12.77734375" style="1" customWidth="1"/>
    <col min="15367" max="15369" width="0" style="1" hidden="1" customWidth="1"/>
    <col min="15370" max="15378" width="12.77734375" style="1" customWidth="1"/>
    <col min="15379" max="15379" width="0" style="1" hidden="1" customWidth="1"/>
    <col min="15380" max="15383" width="12.77734375" style="1" customWidth="1"/>
    <col min="15384" max="15384" width="1.77734375" style="1" customWidth="1"/>
    <col min="15385" max="15385" width="12.77734375" style="1" customWidth="1"/>
    <col min="15386" max="15386" width="1.77734375" style="1" customWidth="1"/>
    <col min="15387" max="15388" width="0" style="1" hidden="1" customWidth="1"/>
    <col min="15389" max="15389" width="12.77734375" style="1" customWidth="1"/>
    <col min="15390" max="15390" width="11.5546875" style="1"/>
    <col min="15391" max="15391" width="15.109375" style="1" customWidth="1"/>
    <col min="15392" max="15392" width="13" style="1" customWidth="1"/>
    <col min="15393" max="15393" width="11.5546875" style="1"/>
    <col min="15394" max="15394" width="11.77734375" style="1" customWidth="1"/>
    <col min="15395" max="15616" width="11.5546875" style="1"/>
    <col min="15617" max="15617" width="20.109375" style="1" customWidth="1"/>
    <col min="15618" max="15622" width="12.77734375" style="1" customWidth="1"/>
    <col min="15623" max="15625" width="0" style="1" hidden="1" customWidth="1"/>
    <col min="15626" max="15634" width="12.77734375" style="1" customWidth="1"/>
    <col min="15635" max="15635" width="0" style="1" hidden="1" customWidth="1"/>
    <col min="15636" max="15639" width="12.77734375" style="1" customWidth="1"/>
    <col min="15640" max="15640" width="1.77734375" style="1" customWidth="1"/>
    <col min="15641" max="15641" width="12.77734375" style="1" customWidth="1"/>
    <col min="15642" max="15642" width="1.77734375" style="1" customWidth="1"/>
    <col min="15643" max="15644" width="0" style="1" hidden="1" customWidth="1"/>
    <col min="15645" max="15645" width="12.77734375" style="1" customWidth="1"/>
    <col min="15646" max="15646" width="11.5546875" style="1"/>
    <col min="15647" max="15647" width="15.109375" style="1" customWidth="1"/>
    <col min="15648" max="15648" width="13" style="1" customWidth="1"/>
    <col min="15649" max="15649" width="11.5546875" style="1"/>
    <col min="15650" max="15650" width="11.77734375" style="1" customWidth="1"/>
    <col min="15651" max="15872" width="11.5546875" style="1"/>
    <col min="15873" max="15873" width="20.109375" style="1" customWidth="1"/>
    <col min="15874" max="15878" width="12.77734375" style="1" customWidth="1"/>
    <col min="15879" max="15881" width="0" style="1" hidden="1" customWidth="1"/>
    <col min="15882" max="15890" width="12.77734375" style="1" customWidth="1"/>
    <col min="15891" max="15891" width="0" style="1" hidden="1" customWidth="1"/>
    <col min="15892" max="15895" width="12.77734375" style="1" customWidth="1"/>
    <col min="15896" max="15896" width="1.77734375" style="1" customWidth="1"/>
    <col min="15897" max="15897" width="12.77734375" style="1" customWidth="1"/>
    <col min="15898" max="15898" width="1.77734375" style="1" customWidth="1"/>
    <col min="15899" max="15900" width="0" style="1" hidden="1" customWidth="1"/>
    <col min="15901" max="15901" width="12.77734375" style="1" customWidth="1"/>
    <col min="15902" max="15902" width="11.5546875" style="1"/>
    <col min="15903" max="15903" width="15.109375" style="1" customWidth="1"/>
    <col min="15904" max="15904" width="13" style="1" customWidth="1"/>
    <col min="15905" max="15905" width="11.5546875" style="1"/>
    <col min="15906" max="15906" width="11.77734375" style="1" customWidth="1"/>
    <col min="15907" max="16128" width="11.5546875" style="1"/>
    <col min="16129" max="16129" width="20.109375" style="1" customWidth="1"/>
    <col min="16130" max="16134" width="12.77734375" style="1" customWidth="1"/>
    <col min="16135" max="16137" width="0" style="1" hidden="1" customWidth="1"/>
    <col min="16138" max="16146" width="12.77734375" style="1" customWidth="1"/>
    <col min="16147" max="16147" width="0" style="1" hidden="1" customWidth="1"/>
    <col min="16148" max="16151" width="12.77734375" style="1" customWidth="1"/>
    <col min="16152" max="16152" width="1.77734375" style="1" customWidth="1"/>
    <col min="16153" max="16153" width="12.77734375" style="1" customWidth="1"/>
    <col min="16154" max="16154" width="1.77734375" style="1" customWidth="1"/>
    <col min="16155" max="16156" width="0" style="1" hidden="1" customWidth="1"/>
    <col min="16157" max="16157" width="12.77734375" style="1" customWidth="1"/>
    <col min="16158" max="16158" width="11.5546875" style="1"/>
    <col min="16159" max="16159" width="15.109375" style="1" customWidth="1"/>
    <col min="16160" max="16160" width="13" style="1" customWidth="1"/>
    <col min="16161" max="16161" width="11.5546875" style="1"/>
    <col min="16162" max="16162" width="11.77734375" style="1" customWidth="1"/>
    <col min="16163" max="16384" width="11.5546875" style="1"/>
  </cols>
  <sheetData>
    <row r="1" spans="1:52" ht="36.75" customHeight="1" x14ac:dyDescent="0.25">
      <c r="A1" s="191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216"/>
      <c r="M1" s="194"/>
      <c r="O1" s="192"/>
      <c r="P1" s="192"/>
      <c r="Q1" s="192"/>
      <c r="R1" s="192"/>
      <c r="S1" s="192"/>
      <c r="T1" s="192"/>
      <c r="U1" s="192"/>
      <c r="V1" s="192"/>
      <c r="Y1" s="196"/>
      <c r="AA1" s="196"/>
      <c r="AC1" s="196"/>
    </row>
    <row r="2" spans="1:52" ht="18" customHeight="1" x14ac:dyDescent="0.25">
      <c r="A2" s="217"/>
      <c r="B2" s="192"/>
      <c r="C2" s="192"/>
      <c r="D2" s="200"/>
      <c r="E2" s="192"/>
      <c r="F2" s="192"/>
      <c r="G2" s="192"/>
      <c r="H2" s="192"/>
      <c r="I2" s="192"/>
      <c r="J2" s="192"/>
      <c r="K2" s="192"/>
      <c r="L2" s="216"/>
      <c r="M2" s="194"/>
      <c r="N2" s="136"/>
      <c r="O2" s="192"/>
      <c r="P2" s="192"/>
      <c r="Q2" s="192"/>
      <c r="R2" s="192"/>
      <c r="S2" s="192"/>
      <c r="T2" s="192"/>
      <c r="U2" s="192"/>
      <c r="V2" s="192"/>
      <c r="W2" s="11"/>
      <c r="Y2" s="11"/>
      <c r="AA2" s="11"/>
      <c r="AC2" s="11"/>
    </row>
    <row r="3" spans="1:52" ht="21" customHeight="1" x14ac:dyDescent="0.2">
      <c r="A3" s="200"/>
      <c r="B3" s="192"/>
      <c r="C3" s="192"/>
      <c r="D3" s="200"/>
      <c r="E3" s="192"/>
      <c r="F3" s="192"/>
      <c r="G3" s="192"/>
      <c r="H3" s="192"/>
      <c r="I3" s="192"/>
      <c r="J3" s="192"/>
      <c r="K3" s="192"/>
      <c r="L3" s="46"/>
      <c r="M3" s="201"/>
      <c r="N3" s="54"/>
      <c r="O3" s="218"/>
      <c r="P3" s="192"/>
      <c r="Q3" s="192"/>
      <c r="R3" s="192"/>
      <c r="S3" s="192"/>
      <c r="T3" s="192"/>
      <c r="U3" s="192"/>
      <c r="V3" s="192"/>
      <c r="W3" s="199"/>
      <c r="Y3" s="199"/>
      <c r="AA3" s="199"/>
      <c r="AC3" s="199"/>
    </row>
    <row r="4" spans="1:52" ht="20.100000000000001" customHeight="1" thickBo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8"/>
      <c r="Q4" s="53"/>
      <c r="R4" s="53"/>
      <c r="S4" s="53"/>
      <c r="T4" s="53"/>
      <c r="U4" s="53"/>
      <c r="V4" s="53"/>
      <c r="W4" s="52"/>
      <c r="X4" s="8"/>
      <c r="Y4" s="52"/>
      <c r="Z4" s="8"/>
      <c r="AA4" s="52"/>
      <c r="AB4" s="8"/>
      <c r="AC4" s="52"/>
    </row>
    <row r="5" spans="1:52" ht="9.75" customHeight="1" thickBot="1" x14ac:dyDescent="0.25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49"/>
      <c r="Y5" s="13"/>
      <c r="AA5" s="137"/>
      <c r="AC5" s="13"/>
    </row>
    <row r="6" spans="1:52" ht="19.5" customHeight="1" thickTop="1" x14ac:dyDescent="0.25">
      <c r="A6" s="90"/>
      <c r="B6" s="90" t="s">
        <v>93</v>
      </c>
      <c r="C6" s="90" t="s">
        <v>98</v>
      </c>
      <c r="D6" s="90"/>
      <c r="E6" s="90" t="s">
        <v>92</v>
      </c>
      <c r="F6" s="90"/>
      <c r="G6" s="255"/>
      <c r="H6" s="256"/>
      <c r="I6" s="256"/>
      <c r="J6" s="105" t="s">
        <v>91</v>
      </c>
      <c r="K6" s="104"/>
      <c r="L6" s="90" t="s">
        <v>90</v>
      </c>
      <c r="M6" s="103" t="s">
        <v>89</v>
      </c>
      <c r="N6" s="96" t="s">
        <v>88</v>
      </c>
      <c r="O6" s="95"/>
      <c r="P6" s="95"/>
      <c r="Q6" s="94"/>
      <c r="R6" s="239" t="s">
        <v>87</v>
      </c>
      <c r="S6" s="240"/>
      <c r="T6" s="241"/>
      <c r="U6" s="90" t="s">
        <v>86</v>
      </c>
      <c r="V6" s="102" t="s">
        <v>85</v>
      </c>
      <c r="W6" s="101" t="s">
        <v>72</v>
      </c>
      <c r="X6" s="2"/>
      <c r="Y6" s="101" t="s">
        <v>84</v>
      </c>
      <c r="Z6" s="2"/>
      <c r="AA6" s="138"/>
      <c r="AB6" s="2"/>
      <c r="AC6" s="101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" customHeight="1" x14ac:dyDescent="0.25">
      <c r="A7" s="83" t="s">
        <v>21</v>
      </c>
      <c r="B7" s="83" t="s">
        <v>83</v>
      </c>
      <c r="C7" s="83" t="s">
        <v>97</v>
      </c>
      <c r="D7" s="83" t="s">
        <v>81</v>
      </c>
      <c r="E7" s="83" t="s">
        <v>82</v>
      </c>
      <c r="F7" s="83" t="s">
        <v>81</v>
      </c>
      <c r="G7" s="257"/>
      <c r="H7" s="257"/>
      <c r="I7" s="257"/>
      <c r="J7" s="99" t="s">
        <v>80</v>
      </c>
      <c r="K7" s="98"/>
      <c r="L7" s="83" t="s">
        <v>79</v>
      </c>
      <c r="M7" s="97" t="s">
        <v>69</v>
      </c>
      <c r="N7" s="96" t="s">
        <v>78</v>
      </c>
      <c r="O7" s="95"/>
      <c r="P7" s="94"/>
      <c r="Q7" s="90" t="s">
        <v>77</v>
      </c>
      <c r="R7" s="242" t="s">
        <v>99</v>
      </c>
      <c r="S7" s="243"/>
      <c r="T7" s="244"/>
      <c r="U7" s="83" t="s">
        <v>76</v>
      </c>
      <c r="V7" s="202" t="s">
        <v>75</v>
      </c>
      <c r="W7" s="83" t="s">
        <v>74</v>
      </c>
      <c r="X7" s="2"/>
      <c r="Y7" s="83" t="s">
        <v>73</v>
      </c>
      <c r="Z7" s="2"/>
      <c r="AA7" s="139"/>
      <c r="AB7" s="2"/>
      <c r="AC7" s="83" t="s">
        <v>72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" customHeight="1" x14ac:dyDescent="0.25">
      <c r="A8" s="83"/>
      <c r="B8" s="83" t="s">
        <v>71</v>
      </c>
      <c r="C8" s="83" t="s">
        <v>71</v>
      </c>
      <c r="D8" s="83"/>
      <c r="E8" s="83" t="s">
        <v>70</v>
      </c>
      <c r="F8" s="83"/>
      <c r="G8" s="140"/>
      <c r="H8" s="141"/>
      <c r="I8" s="141"/>
      <c r="J8" s="90" t="s">
        <v>70</v>
      </c>
      <c r="K8" s="90" t="s">
        <v>69</v>
      </c>
      <c r="L8" s="83" t="s">
        <v>68</v>
      </c>
      <c r="M8" s="83" t="s">
        <v>67</v>
      </c>
      <c r="N8" s="202" t="s">
        <v>66</v>
      </c>
      <c r="O8" s="90" t="s">
        <v>65</v>
      </c>
      <c r="P8" s="250" t="s">
        <v>62</v>
      </c>
      <c r="Q8" s="83" t="s">
        <v>64</v>
      </c>
      <c r="R8" s="90" t="s">
        <v>63</v>
      </c>
      <c r="S8" s="203"/>
      <c r="T8" s="245" t="s">
        <v>62</v>
      </c>
      <c r="U8" s="83" t="s">
        <v>61</v>
      </c>
      <c r="V8" s="202" t="s">
        <v>60</v>
      </c>
      <c r="W8" s="83" t="s">
        <v>59</v>
      </c>
      <c r="X8" s="2"/>
      <c r="Y8" s="83" t="s">
        <v>58</v>
      </c>
      <c r="Z8" s="2"/>
      <c r="AA8" s="142"/>
      <c r="AB8" s="2"/>
      <c r="AC8" s="83" t="s">
        <v>57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" customHeight="1" thickBot="1" x14ac:dyDescent="0.3">
      <c r="A9" s="88"/>
      <c r="B9" s="83"/>
      <c r="C9" s="83"/>
      <c r="D9" s="83"/>
      <c r="E9" s="83" t="s">
        <v>56</v>
      </c>
      <c r="F9" s="88"/>
      <c r="G9" s="143"/>
      <c r="H9" s="144"/>
      <c r="I9" s="144"/>
      <c r="J9" s="83" t="s">
        <v>55</v>
      </c>
      <c r="K9" s="83" t="s">
        <v>54</v>
      </c>
      <c r="L9" s="83" t="s">
        <v>53</v>
      </c>
      <c r="M9" s="83" t="s">
        <v>52</v>
      </c>
      <c r="N9" s="202" t="s">
        <v>51</v>
      </c>
      <c r="O9" s="83" t="s">
        <v>50</v>
      </c>
      <c r="P9" s="251"/>
      <c r="Q9" s="83"/>
      <c r="R9" s="83" t="s">
        <v>49</v>
      </c>
      <c r="S9" s="202"/>
      <c r="T9" s="246"/>
      <c r="U9" s="83" t="s">
        <v>48</v>
      </c>
      <c r="V9" s="202" t="s">
        <v>47</v>
      </c>
      <c r="W9" s="83" t="s">
        <v>46</v>
      </c>
      <c r="X9" s="2"/>
      <c r="Y9" s="83" t="s">
        <v>45</v>
      </c>
      <c r="Z9" s="2"/>
      <c r="AA9" s="145"/>
      <c r="AB9" s="2"/>
      <c r="AC9" s="83"/>
      <c r="AD9" s="2"/>
      <c r="AE9" s="176"/>
      <c r="AF9" s="176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" customHeight="1" thickTop="1" x14ac:dyDescent="0.25">
      <c r="A10" s="146" t="s">
        <v>44</v>
      </c>
      <c r="B10" s="40">
        <v>8834740.2548999973</v>
      </c>
      <c r="C10" s="40">
        <v>2754712.9500000007</v>
      </c>
      <c r="D10" s="76">
        <f>B10+C10</f>
        <v>11589453.204899998</v>
      </c>
      <c r="E10" s="40">
        <v>420.10080000000011</v>
      </c>
      <c r="F10" s="76">
        <f>+D10+E10</f>
        <v>11589873.305699999</v>
      </c>
      <c r="G10" s="40">
        <v>0</v>
      </c>
      <c r="H10" s="40">
        <v>0</v>
      </c>
      <c r="I10" s="40">
        <v>0</v>
      </c>
      <c r="J10" s="40">
        <v>226429.98410000006</v>
      </c>
      <c r="K10" s="40">
        <v>53906.361299999997</v>
      </c>
      <c r="L10" s="40">
        <v>1.0705</v>
      </c>
      <c r="M10" s="40">
        <v>182144.75779999999</v>
      </c>
      <c r="N10" s="40">
        <v>28974.529400000003</v>
      </c>
      <c r="O10" s="40">
        <v>59690.16030000001</v>
      </c>
      <c r="P10" s="40">
        <v>1488.7114292252431</v>
      </c>
      <c r="Q10" s="40">
        <v>93487.327499999985</v>
      </c>
      <c r="R10" s="40">
        <v>3406.6327000000001</v>
      </c>
      <c r="S10" s="40">
        <v>0</v>
      </c>
      <c r="T10" s="40">
        <v>2167.1253466869994</v>
      </c>
      <c r="U10" s="40">
        <v>0</v>
      </c>
      <c r="V10" s="40">
        <v>45127.300799999997</v>
      </c>
      <c r="W10" s="76">
        <f t="shared" ref="W10:W32" si="0">SUM(F10:V10)</f>
        <v>12286697.266875912</v>
      </c>
      <c r="X10" s="36"/>
      <c r="Y10" s="147">
        <v>1405156.6690780001</v>
      </c>
      <c r="Z10" s="38"/>
      <c r="AA10" s="43"/>
      <c r="AB10" s="36"/>
      <c r="AC10" s="76">
        <f>+W10+Y10+AA10</f>
        <v>13691853.935953911</v>
      </c>
      <c r="AD10" s="2"/>
      <c r="AE10" s="165"/>
      <c r="AF10" s="189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" customHeight="1" x14ac:dyDescent="0.25">
      <c r="A11" s="146" t="s">
        <v>43</v>
      </c>
      <c r="B11" s="40">
        <v>1324959.0130999999</v>
      </c>
      <c r="C11" s="40">
        <v>128647.33560000001</v>
      </c>
      <c r="D11" s="76">
        <f t="shared" ref="D11:D38" si="1">B11+C11</f>
        <v>1453606.3487</v>
      </c>
      <c r="E11" s="40">
        <v>21.399599999999996</v>
      </c>
      <c r="F11" s="76">
        <f t="shared" ref="F11:F32" si="2">+D11+E11</f>
        <v>1453627.7482999999</v>
      </c>
      <c r="G11" s="40">
        <v>0</v>
      </c>
      <c r="H11" s="40">
        <v>0</v>
      </c>
      <c r="I11" s="40">
        <v>0</v>
      </c>
      <c r="J11" s="40">
        <v>28399.9647</v>
      </c>
      <c r="K11" s="40">
        <v>0</v>
      </c>
      <c r="L11" s="40">
        <v>8.0200000000000007E-2</v>
      </c>
      <c r="M11" s="40">
        <v>0</v>
      </c>
      <c r="N11" s="40">
        <v>3637.9466999999995</v>
      </c>
      <c r="O11" s="40">
        <v>6260.2291000000005</v>
      </c>
      <c r="P11" s="40">
        <v>2243.7046304678042</v>
      </c>
      <c r="Q11" s="40">
        <v>13539.543899999999</v>
      </c>
      <c r="R11" s="40">
        <v>4616.1572000000006</v>
      </c>
      <c r="S11" s="40">
        <v>0</v>
      </c>
      <c r="T11" s="40">
        <v>3266.1730673571519</v>
      </c>
      <c r="U11" s="40">
        <v>26.4</v>
      </c>
      <c r="V11" s="40">
        <v>5660.1752999999999</v>
      </c>
      <c r="W11" s="76">
        <f t="shared" si="0"/>
        <v>1521278.1230978246</v>
      </c>
      <c r="X11" s="36"/>
      <c r="Y11" s="147">
        <v>16403.088946000003</v>
      </c>
      <c r="Z11" s="38"/>
      <c r="AA11" s="43"/>
      <c r="AB11" s="36"/>
      <c r="AC11" s="76">
        <f t="shared" ref="AC11:AC38" si="3">+W11+Y11+AA11</f>
        <v>1537681.2120438246</v>
      </c>
      <c r="AD11" s="2"/>
      <c r="AE11" s="165"/>
      <c r="AF11" s="189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146" t="s">
        <v>42</v>
      </c>
      <c r="B12" s="40">
        <v>4094323.8419000003</v>
      </c>
      <c r="C12" s="40">
        <v>591777.74439999997</v>
      </c>
      <c r="D12" s="76">
        <f t="shared" si="1"/>
        <v>4686101.5863000005</v>
      </c>
      <c r="E12" s="40">
        <v>125.30039999999998</v>
      </c>
      <c r="F12" s="76">
        <f t="shared" si="2"/>
        <v>4686226.8867000006</v>
      </c>
      <c r="G12" s="40">
        <v>0</v>
      </c>
      <c r="H12" s="40">
        <v>0</v>
      </c>
      <c r="I12" s="40">
        <v>0</v>
      </c>
      <c r="J12" s="40">
        <v>91555.131099999999</v>
      </c>
      <c r="K12" s="40">
        <v>18409.253700000005</v>
      </c>
      <c r="L12" s="40">
        <v>0.29630000000000001</v>
      </c>
      <c r="M12" s="40">
        <v>62203.2163</v>
      </c>
      <c r="N12" s="40">
        <v>11727.819799999999</v>
      </c>
      <c r="O12" s="40">
        <v>32733.525099999995</v>
      </c>
      <c r="P12" s="40">
        <v>1488.7114292252431</v>
      </c>
      <c r="Q12" s="40">
        <v>36427.820599999999</v>
      </c>
      <c r="R12" s="40">
        <v>2818.0129999999999</v>
      </c>
      <c r="S12" s="40">
        <v>0</v>
      </c>
      <c r="T12" s="40">
        <v>2167.1253466869994</v>
      </c>
      <c r="U12" s="40">
        <v>6</v>
      </c>
      <c r="V12" s="40">
        <v>18246.9725</v>
      </c>
      <c r="W12" s="76">
        <f t="shared" si="0"/>
        <v>4964010.7718759133</v>
      </c>
      <c r="X12" s="36"/>
      <c r="Y12" s="147">
        <v>57529.582591999992</v>
      </c>
      <c r="Z12" s="38"/>
      <c r="AA12" s="43"/>
      <c r="AB12" s="36"/>
      <c r="AC12" s="76">
        <f t="shared" si="3"/>
        <v>5021540.3544679135</v>
      </c>
      <c r="AD12" s="2"/>
      <c r="AE12" s="165"/>
      <c r="AF12" s="189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customHeight="1" x14ac:dyDescent="0.25">
      <c r="A13" s="146" t="s">
        <v>41</v>
      </c>
      <c r="B13" s="40">
        <v>1692115.9034999995</v>
      </c>
      <c r="C13" s="40">
        <v>269744.41360000003</v>
      </c>
      <c r="D13" s="76">
        <f t="shared" si="1"/>
        <v>1961860.3170999996</v>
      </c>
      <c r="E13" s="40">
        <v>38.6004</v>
      </c>
      <c r="F13" s="76">
        <f t="shared" si="2"/>
        <v>1961898.9174999997</v>
      </c>
      <c r="G13" s="40">
        <v>0</v>
      </c>
      <c r="H13" s="40">
        <v>0</v>
      </c>
      <c r="I13" s="40">
        <v>0</v>
      </c>
      <c r="J13" s="40">
        <v>38330.022199999992</v>
      </c>
      <c r="K13" s="40">
        <v>5886.4262999999992</v>
      </c>
      <c r="L13" s="40">
        <v>0.13289999999999999</v>
      </c>
      <c r="M13" s="40">
        <v>19889.706400000003</v>
      </c>
      <c r="N13" s="40">
        <v>4909.9068000000007</v>
      </c>
      <c r="O13" s="40">
        <v>7979.661399999999</v>
      </c>
      <c r="P13" s="40">
        <v>1884.7007262093621</v>
      </c>
      <c r="Q13" s="40">
        <v>31914.639600000002</v>
      </c>
      <c r="R13" s="40">
        <v>3945.4280999999996</v>
      </c>
      <c r="S13" s="40">
        <v>0</v>
      </c>
      <c r="T13" s="40">
        <v>2743.5691258669513</v>
      </c>
      <c r="U13" s="40">
        <v>18</v>
      </c>
      <c r="V13" s="40">
        <v>7639.1806000000006</v>
      </c>
      <c r="W13" s="76">
        <f t="shared" si="0"/>
        <v>2087040.2916520764</v>
      </c>
      <c r="X13" s="36"/>
      <c r="Y13" s="147">
        <v>82963.805389999994</v>
      </c>
      <c r="Z13" s="38"/>
      <c r="AA13" s="43"/>
      <c r="AB13" s="36"/>
      <c r="AC13" s="76">
        <f t="shared" si="3"/>
        <v>2170004.0970420763</v>
      </c>
      <c r="AD13" s="2"/>
      <c r="AE13" s="165"/>
      <c r="AF13" s="189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" customHeight="1" x14ac:dyDescent="0.25">
      <c r="A14" s="146" t="s">
        <v>40</v>
      </c>
      <c r="B14" s="40">
        <v>2331471.7944999998</v>
      </c>
      <c r="C14" s="40">
        <v>301283.76039999997</v>
      </c>
      <c r="D14" s="76">
        <f t="shared" si="1"/>
        <v>2632755.5548999999</v>
      </c>
      <c r="E14" s="40">
        <v>33.6</v>
      </c>
      <c r="F14" s="76">
        <f t="shared" si="2"/>
        <v>2632789.1549</v>
      </c>
      <c r="G14" s="40">
        <v>0</v>
      </c>
      <c r="H14" s="40">
        <v>0</v>
      </c>
      <c r="I14" s="40">
        <v>0</v>
      </c>
      <c r="J14" s="40">
        <v>51437.698200000013</v>
      </c>
      <c r="K14" s="40">
        <v>4627.7308000000012</v>
      </c>
      <c r="L14" s="40">
        <v>0.1736</v>
      </c>
      <c r="M14" s="40">
        <v>15636.686900000001</v>
      </c>
      <c r="N14" s="40">
        <v>6588.9895999999999</v>
      </c>
      <c r="O14" s="40">
        <v>8269.1889999999985</v>
      </c>
      <c r="P14" s="40">
        <v>2001.7152263758585</v>
      </c>
      <c r="Q14" s="40">
        <v>29658.048599999995</v>
      </c>
      <c r="R14" s="40">
        <v>4121.5798999999997</v>
      </c>
      <c r="S14" s="40">
        <v>0</v>
      </c>
      <c r="T14" s="40">
        <v>2913.9077719939028</v>
      </c>
      <c r="U14" s="40">
        <v>6</v>
      </c>
      <c r="V14" s="40">
        <v>10251.616599999999</v>
      </c>
      <c r="W14" s="76">
        <f t="shared" si="0"/>
        <v>2768302.491098369</v>
      </c>
      <c r="X14" s="36"/>
      <c r="Y14" s="147">
        <v>101757.94993200002</v>
      </c>
      <c r="Z14" s="38"/>
      <c r="AA14" s="43"/>
      <c r="AB14" s="36"/>
      <c r="AC14" s="76">
        <f t="shared" si="3"/>
        <v>2870060.4410303691</v>
      </c>
      <c r="AD14" s="2"/>
      <c r="AE14" s="165"/>
      <c r="AF14" s="189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" customHeight="1" x14ac:dyDescent="0.25">
      <c r="A15" s="146" t="s">
        <v>39</v>
      </c>
      <c r="B15" s="40">
        <v>710970.00689999992</v>
      </c>
      <c r="C15" s="40">
        <v>123667.43859999999</v>
      </c>
      <c r="D15" s="76">
        <f t="shared" si="1"/>
        <v>834637.44549999991</v>
      </c>
      <c r="E15" s="40">
        <v>24.200400000000005</v>
      </c>
      <c r="F15" s="76">
        <f t="shared" si="2"/>
        <v>834661.64589999989</v>
      </c>
      <c r="G15" s="40">
        <v>0</v>
      </c>
      <c r="H15" s="40">
        <v>0</v>
      </c>
      <c r="I15" s="40">
        <v>0</v>
      </c>
      <c r="J15" s="40">
        <v>16306.803900000004</v>
      </c>
      <c r="K15" s="40">
        <v>1810.2814000000001</v>
      </c>
      <c r="L15" s="40">
        <v>8.0200000000000007E-2</v>
      </c>
      <c r="M15" s="40">
        <v>6116.7786999999998</v>
      </c>
      <c r="N15" s="40">
        <v>2088.8762000000002</v>
      </c>
      <c r="O15" s="40">
        <v>7030.6211000000003</v>
      </c>
      <c r="P15" s="40">
        <v>2098.7643126157036</v>
      </c>
      <c r="Q15" s="40">
        <v>20631.686000000002</v>
      </c>
      <c r="R15" s="40">
        <v>5350.2092000000002</v>
      </c>
      <c r="S15" s="40">
        <v>0</v>
      </c>
      <c r="T15" s="40">
        <v>3055.1826561661605</v>
      </c>
      <c r="U15" s="40">
        <v>36</v>
      </c>
      <c r="V15" s="40">
        <v>3250.0214000000001</v>
      </c>
      <c r="W15" s="76">
        <f t="shared" si="0"/>
        <v>902436.95096878184</v>
      </c>
      <c r="X15" s="36"/>
      <c r="Y15" s="147">
        <v>17155.426941999998</v>
      </c>
      <c r="Z15" s="38"/>
      <c r="AA15" s="43"/>
      <c r="AB15" s="36"/>
      <c r="AC15" s="76">
        <f t="shared" si="3"/>
        <v>919592.37791078188</v>
      </c>
      <c r="AD15" s="2"/>
      <c r="AE15" s="165"/>
      <c r="AF15" s="189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" customHeight="1" x14ac:dyDescent="0.25">
      <c r="A16" s="146" t="s">
        <v>38</v>
      </c>
      <c r="B16" s="40">
        <v>2317062.9986000005</v>
      </c>
      <c r="C16" s="40">
        <v>259784.61979999993</v>
      </c>
      <c r="D16" s="76">
        <f t="shared" si="1"/>
        <v>2576847.6184000005</v>
      </c>
      <c r="E16" s="40">
        <v>67.498800000000003</v>
      </c>
      <c r="F16" s="76">
        <f t="shared" si="2"/>
        <v>2576915.1172000007</v>
      </c>
      <c r="G16" s="40">
        <v>0</v>
      </c>
      <c r="H16" s="40">
        <v>0</v>
      </c>
      <c r="I16" s="40">
        <v>0</v>
      </c>
      <c r="J16" s="40">
        <v>50345.391999999993</v>
      </c>
      <c r="K16" s="40">
        <v>7989.2108999999991</v>
      </c>
      <c r="L16" s="40">
        <v>0.1376</v>
      </c>
      <c r="M16" s="40">
        <v>26994.8269</v>
      </c>
      <c r="N16" s="40">
        <v>6448.9659000000011</v>
      </c>
      <c r="O16" s="40">
        <v>10913.754799999999</v>
      </c>
      <c r="P16" s="40">
        <v>1722.6717314085811</v>
      </c>
      <c r="Q16" s="40">
        <v>25144.867400000003</v>
      </c>
      <c r="R16" s="40">
        <v>3936.1533999999992</v>
      </c>
      <c r="S16" s="40">
        <v>0</v>
      </c>
      <c r="T16" s="40">
        <v>2507.7026345423983</v>
      </c>
      <c r="U16" s="40">
        <v>21.6</v>
      </c>
      <c r="V16" s="40">
        <v>10033.758099999999</v>
      </c>
      <c r="W16" s="76">
        <f t="shared" si="0"/>
        <v>2722974.1585659524</v>
      </c>
      <c r="X16" s="36"/>
      <c r="Y16" s="147">
        <v>46318.932904000001</v>
      </c>
      <c r="Z16" s="38"/>
      <c r="AA16" s="43"/>
      <c r="AB16" s="36"/>
      <c r="AC16" s="76">
        <f t="shared" si="3"/>
        <v>2769293.0914699524</v>
      </c>
      <c r="AD16" s="2"/>
      <c r="AE16" s="165"/>
      <c r="AF16" s="189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" customHeight="1" x14ac:dyDescent="0.25">
      <c r="A17" s="146" t="s">
        <v>37</v>
      </c>
      <c r="B17" s="40">
        <v>1745243.6435000002</v>
      </c>
      <c r="C17" s="40">
        <v>175956.356</v>
      </c>
      <c r="D17" s="76">
        <f t="shared" si="1"/>
        <v>1921199.9995000002</v>
      </c>
      <c r="E17" s="40">
        <v>20.701199999999996</v>
      </c>
      <c r="F17" s="76">
        <f t="shared" si="2"/>
        <v>1921220.7007000002</v>
      </c>
      <c r="G17" s="40">
        <v>0</v>
      </c>
      <c r="H17" s="40">
        <v>0</v>
      </c>
      <c r="I17" s="40">
        <v>0</v>
      </c>
      <c r="J17" s="40">
        <v>37535.617600000012</v>
      </c>
      <c r="K17" s="40">
        <v>2155.6874000000003</v>
      </c>
      <c r="L17" s="40">
        <v>9.3599999999999989E-2</v>
      </c>
      <c r="M17" s="40">
        <v>7283.8737999999994</v>
      </c>
      <c r="N17" s="40">
        <v>4808.1924000000008</v>
      </c>
      <c r="O17" s="40">
        <v>5678.381800000001</v>
      </c>
      <c r="P17" s="40">
        <v>2313.0855173660652</v>
      </c>
      <c r="Q17" s="40">
        <v>25789.6077</v>
      </c>
      <c r="R17" s="40">
        <v>4287.4759999999997</v>
      </c>
      <c r="S17" s="40">
        <v>0</v>
      </c>
      <c r="T17" s="40">
        <v>3367.1712027031408</v>
      </c>
      <c r="U17" s="40">
        <v>26.4</v>
      </c>
      <c r="V17" s="40">
        <v>7480.9264000000003</v>
      </c>
      <c r="W17" s="76">
        <f t="shared" si="0"/>
        <v>2021947.2141200693</v>
      </c>
      <c r="X17" s="36"/>
      <c r="Y17" s="147">
        <v>43175.696961999995</v>
      </c>
      <c r="Z17" s="38"/>
      <c r="AA17" s="43"/>
      <c r="AB17" s="36"/>
      <c r="AC17" s="76">
        <f t="shared" si="3"/>
        <v>2065122.9110820694</v>
      </c>
      <c r="AD17" s="2"/>
      <c r="AE17" s="165"/>
      <c r="AF17" s="189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" customHeight="1" x14ac:dyDescent="0.25">
      <c r="A18" s="146" t="s">
        <v>36</v>
      </c>
      <c r="B18" s="40">
        <v>1330862.6953</v>
      </c>
      <c r="C18" s="40">
        <v>168486.51049999997</v>
      </c>
      <c r="D18" s="76">
        <f t="shared" si="1"/>
        <v>1499349.2058000001</v>
      </c>
      <c r="E18" s="40">
        <v>33.299999999999997</v>
      </c>
      <c r="F18" s="76">
        <f t="shared" si="2"/>
        <v>1499382.5058000002</v>
      </c>
      <c r="G18" s="40">
        <v>0</v>
      </c>
      <c r="H18" s="40">
        <v>0</v>
      </c>
      <c r="I18" s="40">
        <v>0</v>
      </c>
      <c r="J18" s="40">
        <v>29293.669800000003</v>
      </c>
      <c r="K18" s="40">
        <v>0</v>
      </c>
      <c r="L18" s="40">
        <v>8.5300000000000015E-2</v>
      </c>
      <c r="M18" s="40">
        <v>0</v>
      </c>
      <c r="N18" s="40">
        <v>3752.3417000000004</v>
      </c>
      <c r="O18" s="40">
        <v>5810.7835999999998</v>
      </c>
      <c r="P18" s="40">
        <v>1866.5772827105834</v>
      </c>
      <c r="Q18" s="40">
        <v>19342.205699999999</v>
      </c>
      <c r="R18" s="40">
        <v>4278.2857000000004</v>
      </c>
      <c r="S18" s="40">
        <v>0</v>
      </c>
      <c r="T18" s="40">
        <v>2717.1867303490844</v>
      </c>
      <c r="U18" s="40">
        <v>26.4</v>
      </c>
      <c r="V18" s="40">
        <v>5838.1588999999994</v>
      </c>
      <c r="W18" s="76">
        <f t="shared" si="0"/>
        <v>1572308.2005130595</v>
      </c>
      <c r="X18" s="36"/>
      <c r="Y18" s="147">
        <v>44914.840535980002</v>
      </c>
      <c r="Z18" s="38"/>
      <c r="AA18" s="43"/>
      <c r="AB18" s="36"/>
      <c r="AC18" s="76">
        <f t="shared" si="3"/>
        <v>1617223.0410490395</v>
      </c>
      <c r="AD18" s="2"/>
      <c r="AE18" s="165"/>
      <c r="AF18" s="189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" customHeight="1" x14ac:dyDescent="0.25">
      <c r="A19" s="146" t="s">
        <v>35</v>
      </c>
      <c r="B19" s="40">
        <v>922421.29110000003</v>
      </c>
      <c r="C19" s="40">
        <v>87978.177899999995</v>
      </c>
      <c r="D19" s="76">
        <f t="shared" si="1"/>
        <v>1010399.469</v>
      </c>
      <c r="E19" s="40">
        <v>19.2</v>
      </c>
      <c r="F19" s="76">
        <f t="shared" si="2"/>
        <v>1010418.669</v>
      </c>
      <c r="G19" s="40">
        <v>0</v>
      </c>
      <c r="H19" s="40">
        <v>0</v>
      </c>
      <c r="I19" s="40">
        <v>0</v>
      </c>
      <c r="J19" s="40">
        <v>19738.645100000005</v>
      </c>
      <c r="K19" s="40">
        <v>1589.6666999999998</v>
      </c>
      <c r="L19" s="40">
        <v>7.1999999999999995E-2</v>
      </c>
      <c r="M19" s="40">
        <v>5372.3516000000009</v>
      </c>
      <c r="N19" s="40">
        <v>2528.4221000000007</v>
      </c>
      <c r="O19" s="40">
        <v>7324.7116999999998</v>
      </c>
      <c r="P19" s="40">
        <v>1657.0005473435419</v>
      </c>
      <c r="Q19" s="40">
        <v>13144.5519</v>
      </c>
      <c r="R19" s="40">
        <v>5426.1170999999995</v>
      </c>
      <c r="S19" s="40">
        <v>0</v>
      </c>
      <c r="T19" s="40">
        <v>2412.1047336554011</v>
      </c>
      <c r="U19" s="40">
        <v>30</v>
      </c>
      <c r="V19" s="40">
        <v>3933.8976000000002</v>
      </c>
      <c r="W19" s="76">
        <f t="shared" si="0"/>
        <v>1073576.2100809989</v>
      </c>
      <c r="X19" s="36"/>
      <c r="Y19" s="147">
        <v>0</v>
      </c>
      <c r="Z19" s="38"/>
      <c r="AA19" s="43"/>
      <c r="AB19" s="36"/>
      <c r="AC19" s="76">
        <f t="shared" si="3"/>
        <v>1073576.2100809989</v>
      </c>
      <c r="AD19" s="2"/>
      <c r="AE19" s="165"/>
      <c r="AF19" s="189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" customHeight="1" x14ac:dyDescent="0.25">
      <c r="A20" s="146" t="s">
        <v>34</v>
      </c>
      <c r="B20" s="40">
        <v>992318.11140000017</v>
      </c>
      <c r="C20" s="40">
        <v>100427.92019999998</v>
      </c>
      <c r="D20" s="76">
        <f t="shared" si="1"/>
        <v>1092746.0316000001</v>
      </c>
      <c r="E20" s="40">
        <v>20.299199999999995</v>
      </c>
      <c r="F20" s="76">
        <f t="shared" si="2"/>
        <v>1092766.3308000001</v>
      </c>
      <c r="G20" s="40">
        <v>0</v>
      </c>
      <c r="H20" s="40">
        <v>0</v>
      </c>
      <c r="I20" s="40">
        <v>0</v>
      </c>
      <c r="J20" s="40">
        <v>21349.623899999999</v>
      </c>
      <c r="K20" s="40">
        <v>0</v>
      </c>
      <c r="L20" s="40">
        <v>6.8699999999999997E-2</v>
      </c>
      <c r="M20" s="40">
        <v>0</v>
      </c>
      <c r="N20" s="40">
        <v>2734.8004999999998</v>
      </c>
      <c r="O20" s="40">
        <v>5678.3365000000003</v>
      </c>
      <c r="P20" s="40">
        <v>2183.1342876418571</v>
      </c>
      <c r="Q20" s="40">
        <v>12894.8037</v>
      </c>
      <c r="R20" s="40">
        <v>5012.3464000000004</v>
      </c>
      <c r="S20" s="40">
        <v>0</v>
      </c>
      <c r="T20" s="40">
        <v>3178.0004888852663</v>
      </c>
      <c r="U20" s="40">
        <v>26.4</v>
      </c>
      <c r="V20" s="40">
        <v>4254.9962000000005</v>
      </c>
      <c r="W20" s="76">
        <f t="shared" si="0"/>
        <v>1150078.8414765268</v>
      </c>
      <c r="X20" s="36"/>
      <c r="Y20" s="147">
        <v>12989.120081999998</v>
      </c>
      <c r="Z20" s="38"/>
      <c r="AA20" s="43"/>
      <c r="AB20" s="36"/>
      <c r="AC20" s="76">
        <f t="shared" si="3"/>
        <v>1163067.9615585268</v>
      </c>
      <c r="AD20" s="2"/>
      <c r="AE20" s="165"/>
      <c r="AF20" s="189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" customHeight="1" x14ac:dyDescent="0.25">
      <c r="A21" s="146" t="s">
        <v>33</v>
      </c>
      <c r="B21" s="40">
        <v>1821437.5374</v>
      </c>
      <c r="C21" s="40">
        <v>379302.14459999994</v>
      </c>
      <c r="D21" s="76">
        <f t="shared" si="1"/>
        <v>2200739.682</v>
      </c>
      <c r="E21" s="40">
        <v>61.69919999999999</v>
      </c>
      <c r="F21" s="76">
        <f t="shared" si="2"/>
        <v>2200801.3812000002</v>
      </c>
      <c r="G21" s="40">
        <v>0</v>
      </c>
      <c r="H21" s="40">
        <v>0</v>
      </c>
      <c r="I21" s="40">
        <v>0</v>
      </c>
      <c r="J21" s="40">
        <v>42997.149300000005</v>
      </c>
      <c r="K21" s="40">
        <v>0</v>
      </c>
      <c r="L21" s="40">
        <v>0.14610000000000001</v>
      </c>
      <c r="M21" s="40">
        <v>0</v>
      </c>
      <c r="N21" s="40">
        <v>5507.7771999999995</v>
      </c>
      <c r="O21" s="40">
        <v>11501.854300000001</v>
      </c>
      <c r="P21" s="40">
        <v>1694.5355254737769</v>
      </c>
      <c r="Q21" s="40">
        <v>25789.6077</v>
      </c>
      <c r="R21" s="40">
        <v>3174.0107000000003</v>
      </c>
      <c r="S21" s="40">
        <v>0</v>
      </c>
      <c r="T21" s="40">
        <v>2466.7446061075188</v>
      </c>
      <c r="U21" s="40">
        <v>26.4</v>
      </c>
      <c r="V21" s="40">
        <v>8569.3896000000004</v>
      </c>
      <c r="W21" s="76">
        <f t="shared" si="0"/>
        <v>2302528.9962315811</v>
      </c>
      <c r="X21" s="36"/>
      <c r="Y21" s="147">
        <v>74681.776976620022</v>
      </c>
      <c r="Z21" s="38"/>
      <c r="AA21" s="43"/>
      <c r="AB21" s="36"/>
      <c r="AC21" s="76">
        <f t="shared" si="3"/>
        <v>2377210.7732082009</v>
      </c>
      <c r="AD21" s="2"/>
      <c r="AE21" s="165"/>
      <c r="AF21" s="189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" customHeight="1" x14ac:dyDescent="0.25">
      <c r="A22" s="146" t="s">
        <v>32</v>
      </c>
      <c r="B22" s="40">
        <v>1423767.7283999999</v>
      </c>
      <c r="C22" s="40">
        <v>319543.3823</v>
      </c>
      <c r="D22" s="76">
        <f t="shared" si="1"/>
        <v>1743311.1106999998</v>
      </c>
      <c r="E22" s="40">
        <v>34.1004</v>
      </c>
      <c r="F22" s="76">
        <f t="shared" si="2"/>
        <v>1743345.2111</v>
      </c>
      <c r="G22" s="40">
        <v>0</v>
      </c>
      <c r="H22" s="40">
        <v>0</v>
      </c>
      <c r="I22" s="40">
        <v>0</v>
      </c>
      <c r="J22" s="40">
        <v>34060.097700000006</v>
      </c>
      <c r="K22" s="40">
        <v>2527.3088000000002</v>
      </c>
      <c r="L22" s="40">
        <v>0.1089</v>
      </c>
      <c r="M22" s="40">
        <v>8539.5499</v>
      </c>
      <c r="N22" s="40">
        <v>4362.8929999999991</v>
      </c>
      <c r="O22" s="40">
        <v>8156.7425999999996</v>
      </c>
      <c r="P22" s="40">
        <v>2191.8632524900258</v>
      </c>
      <c r="Q22" s="40">
        <v>30302.788800000002</v>
      </c>
      <c r="R22" s="40">
        <v>3566.4546</v>
      </c>
      <c r="S22" s="40">
        <v>0</v>
      </c>
      <c r="T22" s="40">
        <v>3190.7072968156167</v>
      </c>
      <c r="U22" s="40">
        <v>26.4</v>
      </c>
      <c r="V22" s="40">
        <v>6788.097999999999</v>
      </c>
      <c r="W22" s="76">
        <f t="shared" si="0"/>
        <v>1847058.2239493057</v>
      </c>
      <c r="X22" s="36"/>
      <c r="Y22" s="147">
        <v>94138.53375800002</v>
      </c>
      <c r="Z22" s="38"/>
      <c r="AA22" s="43"/>
      <c r="AB22" s="36"/>
      <c r="AC22" s="76">
        <f t="shared" si="3"/>
        <v>1941196.7577073057</v>
      </c>
      <c r="AD22" s="2"/>
      <c r="AE22" s="165"/>
      <c r="AF22" s="189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" customHeight="1" x14ac:dyDescent="0.25">
      <c r="A23" s="146" t="s">
        <v>31</v>
      </c>
      <c r="B23" s="40">
        <v>775690.98549999995</v>
      </c>
      <c r="C23" s="40">
        <v>140267.095</v>
      </c>
      <c r="D23" s="76">
        <f t="shared" si="1"/>
        <v>915958.08049999992</v>
      </c>
      <c r="E23" s="40">
        <v>17.398799999999998</v>
      </c>
      <c r="F23" s="76">
        <f t="shared" si="2"/>
        <v>915975.47929999989</v>
      </c>
      <c r="G23" s="40">
        <v>0</v>
      </c>
      <c r="H23" s="40">
        <v>0</v>
      </c>
      <c r="I23" s="40">
        <v>0</v>
      </c>
      <c r="J23" s="40">
        <v>17895.613400000002</v>
      </c>
      <c r="K23" s="40">
        <v>1136.6016000000002</v>
      </c>
      <c r="L23" s="40">
        <v>9.6299999999999997E-2</v>
      </c>
      <c r="M23" s="40">
        <v>3840.4749999999999</v>
      </c>
      <c r="N23" s="40">
        <v>2292.3040000000001</v>
      </c>
      <c r="O23" s="40">
        <v>8753.6496000000006</v>
      </c>
      <c r="P23" s="40">
        <v>1946.4174701806473</v>
      </c>
      <c r="Q23" s="40">
        <v>27723.828100000002</v>
      </c>
      <c r="R23" s="40">
        <v>3926.6039000000001</v>
      </c>
      <c r="S23" s="40">
        <v>0</v>
      </c>
      <c r="T23" s="40">
        <v>2833.410526792884</v>
      </c>
      <c r="U23" s="40">
        <v>30</v>
      </c>
      <c r="V23" s="40">
        <v>3566.5292000000004</v>
      </c>
      <c r="W23" s="76">
        <f t="shared" si="0"/>
        <v>989921.00839697348</v>
      </c>
      <c r="X23" s="36"/>
      <c r="Y23" s="147">
        <v>28436.545877999997</v>
      </c>
      <c r="Z23" s="38"/>
      <c r="AA23" s="43"/>
      <c r="AB23" s="36"/>
      <c r="AC23" s="76">
        <f t="shared" si="3"/>
        <v>1018357.5542749735</v>
      </c>
      <c r="AD23" s="2"/>
      <c r="AE23" s="165"/>
      <c r="AF23" s="189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" customHeight="1" x14ac:dyDescent="0.25">
      <c r="A24" s="146" t="s">
        <v>30</v>
      </c>
      <c r="B24" s="40">
        <v>1179738.5421</v>
      </c>
      <c r="C24" s="40">
        <v>151886.85449999999</v>
      </c>
      <c r="D24" s="76">
        <f t="shared" si="1"/>
        <v>1331625.3965999999</v>
      </c>
      <c r="E24" s="40">
        <v>14.600400000000004</v>
      </c>
      <c r="F24" s="76">
        <f t="shared" si="2"/>
        <v>1331639.997</v>
      </c>
      <c r="G24" s="40">
        <v>0</v>
      </c>
      <c r="H24" s="40">
        <v>0</v>
      </c>
      <c r="I24" s="40">
        <v>0</v>
      </c>
      <c r="J24" s="40">
        <v>26016.750900000006</v>
      </c>
      <c r="K24" s="40">
        <v>0</v>
      </c>
      <c r="L24" s="40">
        <v>0.11159999999999999</v>
      </c>
      <c r="M24" s="40">
        <v>0</v>
      </c>
      <c r="N24" s="40">
        <v>3332.6711</v>
      </c>
      <c r="O24" s="40">
        <v>6956.3964999999989</v>
      </c>
      <c r="P24" s="40">
        <v>1808.5702413423196</v>
      </c>
      <c r="Q24" s="40">
        <v>29013.308500000003</v>
      </c>
      <c r="R24" s="40">
        <v>3587.0765000000001</v>
      </c>
      <c r="S24" s="40">
        <v>0</v>
      </c>
      <c r="T24" s="40">
        <v>2632.74556388151</v>
      </c>
      <c r="U24" s="40">
        <v>30</v>
      </c>
      <c r="V24" s="40">
        <v>5185.2054999999991</v>
      </c>
      <c r="W24" s="76">
        <f t="shared" si="0"/>
        <v>1410202.8334052237</v>
      </c>
      <c r="X24" s="36"/>
      <c r="Y24" s="147">
        <v>20915.216811999999</v>
      </c>
      <c r="Z24" s="38"/>
      <c r="AA24" s="43"/>
      <c r="AB24" s="36"/>
      <c r="AC24" s="76">
        <f t="shared" si="3"/>
        <v>1431118.0502172236</v>
      </c>
      <c r="AD24" s="2"/>
      <c r="AE24" s="165"/>
      <c r="AF24" s="189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" customHeight="1" x14ac:dyDescent="0.25">
      <c r="A25" s="146" t="s">
        <v>29</v>
      </c>
      <c r="B25" s="40">
        <v>1704137.3937999995</v>
      </c>
      <c r="C25" s="40">
        <v>318713.39939999999</v>
      </c>
      <c r="D25" s="76">
        <f t="shared" si="1"/>
        <v>2022850.7931999995</v>
      </c>
      <c r="E25" s="40">
        <v>39.800399999999996</v>
      </c>
      <c r="F25" s="76">
        <f t="shared" si="2"/>
        <v>2022890.5935999996</v>
      </c>
      <c r="G25" s="40">
        <v>0</v>
      </c>
      <c r="H25" s="40">
        <v>0</v>
      </c>
      <c r="I25" s="40">
        <v>0</v>
      </c>
      <c r="J25" s="40">
        <v>39521.629300000001</v>
      </c>
      <c r="K25" s="40">
        <v>0</v>
      </c>
      <c r="L25" s="40">
        <v>0.1482</v>
      </c>
      <c r="M25" s="40">
        <v>0</v>
      </c>
      <c r="N25" s="40">
        <v>5062.6111000000001</v>
      </c>
      <c r="O25" s="40">
        <v>8565.6332000000002</v>
      </c>
      <c r="P25" s="40">
        <v>1850.2442859912398</v>
      </c>
      <c r="Q25" s="40">
        <v>25789.6077</v>
      </c>
      <c r="R25" s="40">
        <v>5115.9877999999999</v>
      </c>
      <c r="S25" s="40">
        <v>0</v>
      </c>
      <c r="T25" s="40">
        <v>2693.4106979874455</v>
      </c>
      <c r="U25" s="40">
        <v>30</v>
      </c>
      <c r="V25" s="40">
        <v>7876.7691000000004</v>
      </c>
      <c r="W25" s="76">
        <f t="shared" si="0"/>
        <v>2119396.6349839778</v>
      </c>
      <c r="X25" s="36"/>
      <c r="Y25" s="147">
        <v>164374.95361200001</v>
      </c>
      <c r="Z25" s="38"/>
      <c r="AA25" s="43"/>
      <c r="AB25" s="36"/>
      <c r="AC25" s="76">
        <f t="shared" si="3"/>
        <v>2283771.588595978</v>
      </c>
      <c r="AD25" s="2"/>
      <c r="AE25" s="165"/>
      <c r="AF25" s="189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" customHeight="1" x14ac:dyDescent="0.25">
      <c r="A26" s="146" t="s">
        <v>28</v>
      </c>
      <c r="B26" s="40">
        <v>1575645.7426</v>
      </c>
      <c r="C26" s="40">
        <v>208325.6856</v>
      </c>
      <c r="D26" s="76">
        <f t="shared" si="1"/>
        <v>1783971.4282</v>
      </c>
      <c r="E26" s="40">
        <v>30.099599999999995</v>
      </c>
      <c r="F26" s="76">
        <f t="shared" si="2"/>
        <v>1784001.5278</v>
      </c>
      <c r="G26" s="40">
        <v>0</v>
      </c>
      <c r="H26" s="40">
        <v>0</v>
      </c>
      <c r="I26" s="40">
        <v>0</v>
      </c>
      <c r="J26" s="40">
        <v>34854.502099999998</v>
      </c>
      <c r="K26" s="40">
        <v>0</v>
      </c>
      <c r="L26" s="40">
        <v>8.3800000000000013E-2</v>
      </c>
      <c r="M26" s="40">
        <v>0</v>
      </c>
      <c r="N26" s="40">
        <v>4464.7408000000005</v>
      </c>
      <c r="O26" s="40">
        <v>6277.5097999999998</v>
      </c>
      <c r="P26" s="40">
        <v>1714.1102184141264</v>
      </c>
      <c r="Q26" s="40">
        <v>23533.016900000002</v>
      </c>
      <c r="R26" s="40">
        <v>3158.0972000000006</v>
      </c>
      <c r="S26" s="40">
        <v>0</v>
      </c>
      <c r="T26" s="40">
        <v>2495.2395934210977</v>
      </c>
      <c r="U26" s="40">
        <v>26.4</v>
      </c>
      <c r="V26" s="40">
        <v>6946.5593999999992</v>
      </c>
      <c r="W26" s="76">
        <f t="shared" si="0"/>
        <v>1867471.7876118349</v>
      </c>
      <c r="X26" s="36"/>
      <c r="Y26" s="147">
        <v>35290.540879999993</v>
      </c>
      <c r="Z26" s="38"/>
      <c r="AA26" s="43"/>
      <c r="AB26" s="36"/>
      <c r="AC26" s="76">
        <f t="shared" si="3"/>
        <v>1902762.3284918349</v>
      </c>
      <c r="AD26" s="2"/>
      <c r="AE26" s="165"/>
      <c r="AF26" s="189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" customHeight="1" x14ac:dyDescent="0.25">
      <c r="A27" s="146" t="s">
        <v>27</v>
      </c>
      <c r="B27" s="40">
        <v>1084214.3969000001</v>
      </c>
      <c r="C27" s="40">
        <v>120347.50790000001</v>
      </c>
      <c r="D27" s="76">
        <f t="shared" si="1"/>
        <v>1204561.9048000001</v>
      </c>
      <c r="E27" s="40">
        <v>18.901199999999999</v>
      </c>
      <c r="F27" s="76">
        <f t="shared" si="2"/>
        <v>1204580.8060000001</v>
      </c>
      <c r="G27" s="40">
        <v>0</v>
      </c>
      <c r="H27" s="40">
        <v>0</v>
      </c>
      <c r="I27" s="40">
        <v>0</v>
      </c>
      <c r="J27" s="40">
        <v>23534.2363</v>
      </c>
      <c r="K27" s="40">
        <v>0</v>
      </c>
      <c r="L27" s="40">
        <v>6.93E-2</v>
      </c>
      <c r="M27" s="40">
        <v>0</v>
      </c>
      <c r="N27" s="40">
        <v>3014.5808999999995</v>
      </c>
      <c r="O27" s="40">
        <v>5316.2128999999995</v>
      </c>
      <c r="P27" s="40">
        <v>1679.1814781260575</v>
      </c>
      <c r="Q27" s="40">
        <v>23533.016900000002</v>
      </c>
      <c r="R27" s="40">
        <v>3616.5994000000005</v>
      </c>
      <c r="S27" s="40">
        <v>0</v>
      </c>
      <c r="T27" s="40">
        <v>2444.393635653707</v>
      </c>
      <c r="U27" s="40">
        <v>26.4</v>
      </c>
      <c r="V27" s="40">
        <v>4690.2986000000001</v>
      </c>
      <c r="W27" s="76">
        <f t="shared" si="0"/>
        <v>1272435.7954137796</v>
      </c>
      <c r="X27" s="36"/>
      <c r="Y27" s="147">
        <v>0</v>
      </c>
      <c r="Z27" s="38"/>
      <c r="AA27" s="43"/>
      <c r="AB27" s="36"/>
      <c r="AC27" s="76">
        <f t="shared" si="3"/>
        <v>1272435.7954137796</v>
      </c>
      <c r="AD27" s="2"/>
      <c r="AE27" s="165"/>
      <c r="AF27" s="189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" customHeight="1" x14ac:dyDescent="0.25">
      <c r="A28" s="146" t="s">
        <v>26</v>
      </c>
      <c r="B28" s="40">
        <v>769898.78639999998</v>
      </c>
      <c r="C28" s="40">
        <v>64738.659100000012</v>
      </c>
      <c r="D28" s="76">
        <f t="shared" si="1"/>
        <v>834637.44550000003</v>
      </c>
      <c r="E28" s="40">
        <v>8.4996000000000009</v>
      </c>
      <c r="F28" s="76">
        <f t="shared" si="2"/>
        <v>834645.94510000001</v>
      </c>
      <c r="G28" s="40">
        <v>0</v>
      </c>
      <c r="H28" s="40">
        <v>0</v>
      </c>
      <c r="I28" s="40">
        <v>0</v>
      </c>
      <c r="J28" s="40">
        <v>16306.803900000004</v>
      </c>
      <c r="K28" s="40">
        <v>1473.7315000000003</v>
      </c>
      <c r="L28" s="40">
        <v>6.9400000000000003E-2</v>
      </c>
      <c r="M28" s="40">
        <v>4979.6057999999985</v>
      </c>
      <c r="N28" s="40">
        <v>2088.8762000000002</v>
      </c>
      <c r="O28" s="40">
        <v>5618.9178000000002</v>
      </c>
      <c r="P28" s="40">
        <v>2362.7027911527207</v>
      </c>
      <c r="Q28" s="40">
        <v>20631.686000000002</v>
      </c>
      <c r="R28" s="40">
        <v>7179.4340999999995</v>
      </c>
      <c r="S28" s="40">
        <v>0</v>
      </c>
      <c r="T28" s="40">
        <v>3439.3993388640865</v>
      </c>
      <c r="U28" s="40">
        <v>36</v>
      </c>
      <c r="V28" s="40">
        <v>3250.0214000000001</v>
      </c>
      <c r="W28" s="76">
        <f t="shared" si="0"/>
        <v>902013.19333001703</v>
      </c>
      <c r="X28" s="36"/>
      <c r="Y28" s="147">
        <v>3527.021534</v>
      </c>
      <c r="Z28" s="38"/>
      <c r="AA28" s="43"/>
      <c r="AB28" s="36"/>
      <c r="AC28" s="76">
        <f t="shared" si="3"/>
        <v>905540.21486401709</v>
      </c>
      <c r="AD28" s="2"/>
      <c r="AE28" s="165"/>
      <c r="AF28" s="189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" customHeight="1" x14ac:dyDescent="0.25">
      <c r="A29" s="146" t="s">
        <v>25</v>
      </c>
      <c r="B29" s="40">
        <v>4254866.6307999995</v>
      </c>
      <c r="C29" s="40">
        <v>553598.53500000003</v>
      </c>
      <c r="D29" s="76">
        <f t="shared" si="1"/>
        <v>4808465.1657999996</v>
      </c>
      <c r="E29" s="40">
        <v>135.4896</v>
      </c>
      <c r="F29" s="76">
        <f t="shared" si="2"/>
        <v>4808600.6553999996</v>
      </c>
      <c r="G29" s="40">
        <v>0</v>
      </c>
      <c r="H29" s="40">
        <v>0</v>
      </c>
      <c r="I29" s="40">
        <v>0</v>
      </c>
      <c r="J29" s="40">
        <v>93935.70610000001</v>
      </c>
      <c r="K29" s="40">
        <v>20260.906999999999</v>
      </c>
      <c r="L29" s="40">
        <v>0.28629999999999994</v>
      </c>
      <c r="M29" s="40">
        <v>68472.670599999998</v>
      </c>
      <c r="N29" s="40">
        <v>12062.796799999998</v>
      </c>
      <c r="O29" s="40">
        <v>24930.076100000002</v>
      </c>
      <c r="P29" s="40">
        <v>1488.7114292252431</v>
      </c>
      <c r="Q29" s="40">
        <v>37133.358399999997</v>
      </c>
      <c r="R29" s="40">
        <v>2589.6</v>
      </c>
      <c r="S29" s="40">
        <v>0</v>
      </c>
      <c r="T29" s="40">
        <v>2167.1253466869994</v>
      </c>
      <c r="U29" s="40">
        <v>6</v>
      </c>
      <c r="V29" s="40">
        <v>18721.474799999996</v>
      </c>
      <c r="W29" s="76">
        <f t="shared" si="0"/>
        <v>5090369.3682759106</v>
      </c>
      <c r="X29" s="36"/>
      <c r="Y29" s="147">
        <v>65489.976038000001</v>
      </c>
      <c r="Z29" s="38"/>
      <c r="AA29" s="43"/>
      <c r="AB29" s="36"/>
      <c r="AC29" s="76">
        <f t="shared" si="3"/>
        <v>5155859.3443139102</v>
      </c>
      <c r="AD29" s="2"/>
      <c r="AE29" s="165"/>
      <c r="AF29" s="189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" customHeight="1" x14ac:dyDescent="0.25">
      <c r="A30" s="146" t="s">
        <v>24</v>
      </c>
      <c r="B30" s="40">
        <v>1905685.213</v>
      </c>
      <c r="C30" s="40">
        <v>274724.31050000002</v>
      </c>
      <c r="D30" s="76">
        <f t="shared" si="1"/>
        <v>2180409.5235000001</v>
      </c>
      <c r="E30" s="40">
        <v>31.599599999999995</v>
      </c>
      <c r="F30" s="76">
        <f t="shared" si="2"/>
        <v>2180441.1231</v>
      </c>
      <c r="G30" s="40">
        <v>0</v>
      </c>
      <c r="H30" s="40">
        <v>0</v>
      </c>
      <c r="I30" s="40">
        <v>0</v>
      </c>
      <c r="J30" s="40">
        <v>42599.947099999998</v>
      </c>
      <c r="K30" s="40">
        <v>0</v>
      </c>
      <c r="L30" s="40">
        <v>0.13950000000000001</v>
      </c>
      <c r="M30" s="40">
        <v>0</v>
      </c>
      <c r="N30" s="40">
        <v>5456.9200999999994</v>
      </c>
      <c r="O30" s="40">
        <v>11210.6746</v>
      </c>
      <c r="P30" s="40">
        <v>1984.9228104584524</v>
      </c>
      <c r="Q30" s="40">
        <v>27723.828100000002</v>
      </c>
      <c r="R30" s="40">
        <v>4241.0616000000009</v>
      </c>
      <c r="S30" s="40">
        <v>0</v>
      </c>
      <c r="T30" s="40">
        <v>2889.4629605524597</v>
      </c>
      <c r="U30" s="40">
        <v>26.4</v>
      </c>
      <c r="V30" s="40">
        <v>8490.2626</v>
      </c>
      <c r="W30" s="76">
        <f t="shared" si="0"/>
        <v>2285064.7424710114</v>
      </c>
      <c r="X30" s="36"/>
      <c r="Y30" s="147">
        <v>70996.100187999997</v>
      </c>
      <c r="Z30" s="38"/>
      <c r="AA30" s="43"/>
      <c r="AB30" s="36"/>
      <c r="AC30" s="76">
        <f t="shared" si="3"/>
        <v>2356060.8426590115</v>
      </c>
      <c r="AD30" s="2"/>
      <c r="AE30" s="165"/>
      <c r="AF30" s="189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" customHeight="1" x14ac:dyDescent="0.25">
      <c r="A31" s="146" t="s">
        <v>23</v>
      </c>
      <c r="B31" s="40">
        <v>2167161.7186999996</v>
      </c>
      <c r="C31" s="40">
        <v>343612.88389999996</v>
      </c>
      <c r="D31" s="76">
        <f t="shared" si="1"/>
        <v>2510774.6025999994</v>
      </c>
      <c r="E31" s="40">
        <v>55.8</v>
      </c>
      <c r="F31" s="76">
        <f t="shared" si="2"/>
        <v>2510830.4025999992</v>
      </c>
      <c r="G31" s="40">
        <v>0</v>
      </c>
      <c r="H31" s="40">
        <v>0</v>
      </c>
      <c r="I31" s="40">
        <v>0</v>
      </c>
      <c r="J31" s="40">
        <v>49054.484600000003</v>
      </c>
      <c r="K31" s="40">
        <v>0</v>
      </c>
      <c r="L31" s="40">
        <v>0.12669999999999998</v>
      </c>
      <c r="M31" s="40">
        <v>0</v>
      </c>
      <c r="N31" s="40">
        <v>6283.7140999999992</v>
      </c>
      <c r="O31" s="40">
        <v>8332.6198999999997</v>
      </c>
      <c r="P31" s="40">
        <v>1528.8225899065483</v>
      </c>
      <c r="Q31" s="40">
        <v>27079.088100000001</v>
      </c>
      <c r="R31" s="40">
        <v>3849.8090000000002</v>
      </c>
      <c r="S31" s="40">
        <v>0</v>
      </c>
      <c r="T31" s="40">
        <v>2225.515381845662</v>
      </c>
      <c r="U31" s="40">
        <v>26.4</v>
      </c>
      <c r="V31" s="40">
        <v>9776.6472999999987</v>
      </c>
      <c r="W31" s="76">
        <f t="shared" si="0"/>
        <v>2618987.6302717505</v>
      </c>
      <c r="X31" s="36"/>
      <c r="Y31" s="147">
        <v>114053.969684</v>
      </c>
      <c r="Z31" s="38"/>
      <c r="AA31" s="43"/>
      <c r="AB31" s="36"/>
      <c r="AC31" s="76">
        <f t="shared" si="3"/>
        <v>2733041.5999557506</v>
      </c>
      <c r="AD31" s="2"/>
      <c r="AE31" s="165"/>
      <c r="AF31" s="189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" customHeight="1" thickBot="1" x14ac:dyDescent="0.3">
      <c r="A32" s="146" t="s">
        <v>22</v>
      </c>
      <c r="B32" s="40">
        <v>619356.75530000008</v>
      </c>
      <c r="C32" s="40">
        <v>31539.346899999997</v>
      </c>
      <c r="D32" s="76">
        <f t="shared" si="1"/>
        <v>650896.10220000008</v>
      </c>
      <c r="E32" s="40">
        <v>12</v>
      </c>
      <c r="F32" s="76">
        <f t="shared" si="2"/>
        <v>650908.10220000008</v>
      </c>
      <c r="G32" s="40">
        <v>0</v>
      </c>
      <c r="H32" s="40">
        <v>0</v>
      </c>
      <c r="I32" s="40">
        <v>0</v>
      </c>
      <c r="J32" s="40">
        <v>12716.868700000001</v>
      </c>
      <c r="K32" s="40">
        <v>130.72290000000001</v>
      </c>
      <c r="L32" s="40">
        <v>3.3100000000000004E-2</v>
      </c>
      <c r="M32" s="40">
        <v>441.70069999999998</v>
      </c>
      <c r="N32" s="40">
        <v>1629.027</v>
      </c>
      <c r="O32" s="40">
        <v>4589.2804000000006</v>
      </c>
      <c r="P32" s="40">
        <v>1737.5148359489976</v>
      </c>
      <c r="Q32" s="40">
        <v>17085.615100000003</v>
      </c>
      <c r="R32" s="40">
        <v>2531.442</v>
      </c>
      <c r="S32" s="40">
        <v>0</v>
      </c>
      <c r="T32" s="40">
        <v>2529.3098227275568</v>
      </c>
      <c r="U32" s="40">
        <v>36</v>
      </c>
      <c r="V32" s="40">
        <v>2534.5554000000002</v>
      </c>
      <c r="W32" s="76">
        <f t="shared" si="0"/>
        <v>696870.17215867678</v>
      </c>
      <c r="X32" s="36"/>
      <c r="Y32" s="147">
        <v>1752.5056039999997</v>
      </c>
      <c r="Z32" s="38"/>
      <c r="AA32" s="43"/>
      <c r="AB32" s="36"/>
      <c r="AC32" s="76">
        <f t="shared" si="3"/>
        <v>698622.67776267673</v>
      </c>
      <c r="AD32" s="2"/>
      <c r="AE32" s="165"/>
      <c r="AF32" s="189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s="45" customFormat="1" ht="20.100000000000001" customHeight="1" thickTop="1" thickBot="1" x14ac:dyDescent="0.25">
      <c r="A33" s="148" t="s">
        <v>21</v>
      </c>
      <c r="B33" s="149">
        <f t="shared" ref="B33:H33" si="4">SUM(B10:B32)</f>
        <v>45578090.985599995</v>
      </c>
      <c r="C33" s="149">
        <f t="shared" si="4"/>
        <v>7869067.0316999983</v>
      </c>
      <c r="D33" s="79">
        <f>SUM(D10:D32)</f>
        <v>53447158.017300002</v>
      </c>
      <c r="E33" s="149">
        <f t="shared" si="4"/>
        <v>1284.1896000000004</v>
      </c>
      <c r="F33" s="79">
        <f t="shared" si="4"/>
        <v>53448442.206900001</v>
      </c>
      <c r="G33" s="149">
        <f t="shared" si="4"/>
        <v>0</v>
      </c>
      <c r="H33" s="149">
        <f t="shared" si="4"/>
        <v>0</v>
      </c>
      <c r="I33" s="149">
        <f t="shared" ref="I33:V33" si="5">SUM(I10:I32)</f>
        <v>0</v>
      </c>
      <c r="J33" s="149">
        <f t="shared" si="5"/>
        <v>1044216.3420000003</v>
      </c>
      <c r="K33" s="149">
        <f t="shared" si="5"/>
        <v>121903.8903</v>
      </c>
      <c r="L33" s="149">
        <f t="shared" si="5"/>
        <v>3.7101000000000006</v>
      </c>
      <c r="M33" s="149">
        <f t="shared" si="5"/>
        <v>411916.20039999997</v>
      </c>
      <c r="N33" s="149">
        <f t="shared" si="5"/>
        <v>133759.70340000003</v>
      </c>
      <c r="O33" s="149">
        <f t="shared" si="5"/>
        <v>267578.92210000008</v>
      </c>
      <c r="P33" s="149">
        <f t="shared" si="5"/>
        <v>42936.3740493</v>
      </c>
      <c r="Q33" s="149">
        <f t="shared" si="5"/>
        <v>637313.85290000006</v>
      </c>
      <c r="R33" s="149">
        <f t="shared" si="5"/>
        <v>93734.575500000006</v>
      </c>
      <c r="S33" s="149">
        <f t="shared" si="5"/>
        <v>0</v>
      </c>
      <c r="T33" s="149">
        <f t="shared" si="5"/>
        <v>62502.713876229995</v>
      </c>
      <c r="U33" s="149">
        <f t="shared" si="5"/>
        <v>549.59999999999991</v>
      </c>
      <c r="V33" s="149">
        <f t="shared" si="5"/>
        <v>208112.81530000002</v>
      </c>
      <c r="W33" s="79">
        <f>SUM(W10:W32)</f>
        <v>56472970.906825528</v>
      </c>
      <c r="X33" s="150"/>
      <c r="Y33" s="79">
        <f>SUM(Y10:Y32)</f>
        <v>2502022.2543286011</v>
      </c>
      <c r="Z33" s="38"/>
      <c r="AA33" s="151"/>
      <c r="AB33" s="46"/>
      <c r="AC33" s="77">
        <f>SUM(AC10:AC32)</f>
        <v>58974993.161154136</v>
      </c>
      <c r="AD33" s="46"/>
      <c r="AE33" s="165"/>
      <c r="AF33" s="189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ht="15" customHeight="1" thickTop="1" x14ac:dyDescent="0.25">
      <c r="A34" s="146" t="s">
        <v>20</v>
      </c>
      <c r="B34" s="40">
        <v>871055.12569999986</v>
      </c>
      <c r="C34" s="40">
        <v>430761.07890000002</v>
      </c>
      <c r="D34" s="76">
        <f t="shared" si="1"/>
        <v>1301816.2045999998</v>
      </c>
      <c r="E34" s="40">
        <v>0</v>
      </c>
      <c r="F34" s="76">
        <f t="shared" ref="F34:F39" si="6">SUM(D34:E34)</f>
        <v>1301816.2045999998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0.12060000000000001</v>
      </c>
      <c r="M34" s="40">
        <v>0</v>
      </c>
      <c r="N34" s="40">
        <v>0</v>
      </c>
      <c r="O34" s="40">
        <v>0</v>
      </c>
      <c r="P34" s="40">
        <v>0</v>
      </c>
      <c r="Q34" s="40">
        <v>8381.6225999999988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76">
        <f>SUM(F34:V34)</f>
        <v>1310197.9477999997</v>
      </c>
      <c r="X34" s="36"/>
      <c r="Y34" s="147"/>
      <c r="Z34" s="38"/>
      <c r="AA34" s="43"/>
      <c r="AB34" s="36"/>
      <c r="AC34" s="76">
        <f>+W34+Y34+AA34</f>
        <v>1310197.9477999997</v>
      </c>
      <c r="AD34" s="2"/>
      <c r="AE34" s="165"/>
      <c r="AF34" s="189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" customHeight="1" x14ac:dyDescent="0.25">
      <c r="A35" s="146" t="s">
        <v>19</v>
      </c>
      <c r="B35" s="40">
        <v>549.6</v>
      </c>
      <c r="C35" s="40">
        <v>0</v>
      </c>
      <c r="D35" s="76">
        <f t="shared" si="1"/>
        <v>549.6</v>
      </c>
      <c r="E35" s="40">
        <v>0</v>
      </c>
      <c r="F35" s="76">
        <f t="shared" si="6"/>
        <v>549.6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76"/>
      <c r="X35" s="36"/>
      <c r="Y35" s="147"/>
      <c r="Z35" s="38"/>
      <c r="AA35" s="43"/>
      <c r="AB35" s="36"/>
      <c r="AC35" s="76">
        <f t="shared" si="3"/>
        <v>0</v>
      </c>
      <c r="AD35" s="2"/>
      <c r="AE35" s="165"/>
      <c r="AF35" s="189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" customHeight="1" x14ac:dyDescent="0.25">
      <c r="A36" s="146" t="s">
        <v>18</v>
      </c>
      <c r="B36" s="40">
        <v>37417917.190699995</v>
      </c>
      <c r="C36" s="40">
        <v>0</v>
      </c>
      <c r="D36" s="76">
        <f t="shared" si="1"/>
        <v>37417917.190699995</v>
      </c>
      <c r="E36" s="40">
        <v>0</v>
      </c>
      <c r="F36" s="76">
        <f t="shared" si="6"/>
        <v>37417917.190699995</v>
      </c>
      <c r="G36" s="40">
        <v>0</v>
      </c>
      <c r="H36" s="40">
        <v>0</v>
      </c>
      <c r="I36" s="40">
        <v>0</v>
      </c>
      <c r="J36" s="40">
        <v>756472.00580000004</v>
      </c>
      <c r="K36" s="40">
        <v>0</v>
      </c>
      <c r="L36" s="40">
        <v>1.8571</v>
      </c>
      <c r="M36" s="40">
        <v>0</v>
      </c>
      <c r="N36" s="40">
        <v>0</v>
      </c>
      <c r="O36" s="40">
        <v>444943.46259999997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76">
        <f>SUM(F36:V36)</f>
        <v>38619334.516199999</v>
      </c>
      <c r="X36" s="36"/>
      <c r="Y36" s="147">
        <v>-2502022.2543286006</v>
      </c>
      <c r="Z36" s="38"/>
      <c r="AA36" s="43"/>
      <c r="AB36" s="36"/>
      <c r="AC36" s="76">
        <f>+W36+Y36+AA36</f>
        <v>36117312.261871397</v>
      </c>
      <c r="AD36" s="2"/>
      <c r="AE36" s="165"/>
      <c r="AF36" s="189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" customHeight="1" x14ac:dyDescent="0.25">
      <c r="A37" s="146" t="s">
        <v>17</v>
      </c>
      <c r="B37" s="40">
        <v>0</v>
      </c>
      <c r="C37" s="40">
        <v>0</v>
      </c>
      <c r="D37" s="76">
        <f t="shared" si="1"/>
        <v>0</v>
      </c>
      <c r="E37" s="40">
        <v>0</v>
      </c>
      <c r="F37" s="76">
        <f t="shared" si="6"/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6138451.0733999992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484592.18150000001</v>
      </c>
      <c r="W37" s="76">
        <f>SUM(F37:V37)</f>
        <v>6623043.2548999991</v>
      </c>
      <c r="X37" s="36"/>
      <c r="Y37" s="147"/>
      <c r="Z37" s="38"/>
      <c r="AA37" s="43"/>
      <c r="AB37" s="36"/>
      <c r="AC37" s="76">
        <f t="shared" si="3"/>
        <v>6623043.2548999991</v>
      </c>
      <c r="AD37" s="2"/>
      <c r="AE37" s="165"/>
      <c r="AF37" s="189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" customHeight="1" thickBot="1" x14ac:dyDescent="0.3">
      <c r="A38" s="152" t="s">
        <v>16</v>
      </c>
      <c r="B38" s="40">
        <v>929868.71750000014</v>
      </c>
      <c r="C38" s="40">
        <v>0</v>
      </c>
      <c r="D38" s="75">
        <f t="shared" si="1"/>
        <v>929868.71750000014</v>
      </c>
      <c r="E38" s="40">
        <v>0</v>
      </c>
      <c r="F38" s="75">
        <f t="shared" si="6"/>
        <v>929868.71750000014</v>
      </c>
      <c r="G38" s="40">
        <v>0</v>
      </c>
      <c r="H38" s="40">
        <v>0</v>
      </c>
      <c r="I38" s="40">
        <v>0</v>
      </c>
      <c r="J38" s="40">
        <v>18166.955000000002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75">
        <f>SUM(F38:V38)</f>
        <v>948035.6725000001</v>
      </c>
      <c r="X38" s="36"/>
      <c r="Y38" s="153"/>
      <c r="Z38" s="38"/>
      <c r="AA38" s="43"/>
      <c r="AB38" s="36"/>
      <c r="AC38" s="75">
        <f t="shared" si="3"/>
        <v>948035.6725000001</v>
      </c>
      <c r="AD38" s="2"/>
      <c r="AE38" s="165"/>
      <c r="AF38" s="189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45" customFormat="1" ht="20.100000000000001" customHeight="1" thickTop="1" thickBot="1" x14ac:dyDescent="0.25">
      <c r="A39" s="154" t="s">
        <v>15</v>
      </c>
      <c r="B39" s="149">
        <f>SUM(B33:B38)</f>
        <v>84797481.619499981</v>
      </c>
      <c r="C39" s="149">
        <f>+C33+C34</f>
        <v>8299828.1105999984</v>
      </c>
      <c r="D39" s="149">
        <f>SUM(D33:D38)</f>
        <v>93097309.730100006</v>
      </c>
      <c r="E39" s="149">
        <f>SUM(E33:E38)</f>
        <v>1284.1896000000004</v>
      </c>
      <c r="F39" s="149">
        <f t="shared" si="6"/>
        <v>93098593.919700012</v>
      </c>
      <c r="G39" s="149">
        <f>SUM(G33:G38)</f>
        <v>0</v>
      </c>
      <c r="H39" s="149">
        <f>SUM(H33:H38)</f>
        <v>0</v>
      </c>
      <c r="I39" s="149">
        <f t="shared" ref="I39:V39" si="7">SUM(I33:I38)</f>
        <v>0</v>
      </c>
      <c r="J39" s="149">
        <f t="shared" si="7"/>
        <v>1818855.3028000004</v>
      </c>
      <c r="K39" s="149">
        <f t="shared" si="7"/>
        <v>121903.8903</v>
      </c>
      <c r="L39" s="149">
        <f t="shared" si="7"/>
        <v>5.6878000000000011</v>
      </c>
      <c r="M39" s="149">
        <f t="shared" si="7"/>
        <v>6550367.2737999987</v>
      </c>
      <c r="N39" s="149">
        <f t="shared" si="7"/>
        <v>133759.70340000003</v>
      </c>
      <c r="O39" s="149">
        <f t="shared" si="7"/>
        <v>712522.38470000005</v>
      </c>
      <c r="P39" s="149">
        <f t="shared" si="7"/>
        <v>42936.3740493</v>
      </c>
      <c r="Q39" s="149">
        <f t="shared" si="7"/>
        <v>645695.47550000006</v>
      </c>
      <c r="R39" s="149">
        <f t="shared" si="7"/>
        <v>93734.575500000006</v>
      </c>
      <c r="S39" s="149">
        <f t="shared" si="7"/>
        <v>0</v>
      </c>
      <c r="T39" s="149">
        <f t="shared" si="7"/>
        <v>62502.713876229995</v>
      </c>
      <c r="U39" s="149">
        <f t="shared" si="7"/>
        <v>549.59999999999991</v>
      </c>
      <c r="V39" s="149">
        <f t="shared" si="7"/>
        <v>692704.99680000008</v>
      </c>
      <c r="W39" s="149">
        <f>+SUM(W33:W38)</f>
        <v>103973582.29822552</v>
      </c>
      <c r="X39" s="46"/>
      <c r="Y39" s="155">
        <f>+Y33+SUM(Y34:Y38)</f>
        <v>0</v>
      </c>
      <c r="Z39" s="38"/>
      <c r="AA39" s="156"/>
      <c r="AB39" s="46"/>
      <c r="AC39" s="157">
        <f>+SUM(AC33:AC38)</f>
        <v>103973582.29822552</v>
      </c>
      <c r="AD39" s="46"/>
      <c r="AE39" s="165"/>
      <c r="AF39" s="189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</row>
    <row r="40" spans="1:52" ht="32.25" customHeight="1" thickTop="1" x14ac:dyDescent="0.2">
      <c r="A40" s="11" t="s">
        <v>103</v>
      </c>
      <c r="B40" s="1" t="s">
        <v>12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2"/>
      <c r="Y40" s="34"/>
      <c r="Z40" s="2"/>
      <c r="AA40" s="34"/>
      <c r="AB40" s="2"/>
      <c r="AC40" s="3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" customHeight="1" x14ac:dyDescent="0.2">
      <c r="B41" s="1" t="s">
        <v>10</v>
      </c>
      <c r="C41" s="2"/>
      <c r="D41" s="2"/>
      <c r="E41" s="2"/>
      <c r="F41" s="2"/>
      <c r="G41" s="2"/>
      <c r="H41" s="2"/>
      <c r="I41" s="2"/>
      <c r="J41" s="2"/>
      <c r="K41" s="3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3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" customHeight="1" x14ac:dyDescent="0.2">
      <c r="A42" s="2"/>
      <c r="B42" s="1" t="s">
        <v>104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" customHeight="1" x14ac:dyDescent="0.2">
      <c r="A43" s="2"/>
      <c r="B43" s="1" t="s">
        <v>115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5" customHeight="1" x14ac:dyDescent="0.2">
      <c r="A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s="2" customFormat="1" ht="15" customHeight="1" x14ac:dyDescent="0.2">
      <c r="B45" s="1"/>
      <c r="C45" s="219"/>
      <c r="W45" s="11"/>
      <c r="Y45" s="11"/>
      <c r="AA45" s="13" t="s">
        <v>1</v>
      </c>
    </row>
    <row r="46" spans="1:52" s="2" customFormat="1" ht="15" customHeight="1" x14ac:dyDescent="0.2">
      <c r="A46" s="1" t="s">
        <v>0</v>
      </c>
      <c r="B46" s="1"/>
      <c r="C46" s="219"/>
      <c r="W46" s="11"/>
      <c r="Y46" s="11"/>
      <c r="AA46" s="13"/>
    </row>
    <row r="47" spans="1:52" s="2" customFormat="1" ht="15" customHeight="1" x14ac:dyDescent="0.2">
      <c r="A47" s="220" t="s">
        <v>120</v>
      </c>
      <c r="B47" s="1"/>
      <c r="C47" s="219"/>
      <c r="W47" s="11"/>
      <c r="Y47" s="11"/>
      <c r="AA47" s="13"/>
      <c r="AC47" s="221"/>
    </row>
    <row r="48" spans="1:52" s="2" customFormat="1" ht="15" customHeight="1" thickBot="1" x14ac:dyDescent="0.25">
      <c r="A48" s="158" t="s">
        <v>106</v>
      </c>
      <c r="C48" s="219"/>
      <c r="V48" s="9"/>
      <c r="W48" s="9"/>
      <c r="X48" s="9"/>
      <c r="Y48" s="9"/>
      <c r="Z48" s="9"/>
      <c r="AA48" s="9"/>
      <c r="AB48" s="9"/>
      <c r="AC48" s="9"/>
      <c r="AE48" s="222"/>
    </row>
    <row r="49" spans="1:52" s="2" customFormat="1" ht="15" customHeight="1" x14ac:dyDescent="0.2">
      <c r="A49" s="213" t="s">
        <v>96</v>
      </c>
      <c r="B49" s="159"/>
      <c r="C49" s="160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</row>
    <row r="50" spans="1:52" s="2" customFormat="1" ht="15" customHeight="1" x14ac:dyDescent="0.2">
      <c r="B50" s="1"/>
      <c r="C50" s="219"/>
    </row>
    <row r="51" spans="1:52" s="2" customFormat="1" ht="15" customHeight="1" x14ac:dyDescent="0.2">
      <c r="B51" s="1"/>
      <c r="C51" s="219"/>
    </row>
    <row r="52" spans="1:52" s="2" customFormat="1" ht="15" customHeight="1" x14ac:dyDescent="0.2">
      <c r="A52" s="176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4"/>
      <c r="Y52" s="164"/>
      <c r="Z52" s="164"/>
      <c r="AA52" s="164"/>
      <c r="AB52" s="164"/>
      <c r="AC52" s="164"/>
    </row>
    <row r="53" spans="1:52" s="2" customFormat="1" ht="15" customHeight="1" x14ac:dyDescent="0.2">
      <c r="A53" s="176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</row>
    <row r="54" spans="1:52" s="2" customFormat="1" ht="15" customHeight="1" x14ac:dyDescent="0.2">
      <c r="A54" s="176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76"/>
      <c r="Y54" s="168"/>
      <c r="Z54" s="176"/>
      <c r="AA54" s="176"/>
      <c r="AB54" s="176"/>
      <c r="AC54" s="168"/>
    </row>
    <row r="55" spans="1:52" s="2" customFormat="1" ht="15" customHeight="1" x14ac:dyDescent="0.2">
      <c r="A55" s="176"/>
      <c r="B55" s="176"/>
      <c r="C55" s="232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</row>
    <row r="56" spans="1:52" s="2" customFormat="1" ht="15" customHeight="1" x14ac:dyDescent="0.2">
      <c r="A56" s="176"/>
      <c r="B56" s="164"/>
      <c r="C56" s="214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</row>
    <row r="57" spans="1:52" ht="15" customHeight="1" x14ac:dyDescent="0.2">
      <c r="A57" s="2"/>
      <c r="B57" s="2"/>
      <c r="C57" s="2"/>
      <c r="D57" s="2"/>
      <c r="E57" s="2"/>
      <c r="F57" s="210"/>
      <c r="G57" s="210"/>
      <c r="H57" s="210"/>
      <c r="I57" s="210"/>
      <c r="J57" s="211"/>
      <c r="K57" s="210"/>
      <c r="L57" s="210"/>
      <c r="M57" s="210"/>
      <c r="N57" s="210"/>
      <c r="V57" s="13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13"/>
      <c r="X58" s="2"/>
      <c r="Z58" s="2"/>
      <c r="AB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5" customHeight="1" x14ac:dyDescent="0.2">
      <c r="A59" s="2"/>
      <c r="B59" s="2"/>
      <c r="C59" s="2"/>
      <c r="D59" s="2"/>
      <c r="E59" s="2"/>
      <c r="W59" s="11"/>
      <c r="X59" s="2"/>
      <c r="Z59" s="2"/>
      <c r="AA59" s="3"/>
      <c r="AB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W60" s="11"/>
      <c r="X60" s="2"/>
      <c r="Z60" s="2"/>
      <c r="AA60" s="3"/>
      <c r="AB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W61" s="11"/>
      <c r="X61" s="2"/>
      <c r="Z61" s="2"/>
      <c r="AA61" s="3"/>
      <c r="AB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11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5" customHeight="1" x14ac:dyDescent="0.2">
      <c r="W78" s="2"/>
      <c r="X78" s="2"/>
      <c r="Y78" s="2"/>
      <c r="Z78" s="2"/>
      <c r="AA78" s="2"/>
      <c r="AB78" s="2"/>
      <c r="AC78" s="2"/>
    </row>
    <row r="79" spans="1:52" ht="15" customHeight="1" x14ac:dyDescent="0.2"/>
    <row r="80" spans="1:52" ht="15" customHeight="1" x14ac:dyDescent="0.2"/>
  </sheetData>
  <mergeCells count="5">
    <mergeCell ref="G6:I7"/>
    <mergeCell ref="R6:T6"/>
    <mergeCell ref="R7:T7"/>
    <mergeCell ref="P8:P9"/>
    <mergeCell ref="T8:T9"/>
  </mergeCells>
  <printOptions horizontalCentered="1" verticalCentered="1" gridLinesSet="0"/>
  <pageMargins left="0" right="0" top="0" bottom="0" header="0" footer="0"/>
  <pageSetup paperSize="5" scale="18" pageOrder="overThenDown" orientation="landscape" horizontalDpi="4294967294" verticalDpi="4294967294" r:id="rId1"/>
  <headerFooter alignWithMargins="0"/>
  <ignoredErrors>
    <ignoredError sqref="W33 D33 F39 C39 AC33" formula="1"/>
    <ignoredError sqref="Y9 W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CONS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placun</dc:creator>
  <cp:lastModifiedBy>placun</cp:lastModifiedBy>
  <dcterms:created xsi:type="dcterms:W3CDTF">2024-05-28T20:15:25Z</dcterms:created>
  <dcterms:modified xsi:type="dcterms:W3CDTF">2025-12-30T18:29:18Z</dcterms:modified>
</cp:coreProperties>
</file>