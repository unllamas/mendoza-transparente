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DEUDA\Publicaciones Internet\deuda\stock\consolidado\2025\"/>
    </mc:Choice>
  </mc:AlternateContent>
  <xr:revisionPtr revIDLastSave="0" documentId="13_ncr:1_{6964254B-9BC5-4DD4-B3FF-B4A222819241}" xr6:coauthVersionLast="47" xr6:coauthVersionMax="47" xr10:uidLastSave="{00000000-0000-0000-0000-000000000000}"/>
  <bookViews>
    <workbookView xWindow="28680" yWindow="2490" windowWidth="24240" windowHeight="13140" xr2:uid="{00D17C4A-AFE8-4449-B24A-BF55664E9DC5}"/>
  </bookViews>
  <sheets>
    <sheet name="Dic-25 millones" sheetId="1" r:id="rId1"/>
  </sheets>
  <definedNames>
    <definedName name="_xlnm.Print_Area" localSheetId="0">'Dic-25 millones'!$A$1:$I$45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5" i="1" l="1"/>
  <c r="B14" i="1"/>
  <c r="B37" i="1" l="1"/>
  <c r="B36" i="1"/>
  <c r="B34" i="1"/>
  <c r="B33" i="1"/>
  <c r="B32" i="1"/>
  <c r="B31" i="1"/>
  <c r="B30" i="1"/>
  <c r="B29" i="1"/>
  <c r="B28" i="1"/>
  <c r="B27" i="1"/>
  <c r="B26" i="1"/>
  <c r="B25" i="1"/>
  <c r="B23" i="1"/>
  <c r="B22" i="1"/>
  <c r="B21" i="1"/>
  <c r="B20" i="1"/>
  <c r="B19" i="1"/>
  <c r="B18" i="1"/>
  <c r="B17" i="1"/>
  <c r="B16" i="1"/>
  <c r="B15" i="1"/>
  <c r="I13" i="1"/>
  <c r="H13" i="1"/>
  <c r="G13" i="1"/>
  <c r="F13" i="1"/>
  <c r="E13" i="1"/>
  <c r="D13" i="1"/>
  <c r="C13" i="1"/>
  <c r="B13" i="1" l="1"/>
</calcChain>
</file>

<file path=xl/sharedStrings.xml><?xml version="1.0" encoding="utf-8"?>
<sst xmlns="http://schemas.openxmlformats.org/spreadsheetml/2006/main" count="41" uniqueCount="41">
  <si>
    <t>en millones de pesos</t>
  </si>
  <si>
    <t>Jurisdicción</t>
  </si>
  <si>
    <t>Total sin deuda flotante</t>
  </si>
  <si>
    <t>Gobierno Nacional</t>
  </si>
  <si>
    <t>FFFIR</t>
  </si>
  <si>
    <t>FFDP</t>
  </si>
  <si>
    <t>Bancos</t>
  </si>
  <si>
    <t>Deuda consolidada</t>
  </si>
  <si>
    <t>Bonos
(2)</t>
  </si>
  <si>
    <t>Organismos Internacionales</t>
  </si>
  <si>
    <t xml:space="preserve">TOTAL </t>
  </si>
  <si>
    <t>Buenos Aires</t>
  </si>
  <si>
    <t>Catamarca</t>
  </si>
  <si>
    <t>Córdoba</t>
  </si>
  <si>
    <t>Corrientes</t>
  </si>
  <si>
    <t>Chaco</t>
  </si>
  <si>
    <t>Chubut</t>
  </si>
  <si>
    <t>Entre Ríos</t>
  </si>
  <si>
    <t>Formosa</t>
  </si>
  <si>
    <t>CABA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</si>
  <si>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</si>
  <si>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</si>
  <si>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</si>
  <si>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</si>
  <si>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</si>
  <si>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</si>
  <si>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</si>
  <si>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</si>
  <si>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</si>
  <si>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</si>
  <si>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</si>
  <si>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Fé</t>
  </si>
  <si>
    <t>Santiago del Estero</t>
  </si>
  <si>
    <t>Tierra del Fuego</t>
  </si>
  <si>
    <t>Tucumán</t>
  </si>
  <si>
    <t>Notas:</t>
  </si>
  <si>
    <t>1).-Todos los datos son preliminares y se encuentran sujetos a revisión. No se incluye la Deuda Flotante ni Contingente.</t>
  </si>
  <si>
    <t>2).- Bonos expresados a Valor Residual.</t>
  </si>
  <si>
    <t>3).- La información publicada es la que fuera remitida por la Provincia.</t>
  </si>
  <si>
    <t>SUBSECRETARÍA DE COORDINACIÓN FISCAL PROVINCIAL</t>
  </si>
  <si>
    <t>STOCK DE DEUDA PROVINCIAL AL 31 DE DICIEMBRE DE 2025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</si>
</sst>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 \-0;\ \-;\ @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252C4F"/>
      <name val="Roboto"/>
    </font>
    <font>
      <sz val="10"/>
      <name val="Roboto"/>
    </font>
    <font>
      <b/>
      <sz val="14"/>
      <name val="Roboto"/>
    </font>
    <font>
      <b/>
      <sz val="11"/>
      <color indexed="8"/>
      <name val="Roboto"/>
    </font>
    <font>
      <b/>
      <sz val="11"/>
      <color indexed="56"/>
      <name val="Roboto"/>
    </font>
    <font>
      <sz val="11"/>
      <color indexed="56"/>
      <name val="Roboto"/>
    </font>
    <font>
      <b/>
      <sz val="11"/>
      <color theme="0"/>
      <name val="Roboto"/>
    </font>
    <font>
      <b/>
      <sz val="11"/>
      <name val="Roboto"/>
    </font>
    <font>
      <sz val="11"/>
      <color indexed="8"/>
      <name val="Roboto"/>
    </font>
    <font>
      <b/>
      <i/>
      <sz val="8"/>
      <name val="Roboto"/>
    </font>
    <font>
      <b/>
      <sz val="8"/>
      <color indexed="8"/>
      <name val="Roboto"/>
    </font>
    <font>
      <sz val="10"/>
      <color indexed="56"/>
      <name val="Roboto"/>
    </font>
    <font>
      <b/>
      <u/>
      <sz val="11"/>
      <color indexed="8"/>
      <name val="Roboto"/>
    </font>
    <font>
      <sz val="11"/>
      <name val="Roboto"/>
    </font>
    <font>
      <sz val="8"/>
      <name val="Roboto"/>
    </font>
    <font>
      <b/>
      <sz val="10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52C4F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7">
    <xf numFmtId="0" fontId="0" fillId="0" borderId="0" xfId="0"/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6" fillId="2" borderId="0" xfId="1" applyFont="1" applyFill="1" applyAlignment="1">
      <alignment horizontal="center"/>
    </xf>
    <xf numFmtId="3" fontId="7" fillId="2" borderId="0" xfId="1" applyNumberFormat="1" applyFont="1" applyFill="1" applyAlignment="1">
      <alignment horizontal="center"/>
    </xf>
    <xf numFmtId="0" fontId="3" fillId="2" borderId="0" xfId="1" applyFont="1" applyFill="1" applyAlignment="1">
      <alignment horizontal="center"/>
    </xf>
    <xf numFmtId="0" fontId="8" fillId="3" borderId="1" xfId="1" applyFont="1" applyFill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/>
    </xf>
    <xf numFmtId="164" fontId="9" fillId="4" borderId="2" xfId="2" applyNumberFormat="1" applyFont="1" applyFill="1" applyBorder="1" applyAlignment="1">
      <alignment horizontal="center" vertical="center"/>
    </xf>
    <xf numFmtId="0" fontId="5" fillId="0" borderId="3" xfId="1" applyFont="1" applyBorder="1" applyAlignment="1">
      <alignment horizontal="left"/>
    </xf>
    <xf numFmtId="164" fontId="10" fillId="2" borderId="4" xfId="1" applyNumberFormat="1" applyFont="1" applyFill="1" applyBorder="1" applyAlignment="1">
      <alignment horizontal="center" vertical="center"/>
    </xf>
    <xf numFmtId="3" fontId="3" fillId="2" borderId="0" xfId="1" applyNumberFormat="1" applyFont="1" applyFill="1"/>
    <xf numFmtId="0" fontId="5" fillId="2" borderId="3" xfId="1" applyFont="1" applyFill="1" applyBorder="1" applyAlignment="1">
      <alignment horizontal="left"/>
    </xf>
    <xf numFmtId="0" fontId="11" fillId="2" borderId="0" xfId="1" applyFont="1" applyFill="1"/>
    <xf numFmtId="0" fontId="12" fillId="2" borderId="0" xfId="1" applyFont="1" applyFill="1" applyAlignment="1">
      <alignment horizontal="center"/>
    </xf>
    <xf numFmtId="3" fontId="13" fillId="2" borderId="0" xfId="1" applyNumberFormat="1" applyFont="1" applyFill="1"/>
    <xf numFmtId="0" fontId="14" fillId="2" borderId="0" xfId="1" applyFont="1" applyFill="1"/>
    <xf numFmtId="0" fontId="15" fillId="2" borderId="0" xfId="1" applyFont="1" applyFill="1"/>
    <xf numFmtId="0" fontId="16" fillId="2" borderId="0" xfId="1" applyFont="1" applyFill="1"/>
    <xf numFmtId="0" fontId="17" fillId="2" borderId="0" xfId="1" applyFont="1" applyFill="1" applyAlignment="1">
      <alignment horizontal="center"/>
    </xf>
    <xf numFmtId="0" fontId="3" fillId="2" borderId="5" xfId="1" applyFont="1" applyFill="1" applyBorder="1"/>
    <xf numFmtId="0" fontId="3" fillId="0" borderId="0" xfId="2" applyFont="1"/>
    <xf numFmtId="0" fontId="17" fillId="0" borderId="0" xfId="2" applyFont="1" applyAlignment="1">
      <alignment horizontal="left"/>
    </xf>
    <xf numFmtId="164" fontId="3" fillId="2" borderId="0" xfId="1" applyNumberFormat="1" applyFont="1" applyFill="1"/>
    <xf numFmtId="0" fontId="4" fillId="2" borderId="0" xfId="1" applyFont="1" applyFill="1" applyAlignment="1">
      <alignment horizontal="center" vertical="center"/>
    </xf>
    <xf numFmtId="0" fontId="3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</cellXfs>
  <cellStyles count="3">
    <cellStyle name="Normal" xfId="0" builtinId="0"/>
    <cellStyle name="Normal 2" xfId="1" xr:uid="{70DFBBEF-1618-4F82-A40C-17A8BA04D41F}"/>
    <cellStyle name="Normal_Hoja1" xfId="2" xr:uid="{80FEE10F-321E-47EE-B8C2-2C38BFFC71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28575</xdr:rowOff>
    </xdr:from>
    <xdr:to>
      <xdr:col>1</xdr:col>
      <xdr:colOff>21216</xdr:colOff>
      <xdr:row>9</xdr:row>
      <xdr:rowOff>28575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EA7D656B-4B7D-4714-9163-744CE273DF3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0" y="190500"/>
          <a:ext cx="1659516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FDAC-63E5-45DA-AC11-B1363B5BB12B}">
  <sheetPr>
    <pageSetUpPr fitToPage="1"/>
  </sheetPr>
  <dimension ref="A4:CR44"/>
  <sheetViews>
    <sheetView tabSelected="1" topLeftCell="A10" workbookViewId="0">
      <selection activeCell="B35" sqref="B35"/>
    </sheetView>
  </sheetViews>
  <sheetFormatPr baseColWidth="10" defaultColWidth="11.42578125" defaultRowHeight="12.75" x14ac:dyDescent="0.2"/>
  <cols>
    <col min="1" max="1" width="24.5703125" style="2" customWidth="1"/>
    <col min="2" max="8" width="19.5703125" style="2" customWidth="1"/>
    <col min="9" max="9" width="21.85546875" style="2" customWidth="1"/>
    <col min="10" max="16384" width="11.42578125" style="2"/>
  </cols>
  <sheetData>
    <row r="4" spans="1:12" x14ac:dyDescent="0.2">
      <c r="A4" s="1"/>
      <c r="B4" s="1"/>
      <c r="C4" s="1"/>
      <c r="D4" s="1"/>
      <c r="E4" s="1"/>
      <c r="F4" s="1"/>
      <c r="G4" s="1"/>
      <c r="H4" s="1"/>
      <c r="I4" s="1"/>
    </row>
    <row r="9" spans="1:12" ht="18.75" x14ac:dyDescent="0.2">
      <c r="A9" s="24" t="s">
        <v>40</v>
      </c>
      <c r="B9" s="24"/>
      <c r="C9" s="24"/>
      <c r="D9" s="24"/>
      <c r="E9" s="24"/>
      <c r="F9" s="24"/>
      <c r="G9" s="24"/>
      <c r="H9" s="24"/>
      <c r="I9" s="24"/>
      <c r="K9" s="25"/>
      <c r="L9" s="25"/>
    </row>
    <row r="10" spans="1:12" ht="15" x14ac:dyDescent="0.25">
      <c r="A10" s="26" t="s">
        <v>0</v>
      </c>
      <c r="B10" s="26"/>
      <c r="C10" s="26"/>
      <c r="D10" s="26"/>
      <c r="E10" s="26"/>
      <c r="F10" s="26"/>
      <c r="G10" s="26"/>
      <c r="H10" s="26"/>
      <c r="I10" s="26"/>
      <c r="K10" s="25"/>
      <c r="L10" s="25"/>
    </row>
    <row r="11" spans="1:12" s="5" customFormat="1" ht="15" x14ac:dyDescent="0.25">
      <c r="A11" s="3"/>
      <c r="B11" s="4"/>
      <c r="C11" s="4"/>
      <c r="D11" s="4"/>
      <c r="E11" s="4"/>
      <c r="F11" s="4"/>
      <c r="G11" s="4"/>
      <c r="H11" s="4"/>
      <c r="I11" s="4"/>
    </row>
    <row r="12" spans="1:12" ht="30" x14ac:dyDescent="0.2">
      <c r="A12" s="6" t="s">
        <v>1</v>
      </c>
      <c r="B12" s="6" t="s">
        <v>2</v>
      </c>
      <c r="C12" s="6" t="s">
        <v>3</v>
      </c>
      <c r="D12" s="6" t="s">
        <v>4</v>
      </c>
      <c r="E12" s="6" t="s">
        <v>5</v>
      </c>
      <c r="F12" s="6" t="s">
        <v>6</v>
      </c>
      <c r="G12" s="6" t="s">
        <v>7</v>
      </c>
      <c r="H12" s="6" t="s">
        <v>8</v>
      </c>
      <c r="I12" s="6" t="s">
        <v>9</v>
      </c>
    </row>
    <row r="13" spans="1:12" ht="15" x14ac:dyDescent="0.25">
      <c r="A13" s="7" t="s">
        <v>10</v>
      </c>
      <c r="B13" s="8">
        <f t="shared" ref="B13:I13" si="0">SUM(B14:B37)</f>
        <v>33785438.890670396</v>
      </c>
      <c r="C13" s="8">
        <f t="shared" si="0"/>
        <v>577573.73259798612</v>
      </c>
      <c r="D13" s="8">
        <f t="shared" si="0"/>
        <v>184152.23514729325</v>
      </c>
      <c r="E13" s="8">
        <f t="shared" si="0"/>
        <v>0</v>
      </c>
      <c r="F13" s="8">
        <f t="shared" si="0"/>
        <v>1114844.5867998174</v>
      </c>
      <c r="G13" s="8">
        <f t="shared" si="0"/>
        <v>44112.363530830888</v>
      </c>
      <c r="H13" s="8">
        <f t="shared" si="0"/>
        <v>24985442.57658932</v>
      </c>
      <c r="I13" s="8">
        <f t="shared" si="0"/>
        <v>6879313.3960051564</v>
      </c>
      <c r="J13" s="23"/>
    </row>
    <row r="14" spans="1:12" ht="15" x14ac:dyDescent="0.25">
      <c r="A14" s="9" t="s">
        <v>11</v>
      </c>
      <c r="B14" s="8">
        <f t="shared" ref="B14" si="1">+C14+D14+E14+F14+G14+H14+I14</f>
        <v>17920937.47083224</v>
      </c>
      <c r="C14" s="10">
        <v>0</v>
      </c>
      <c r="D14" s="10">
        <v>3769.8605595229078</v>
      </c>
      <c r="E14" s="10">
        <v>0</v>
      </c>
      <c r="F14" s="10">
        <v>80595.270361174611</v>
      </c>
      <c r="G14" s="10">
        <v>0</v>
      </c>
      <c r="H14" s="10">
        <v>14618202.682945885</v>
      </c>
      <c r="I14" s="10">
        <v>3218369.6569656567</v>
      </c>
      <c r="J14" s="23"/>
    </row>
    <row r="15" spans="1:12" ht="15" x14ac:dyDescent="0.25">
      <c r="A15" s="9" t="s">
        <v>12</v>
      </c>
      <c r="B15" s="8">
        <f t="shared" ref="B15:B37" si="2">+C15+D15+E15+F15+G15+H15+I15</f>
        <v>35154.645768080067</v>
      </c>
      <c r="C15" s="10">
        <v>10758.467980610798</v>
      </c>
      <c r="D15" s="10">
        <v>693.26923613135023</v>
      </c>
      <c r="E15" s="10">
        <v>0</v>
      </c>
      <c r="F15" s="10">
        <v>0</v>
      </c>
      <c r="G15" s="10">
        <v>0</v>
      </c>
      <c r="H15" s="10">
        <v>1862.9267209379168</v>
      </c>
      <c r="I15" s="10">
        <v>21839.981830399996</v>
      </c>
      <c r="J15" s="23"/>
    </row>
    <row r="16" spans="1:12" ht="15" x14ac:dyDescent="0.25">
      <c r="A16" s="9" t="s">
        <v>13</v>
      </c>
      <c r="B16" s="8">
        <f t="shared" si="2"/>
        <v>3337094.9042842924</v>
      </c>
      <c r="C16" s="10">
        <v>783.56683174587852</v>
      </c>
      <c r="D16" s="10">
        <v>2229.5755982251621</v>
      </c>
      <c r="E16" s="10">
        <v>0</v>
      </c>
      <c r="F16" s="10">
        <v>149544.68</v>
      </c>
      <c r="G16" s="10">
        <v>0</v>
      </c>
      <c r="H16" s="10">
        <v>2512994.6220333404</v>
      </c>
      <c r="I16" s="10">
        <v>671542.45982098114</v>
      </c>
      <c r="J16" s="23"/>
    </row>
    <row r="17" spans="1:10" ht="15" x14ac:dyDescent="0.25">
      <c r="A17" s="9" t="s">
        <v>14</v>
      </c>
      <c r="B17" s="8">
        <f t="shared" si="2"/>
        <v>77715.779959400286</v>
      </c>
      <c r="C17" s="10">
        <v>11026.083835318617</v>
      </c>
      <c r="D17" s="10">
        <v>2362.80177095</v>
      </c>
      <c r="E17" s="10">
        <v>0</v>
      </c>
      <c r="F17" s="10">
        <v>0</v>
      </c>
      <c r="G17" s="10">
        <v>20.2588936</v>
      </c>
      <c r="H17" s="10">
        <v>2513.919551091667</v>
      </c>
      <c r="I17" s="10">
        <v>61792.715908440005</v>
      </c>
      <c r="J17" s="23"/>
    </row>
    <row r="18" spans="1:10" ht="15" x14ac:dyDescent="0.25">
      <c r="A18" s="9" t="s">
        <v>15</v>
      </c>
      <c r="B18" s="8">
        <f t="shared" si="2"/>
        <v>703527.51727823308</v>
      </c>
      <c r="C18" s="10">
        <v>76010.615386660007</v>
      </c>
      <c r="D18" s="10">
        <v>15501.83908188</v>
      </c>
      <c r="E18" s="10">
        <v>0</v>
      </c>
      <c r="F18" s="10">
        <v>67231.445123924583</v>
      </c>
      <c r="G18" s="10">
        <v>0</v>
      </c>
      <c r="H18" s="10">
        <v>411545.92163477896</v>
      </c>
      <c r="I18" s="10">
        <v>133237.69605098956</v>
      </c>
      <c r="J18" s="23"/>
    </row>
    <row r="19" spans="1:10" ht="15" x14ac:dyDescent="0.25">
      <c r="A19" s="9" t="s">
        <v>16</v>
      </c>
      <c r="B19" s="8">
        <f t="shared" si="2"/>
        <v>798866.83230698132</v>
      </c>
      <c r="C19" s="10">
        <v>30528.005279229998</v>
      </c>
      <c r="D19" s="10">
        <v>416.60299936000007</v>
      </c>
      <c r="E19" s="10">
        <v>0</v>
      </c>
      <c r="F19" s="10">
        <v>0</v>
      </c>
      <c r="G19" s="10">
        <v>0</v>
      </c>
      <c r="H19" s="10">
        <v>736493.57341284794</v>
      </c>
      <c r="I19" s="10">
        <v>31428.650615543393</v>
      </c>
      <c r="J19" s="23"/>
    </row>
    <row r="20" spans="1:10" ht="15" x14ac:dyDescent="0.25">
      <c r="A20" s="9" t="s">
        <v>17</v>
      </c>
      <c r="B20" s="8">
        <f t="shared" si="2"/>
        <v>1011295.8419758589</v>
      </c>
      <c r="C20" s="10">
        <v>400</v>
      </c>
      <c r="D20" s="10">
        <v>16488.486180611733</v>
      </c>
      <c r="E20" s="10">
        <v>0</v>
      </c>
      <c r="F20" s="10">
        <v>150667.87602666666</v>
      </c>
      <c r="G20" s="10">
        <v>32.476220240000004</v>
      </c>
      <c r="H20" s="10">
        <v>529906.19153656042</v>
      </c>
      <c r="I20" s="10">
        <v>313800.81201178004</v>
      </c>
      <c r="J20" s="23"/>
    </row>
    <row r="21" spans="1:10" ht="15" x14ac:dyDescent="0.25">
      <c r="A21" s="9" t="s">
        <v>18</v>
      </c>
      <c r="B21" s="8">
        <f t="shared" si="2"/>
        <v>30591.941158505211</v>
      </c>
      <c r="C21" s="10">
        <v>4607.6088929987845</v>
      </c>
      <c r="D21" s="10">
        <v>12498.84418129</v>
      </c>
      <c r="E21" s="10">
        <v>0</v>
      </c>
      <c r="F21" s="10">
        <v>0</v>
      </c>
      <c r="G21" s="10">
        <v>9.3894490000000008</v>
      </c>
      <c r="H21" s="10">
        <v>57.349827441428687</v>
      </c>
      <c r="I21" s="10">
        <v>13418.748807775002</v>
      </c>
      <c r="J21" s="23"/>
    </row>
    <row r="22" spans="1:10" ht="15" x14ac:dyDescent="0.25">
      <c r="A22" s="9" t="s">
        <v>19</v>
      </c>
      <c r="B22" s="8">
        <f t="shared" si="2"/>
        <v>2772996.9145630021</v>
      </c>
      <c r="C22" s="10">
        <v>0</v>
      </c>
      <c r="D22" s="10">
        <v>0</v>
      </c>
      <c r="E22" s="10">
        <v>0</v>
      </c>
      <c r="F22" s="10">
        <v>105350.3</v>
      </c>
      <c r="G22" s="10">
        <v>0</v>
      </c>
      <c r="H22" s="10">
        <v>1793528.2379894126</v>
      </c>
      <c r="I22" s="10">
        <v>874118.37657358963</v>
      </c>
      <c r="J22" s="23"/>
    </row>
    <row r="23" spans="1:10" ht="15" x14ac:dyDescent="0.25">
      <c r="A23" s="9" t="s">
        <v>20</v>
      </c>
      <c r="B23" s="8">
        <f t="shared" si="2"/>
        <v>721316.43097464193</v>
      </c>
      <c r="C23" s="10">
        <v>371455.38038184069</v>
      </c>
      <c r="D23" s="10">
        <v>0</v>
      </c>
      <c r="E23" s="10">
        <v>0</v>
      </c>
      <c r="F23" s="10">
        <v>127420.04078204856</v>
      </c>
      <c r="G23" s="10">
        <v>2318.58907</v>
      </c>
      <c r="H23" s="10">
        <v>108422.98938870417</v>
      </c>
      <c r="I23" s="10">
        <v>111699.43135204856</v>
      </c>
      <c r="J23" s="23"/>
    </row>
    <row r="24" spans="1:10" ht="15" x14ac:dyDescent="0.25">
      <c r="A24" s="9" t="s">
        <v>21</v>
      </c>
      <c r="B24" s="8"/>
      <c r="C24" s="10"/>
      <c r="D24" s="10"/>
      <c r="E24" s="10"/>
      <c r="F24" s="10"/>
      <c r="G24" s="10"/>
      <c r="H24" s="10"/>
      <c r="I24" s="10"/>
      <c r="J24" s="23"/>
    </row>
    <row r="25" spans="1:10" ht="15" x14ac:dyDescent="0.25">
      <c r="A25" s="9" t="s">
        <v>22</v>
      </c>
      <c r="B25" s="8">
        <f t="shared" si="2"/>
        <v>601965.154898635</v>
      </c>
      <c r="C25" s="10">
        <v>2320.58798976875</v>
      </c>
      <c r="D25" s="10">
        <v>16775.78</v>
      </c>
      <c r="E25" s="10">
        <v>0</v>
      </c>
      <c r="F25" s="10">
        <v>19.875362307692303</v>
      </c>
      <c r="G25" s="10">
        <v>88.48</v>
      </c>
      <c r="H25" s="10">
        <v>544131.20583701052</v>
      </c>
      <c r="I25" s="10">
        <v>38629.225709548024</v>
      </c>
      <c r="J25" s="23"/>
    </row>
    <row r="26" spans="1:10" ht="15" x14ac:dyDescent="0.25">
      <c r="A26" s="9" t="s">
        <v>23</v>
      </c>
      <c r="B26" s="8">
        <f t="shared" si="2"/>
        <v>1038637.3695869597</v>
      </c>
      <c r="C26" s="10">
        <v>0</v>
      </c>
      <c r="D26" s="10">
        <v>2442.89</v>
      </c>
      <c r="E26" s="10">
        <v>0</v>
      </c>
      <c r="F26" s="10">
        <v>34832.430130838577</v>
      </c>
      <c r="G26" s="10">
        <v>0</v>
      </c>
      <c r="H26" s="10">
        <v>737073.25814562128</v>
      </c>
      <c r="I26" s="10">
        <v>264288.79131049983</v>
      </c>
      <c r="J26" s="23"/>
    </row>
    <row r="27" spans="1:10" ht="15" x14ac:dyDescent="0.25">
      <c r="A27" s="12" t="s">
        <v>24</v>
      </c>
      <c r="B27" s="8">
        <f t="shared" si="2"/>
        <v>82517.305748013692</v>
      </c>
      <c r="C27" s="10">
        <v>17.395851</v>
      </c>
      <c r="D27" s="10">
        <v>1338.6428109480589</v>
      </c>
      <c r="E27" s="10">
        <v>0</v>
      </c>
      <c r="F27" s="10">
        <v>0</v>
      </c>
      <c r="G27" s="10">
        <v>30.707173444972081</v>
      </c>
      <c r="H27" s="10">
        <v>68973.029912620666</v>
      </c>
      <c r="I27" s="10">
        <v>12157.53</v>
      </c>
      <c r="J27" s="23"/>
    </row>
    <row r="28" spans="1:10" ht="15" x14ac:dyDescent="0.25">
      <c r="A28" s="12" t="s">
        <v>25</v>
      </c>
      <c r="B28" s="8">
        <f t="shared" si="2"/>
        <v>1158344.5522034997</v>
      </c>
      <c r="C28" s="10">
        <v>651.04687998212864</v>
      </c>
      <c r="D28" s="10">
        <v>63619.064380945158</v>
      </c>
      <c r="E28" s="10">
        <v>0</v>
      </c>
      <c r="F28" s="10">
        <v>88366.007467690026</v>
      </c>
      <c r="G28" s="10">
        <v>14.21484711948</v>
      </c>
      <c r="H28" s="10">
        <v>719161.87237901799</v>
      </c>
      <c r="I28" s="10">
        <v>286532.3462487451</v>
      </c>
      <c r="J28" s="23"/>
    </row>
    <row r="29" spans="1:10" ht="15" x14ac:dyDescent="0.25">
      <c r="A29" s="12" t="s">
        <v>26</v>
      </c>
      <c r="B29" s="8">
        <f t="shared" si="2"/>
        <v>457396.07686317037</v>
      </c>
      <c r="C29" s="10">
        <v>5892.46</v>
      </c>
      <c r="D29" s="10">
        <v>10399</v>
      </c>
      <c r="E29" s="10">
        <v>0</v>
      </c>
      <c r="F29" s="10">
        <v>51258.16</v>
      </c>
      <c r="G29" s="10">
        <v>0</v>
      </c>
      <c r="H29" s="10">
        <v>312542.83886317036</v>
      </c>
      <c r="I29" s="10">
        <v>77303.618000000002</v>
      </c>
      <c r="J29" s="23"/>
    </row>
    <row r="30" spans="1:10" ht="15" x14ac:dyDescent="0.25">
      <c r="A30" s="12" t="s">
        <v>27</v>
      </c>
      <c r="B30" s="8">
        <f t="shared" si="2"/>
        <v>489100.14567604393</v>
      </c>
      <c r="C30" s="10">
        <v>0</v>
      </c>
      <c r="D30" s="10">
        <v>5897.3587421879683</v>
      </c>
      <c r="E30" s="10">
        <v>0</v>
      </c>
      <c r="F30" s="10">
        <v>111118.00154516667</v>
      </c>
      <c r="G30" s="10">
        <v>16792.217441646437</v>
      </c>
      <c r="H30" s="10">
        <v>262426.42723875283</v>
      </c>
      <c r="I30" s="10">
        <v>92866.140708290011</v>
      </c>
      <c r="J30" s="23"/>
    </row>
    <row r="31" spans="1:10" ht="15" x14ac:dyDescent="0.25">
      <c r="A31" s="12" t="s">
        <v>28</v>
      </c>
      <c r="B31" s="8">
        <f t="shared" si="2"/>
        <v>296448.07202054607</v>
      </c>
      <c r="C31" s="10">
        <v>432.81057988873334</v>
      </c>
      <c r="D31" s="10">
        <v>25288.029000000897</v>
      </c>
      <c r="E31" s="10">
        <v>0</v>
      </c>
      <c r="F31" s="10">
        <v>0</v>
      </c>
      <c r="G31" s="10">
        <v>0</v>
      </c>
      <c r="H31" s="10">
        <v>2296.0183497854164</v>
      </c>
      <c r="I31" s="10">
        <v>268431.21409087104</v>
      </c>
      <c r="J31" s="23"/>
    </row>
    <row r="32" spans="1:10" ht="15" x14ac:dyDescent="0.25">
      <c r="A32" s="12" t="s">
        <v>29</v>
      </c>
      <c r="B32" s="8">
        <f t="shared" si="2"/>
        <v>211.09468343999998</v>
      </c>
      <c r="C32" s="10">
        <v>211.09468343999998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23"/>
    </row>
    <row r="33" spans="1:96" ht="15" x14ac:dyDescent="0.25">
      <c r="A33" s="12" t="s">
        <v>30</v>
      </c>
      <c r="B33" s="8">
        <f t="shared" si="2"/>
        <v>62969.951542701143</v>
      </c>
      <c r="C33" s="10">
        <v>61008.12960479781</v>
      </c>
      <c r="D33" s="10">
        <v>263.62005156999999</v>
      </c>
      <c r="E33" s="10">
        <v>0</v>
      </c>
      <c r="F33" s="10">
        <v>0</v>
      </c>
      <c r="G33" s="10">
        <v>0</v>
      </c>
      <c r="H33" s="10">
        <v>1698.2018863333333</v>
      </c>
      <c r="I33" s="10">
        <v>0</v>
      </c>
      <c r="J33" s="23"/>
    </row>
    <row r="34" spans="1:96" ht="15" x14ac:dyDescent="0.25">
      <c r="A34" s="12" t="s">
        <v>31</v>
      </c>
      <c r="B34" s="8">
        <f t="shared" si="2"/>
        <v>1858027.1</v>
      </c>
      <c r="C34" s="10">
        <v>0</v>
      </c>
      <c r="D34" s="10">
        <v>409</v>
      </c>
      <c r="E34" s="10">
        <v>0</v>
      </c>
      <c r="F34" s="10">
        <v>13250</v>
      </c>
      <c r="G34" s="10">
        <v>0</v>
      </c>
      <c r="H34" s="10">
        <v>1456512.1</v>
      </c>
      <c r="I34" s="10">
        <v>387856</v>
      </c>
      <c r="J34" s="23"/>
    </row>
    <row r="35" spans="1:96" ht="15" x14ac:dyDescent="0.25">
      <c r="A35" s="12" t="s">
        <v>32</v>
      </c>
      <c r="B35" s="8">
        <f t="shared" si="2"/>
        <v>19938.222313721264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19938.222313721264</v>
      </c>
      <c r="I35" s="10">
        <v>0</v>
      </c>
      <c r="J35" s="23"/>
    </row>
    <row r="36" spans="1:96" ht="15" x14ac:dyDescent="0.25">
      <c r="A36" s="12" t="s">
        <v>33</v>
      </c>
      <c r="B36" s="8">
        <f t="shared" si="2"/>
        <v>137502.32762797209</v>
      </c>
      <c r="C36" s="10">
        <v>696.23032488583419</v>
      </c>
      <c r="D36" s="10">
        <v>3757.5705536700002</v>
      </c>
      <c r="E36" s="10">
        <v>0</v>
      </c>
      <c r="F36" s="10">
        <v>0</v>
      </c>
      <c r="G36" s="10">
        <v>6236.1750010000005</v>
      </c>
      <c r="H36" s="10">
        <v>126812.35174841624</v>
      </c>
      <c r="I36" s="10">
        <v>0</v>
      </c>
      <c r="J36" s="23"/>
    </row>
    <row r="37" spans="1:96" ht="15" x14ac:dyDescent="0.25">
      <c r="A37" s="12" t="s">
        <v>34</v>
      </c>
      <c r="B37" s="8">
        <f t="shared" si="2"/>
        <v>172883.23840446022</v>
      </c>
      <c r="C37" s="10">
        <v>774.24809581807506</v>
      </c>
      <c r="D37" s="10">
        <v>0</v>
      </c>
      <c r="E37" s="10">
        <v>0</v>
      </c>
      <c r="F37" s="10">
        <v>135190.5</v>
      </c>
      <c r="G37" s="10">
        <v>18569.855434780002</v>
      </c>
      <c r="H37" s="10">
        <v>18348.634873862138</v>
      </c>
      <c r="I37" s="10">
        <v>0</v>
      </c>
      <c r="J37" s="23"/>
    </row>
    <row r="38" spans="1:96" x14ac:dyDescent="0.2">
      <c r="A38" s="13"/>
      <c r="B38" s="14"/>
      <c r="C38" s="15"/>
      <c r="D38" s="15"/>
      <c r="E38" s="15"/>
      <c r="F38" s="15"/>
      <c r="G38" s="15"/>
      <c r="H38" s="15"/>
      <c r="I38" s="15"/>
    </row>
    <row r="39" spans="1:96" ht="15" x14ac:dyDescent="0.25">
      <c r="A39" s="16" t="s">
        <v>35</v>
      </c>
      <c r="B39" s="14"/>
      <c r="C39" s="15"/>
      <c r="D39" s="15"/>
      <c r="E39" s="15"/>
      <c r="F39" s="15"/>
      <c r="G39" s="15"/>
      <c r="H39" s="15"/>
      <c r="I39" s="15"/>
    </row>
    <row r="40" spans="1:96" ht="15" x14ac:dyDescent="0.25">
      <c r="A40" s="17" t="s">
        <v>36</v>
      </c>
      <c r="B40" s="18"/>
      <c r="C40" s="18"/>
      <c r="F40" s="11"/>
      <c r="H40" s="11"/>
    </row>
    <row r="41" spans="1:96" ht="15" x14ac:dyDescent="0.25">
      <c r="A41" s="17" t="s">
        <v>37</v>
      </c>
      <c r="B41" s="19"/>
    </row>
    <row r="42" spans="1:96" ht="15" x14ac:dyDescent="0.25">
      <c r="A42" s="17" t="s">
        <v>38</v>
      </c>
    </row>
    <row r="43" spans="1:96" s="21" customFormat="1" ht="13.5" thickBot="1" x14ac:dyDescent="0.25">
      <c r="A43" s="20"/>
      <c r="B43" s="20"/>
      <c r="C43" s="20"/>
      <c r="D43" s="20"/>
      <c r="E43" s="20"/>
      <c r="F43" s="20"/>
      <c r="G43" s="20"/>
      <c r="H43" s="20"/>
      <c r="I43" s="20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</row>
    <row r="44" spans="1:96" s="21" customFormat="1" x14ac:dyDescent="0.2">
      <c r="A44" s="22" t="s">
        <v>39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</row>
  </sheetData>
  <mergeCells count="3">
    <mergeCell ref="A9:I9"/>
    <mergeCell ref="K9:L10"/>
    <mergeCell ref="A10:I10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Dic-25 millones</vt:lpstr>
      <vt:lpstr>'Dic-25 millones'!Área_de_impresión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Albera Scagliusi</dc:creator>
  <cp:lastModifiedBy>Luciano Albera Scagliusi</cp:lastModifiedBy>
  <dcterms:created xsi:type="dcterms:W3CDTF">2026-04-24T14:32:23Z</dcterms:created>
  <dcterms:modified xsi:type="dcterms:W3CDTF">2026-06-05T15:29:48Z</dcterms:modified>
</cp:coreProperties>
</file>