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DEUDA\Publicaciones Internet\deuda\stock\consolidado\2025\"/>
    </mc:Choice>
  </mc:AlternateContent>
  <xr:revisionPtr revIDLastSave="0" documentId="13_ncr:1_{3C559A94-38B7-4CFB-9703-8F47C454B77D}" xr6:coauthVersionLast="47" xr6:coauthVersionMax="47" xr10:uidLastSave="{00000000-0000-0000-0000-000000000000}"/>
  <bookViews>
    <workbookView xWindow="-120" yWindow="-120" windowWidth="29040" windowHeight="15840" xr2:uid="{475EB3C5-8296-4327-934A-C79E87792E70}"/>
  </bookViews>
  <sheets>
    <sheet name="Sep-25 " sheetId="1" r:id="rId1"/>
  </sheets>
  <definedNames>
    <definedName name="_xlnm.Print_Area" localSheetId="0">'Sep-25 '!$A$1:$I$45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I13" i="1"/>
  <c r="H13" i="1"/>
  <c r="G13" i="1"/>
  <c r="F13" i="1"/>
  <c r="E13" i="1"/>
  <c r="D13" i="1"/>
  <c r="C13" i="1"/>
  <c r="B14" i="1"/>
  <c r="B13" i="1" l="1"/>
</calcChain>
</file>

<file path=xl/sharedStrings.xml><?xml version="1.0" encoding="utf-8"?>
<sst xmlns="http://schemas.openxmlformats.org/spreadsheetml/2006/main" count="40" uniqueCount="40">
  <si>
    <t>STOCK DE DEUDA PROVINCIAL AL 30 DE SEPTIEMBRE DE 2025 (1)</t>
  </si>
  <si>
    <t>en millones de pesos</t>
  </si>
  <si>
    <t>Jurisdicción</t>
  </si>
  <si>
    <t>Total sin deuda flotante</t>
  </si>
  <si>
    <t>Gobierno Nacional</t>
  </si>
  <si>
    <t>FFFIR</t>
  </si>
  <si>
    <t>FFDP</t>
  </si>
  <si>
    <t>Bancos</t>
  </si>
  <si>
    <t>Deuda consolidada</t>
  </si>
  <si>
    <t>Bonos
(2)</t>
  </si>
  <si>
    <t>Organismos Internacionales</t>
  </si>
  <si>
    <t xml:space="preserve">TOTAL 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</si>
  <si>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</si>
  <si>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</si>
  <si>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</si>
  <si>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</si>
  <si>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</si>
  <si>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</si>
  <si>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</si>
  <si>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</si>
  <si>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CABA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</si>
  <si>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</si>
  <si>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</si>
  <si>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</si>
  <si>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</si>
  <si>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</si>
  <si>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</si>
  <si>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</si>
  <si>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</si>
  <si>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</si>
  <si>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</si>
  <si>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</si>
  <si>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Fé</t>
  </si>
  <si>
    <t>Santiago del Estero</t>
  </si>
  <si>
    <t>Tierra del Fuego</t>
  </si>
  <si>
    <t>Tucumán</t>
  </si>
  <si>
    <t>Notas:</t>
  </si>
  <si>
    <t>1).-Todos los datos son preliminares y se encuentran sujetos a revisión. No se incluye la Deuda Flotante ni Contingente.</t>
  </si>
  <si>
    <t>2).- Bonos expresados a Valor Residual.</t>
  </si>
  <si>
    <t>SUBSECRETARÍA DE COORDINACIÓN FISCAL PROVINCIAL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</si>
</sst>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 \-0;\ \-;\ 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252C4F"/>
      <name val="Roboto"/>
    </font>
    <font>
      <sz val="10"/>
      <name val="Roboto"/>
    </font>
    <font>
      <b/>
      <sz val="14"/>
      <name val="Roboto"/>
    </font>
    <font>
      <b/>
      <sz val="11"/>
      <color indexed="8"/>
      <name val="Roboto"/>
    </font>
    <font>
      <b/>
      <sz val="11"/>
      <color indexed="56"/>
      <name val="Roboto"/>
    </font>
    <font>
      <sz val="11"/>
      <color indexed="56"/>
      <name val="Roboto"/>
    </font>
    <font>
      <b/>
      <sz val="11"/>
      <color theme="0"/>
      <name val="Roboto"/>
    </font>
    <font>
      <b/>
      <sz val="11"/>
      <name val="Roboto"/>
    </font>
    <font>
      <sz val="11"/>
      <color indexed="8"/>
      <name val="Roboto"/>
    </font>
    <font>
      <b/>
      <i/>
      <sz val="8"/>
      <name val="Roboto"/>
    </font>
    <font>
      <b/>
      <sz val="8"/>
      <color indexed="8"/>
      <name val="Roboto"/>
    </font>
    <font>
      <sz val="10"/>
      <color indexed="56"/>
      <name val="Roboto"/>
    </font>
    <font>
      <b/>
      <u/>
      <sz val="11"/>
      <color indexed="8"/>
      <name val="Roboto"/>
    </font>
    <font>
      <sz val="11"/>
      <name val="Roboto"/>
    </font>
    <font>
      <sz val="8"/>
      <name val="Roboto"/>
    </font>
    <font>
      <b/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52C4F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4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/>
    </xf>
    <xf numFmtId="3" fontId="7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8" fillId="3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/>
    </xf>
    <xf numFmtId="164" fontId="9" fillId="4" borderId="2" xfId="2" applyNumberFormat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left"/>
    </xf>
    <xf numFmtId="164" fontId="10" fillId="2" borderId="4" xfId="1" applyNumberFormat="1" applyFont="1" applyFill="1" applyBorder="1" applyAlignment="1">
      <alignment horizontal="center" vertical="center"/>
    </xf>
    <xf numFmtId="3" fontId="3" fillId="2" borderId="0" xfId="1" applyNumberFormat="1" applyFont="1" applyFill="1"/>
    <xf numFmtId="0" fontId="11" fillId="2" borderId="0" xfId="1" applyFont="1" applyFill="1"/>
    <xf numFmtId="0" fontId="12" fillId="2" borderId="0" xfId="1" applyFont="1" applyFill="1" applyAlignment="1">
      <alignment horizontal="center"/>
    </xf>
    <xf numFmtId="3" fontId="13" fillId="2" borderId="0" xfId="1" applyNumberFormat="1" applyFont="1" applyFill="1"/>
    <xf numFmtId="0" fontId="14" fillId="2" borderId="0" xfId="1" applyFont="1" applyFill="1"/>
    <xf numFmtId="0" fontId="15" fillId="2" borderId="0" xfId="1" applyFont="1" applyFill="1"/>
    <xf numFmtId="0" fontId="16" fillId="2" borderId="0" xfId="1" applyFont="1" applyFill="1"/>
    <xf numFmtId="0" fontId="17" fillId="2" borderId="0" xfId="1" applyFont="1" applyFill="1" applyAlignment="1">
      <alignment horizontal="center"/>
    </xf>
    <xf numFmtId="0" fontId="3" fillId="2" borderId="5" xfId="1" applyFont="1" applyFill="1" applyBorder="1"/>
    <xf numFmtId="0" fontId="3" fillId="0" borderId="0" xfId="2" applyFont="1"/>
    <xf numFmtId="0" fontId="17" fillId="0" borderId="0" xfId="2" applyFont="1" applyAlignment="1">
      <alignment horizontal="left"/>
    </xf>
  </cellXfs>
  <cellStyles count="3">
    <cellStyle name="Normal" xfId="0" builtinId="0"/>
    <cellStyle name="Normal 2" xfId="1" xr:uid="{46D01336-CD95-417A-BAB5-F5F591A895DA}"/>
    <cellStyle name="Normal_Hoja1" xfId="2" xr:uid="{0AA46E84-897B-4702-9B6F-A7AE8E5F71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21216</xdr:colOff>
      <xdr:row>9</xdr:row>
      <xdr:rowOff>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7431A3B2-CE8D-49AA-8793-D26718BA2F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0" y="161925"/>
          <a:ext cx="165951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AD08-EA5C-4B3B-9898-6DAB886D2EE7}">
  <sheetPr>
    <pageSetUpPr fitToPage="1"/>
  </sheetPr>
  <dimension ref="A4:CR44"/>
  <sheetViews>
    <sheetView tabSelected="1" topLeftCell="A22" workbookViewId="0">
      <selection activeCell="B44" sqref="B43:B44"/>
    </sheetView>
  </sheetViews>
  <sheetFormatPr baseColWidth="10" defaultColWidth="11.42578125" defaultRowHeight="12.75" x14ac:dyDescent="0.2"/>
  <cols>
    <col min="1" max="1" width="24.5703125" style="2" customWidth="1"/>
    <col min="2" max="8" width="19.5703125" style="2" customWidth="1"/>
    <col min="9" max="9" width="21.85546875" style="2" customWidth="1"/>
    <col min="10" max="16384" width="11.42578125" style="2"/>
  </cols>
  <sheetData>
    <row r="4" spans="1:12" x14ac:dyDescent="0.2">
      <c r="A4" s="1"/>
      <c r="B4" s="1"/>
      <c r="C4" s="1"/>
      <c r="D4" s="1"/>
      <c r="E4" s="1"/>
      <c r="F4" s="1"/>
      <c r="G4" s="1"/>
      <c r="H4" s="1"/>
      <c r="I4" s="1"/>
    </row>
    <row r="9" spans="1:12" ht="18.75" x14ac:dyDescent="0.2">
      <c r="A9" s="3" t="s">
        <v>0</v>
      </c>
      <c r="B9" s="3"/>
      <c r="C9" s="3"/>
      <c r="D9" s="3"/>
      <c r="E9" s="3"/>
      <c r="F9" s="3"/>
      <c r="G9" s="3"/>
      <c r="H9" s="3"/>
      <c r="I9" s="3"/>
      <c r="K9" s="4"/>
      <c r="L9" s="4"/>
    </row>
    <row r="10" spans="1:12" ht="15" x14ac:dyDescent="0.25">
      <c r="A10" s="5" t="s">
        <v>1</v>
      </c>
      <c r="B10" s="5"/>
      <c r="C10" s="5"/>
      <c r="D10" s="5"/>
      <c r="E10" s="5"/>
      <c r="F10" s="5"/>
      <c r="G10" s="5"/>
      <c r="H10" s="5"/>
      <c r="I10" s="5"/>
      <c r="K10" s="4"/>
      <c r="L10" s="4"/>
    </row>
    <row r="11" spans="1:12" s="8" customFormat="1" ht="15" x14ac:dyDescent="0.25">
      <c r="A11" s="6"/>
      <c r="B11" s="7"/>
      <c r="C11" s="7"/>
      <c r="D11" s="7"/>
      <c r="E11" s="7"/>
      <c r="F11" s="7"/>
      <c r="G11" s="7"/>
      <c r="H11" s="7"/>
      <c r="I11" s="7"/>
    </row>
    <row r="12" spans="1:12" ht="30" x14ac:dyDescent="0.2">
      <c r="A12" s="9" t="s">
        <v>2</v>
      </c>
      <c r="B12" s="9" t="s">
        <v>3</v>
      </c>
      <c r="C12" s="9" t="s">
        <v>4</v>
      </c>
      <c r="D12" s="9" t="s">
        <v>5</v>
      </c>
      <c r="E12" s="9" t="s">
        <v>6</v>
      </c>
      <c r="F12" s="9" t="s">
        <v>7</v>
      </c>
      <c r="G12" s="9" t="s">
        <v>8</v>
      </c>
      <c r="H12" s="9" t="s">
        <v>9</v>
      </c>
      <c r="I12" s="9" t="s">
        <v>10</v>
      </c>
    </row>
    <row r="13" spans="1:12" ht="15" x14ac:dyDescent="0.25">
      <c r="A13" s="10" t="s">
        <v>11</v>
      </c>
      <c r="B13" s="11">
        <f t="shared" ref="B13:I13" si="0">SUM(B14:B37)</f>
        <v>29032129.87170212</v>
      </c>
      <c r="C13" s="11">
        <f t="shared" si="0"/>
        <v>400364.35907590151</v>
      </c>
      <c r="D13" s="11">
        <f t="shared" si="0"/>
        <v>174849.60955093169</v>
      </c>
      <c r="E13" s="11">
        <f t="shared" si="0"/>
        <v>0</v>
      </c>
      <c r="F13" s="11">
        <f t="shared" si="0"/>
        <v>1056457.024605419</v>
      </c>
      <c r="G13" s="11">
        <f t="shared" si="0"/>
        <v>42523.303901305255</v>
      </c>
      <c r="H13" s="11">
        <f t="shared" si="0"/>
        <v>20930358.763018269</v>
      </c>
      <c r="I13" s="11">
        <f t="shared" si="0"/>
        <v>6427576.8115502875</v>
      </c>
    </row>
    <row r="14" spans="1:12" ht="15" x14ac:dyDescent="0.25">
      <c r="A14" s="12" t="s">
        <v>12</v>
      </c>
      <c r="B14" s="11">
        <f t="shared" ref="B14:B37" si="1">+C14+D14+E14+F14+G14+H14+I14</f>
        <v>16157004.529599845</v>
      </c>
      <c r="C14" s="13">
        <v>0</v>
      </c>
      <c r="D14" s="13">
        <v>4071.3020325943698</v>
      </c>
      <c r="E14" s="13">
        <v>0</v>
      </c>
      <c r="F14" s="13">
        <v>75468.610530882797</v>
      </c>
      <c r="G14" s="13">
        <v>0</v>
      </c>
      <c r="H14" s="13">
        <v>13055940.157657733</v>
      </c>
      <c r="I14" s="13">
        <v>3021524.4593786355</v>
      </c>
    </row>
    <row r="15" spans="1:12" ht="15" x14ac:dyDescent="0.25">
      <c r="A15" s="12" t="s">
        <v>13</v>
      </c>
      <c r="B15" s="11">
        <f t="shared" si="1"/>
        <v>31323.011819393814</v>
      </c>
      <c r="C15" s="13">
        <v>10220.723306897486</v>
      </c>
      <c r="D15" s="13">
        <v>682.57396099241475</v>
      </c>
      <c r="E15" s="13">
        <v>0</v>
      </c>
      <c r="F15" s="13">
        <v>0</v>
      </c>
      <c r="G15" s="13">
        <v>11.918298565999963</v>
      </c>
      <c r="H15" s="13">
        <v>1862.9267209379168</v>
      </c>
      <c r="I15" s="13">
        <v>18544.869531999997</v>
      </c>
    </row>
    <row r="16" spans="1:12" ht="15" x14ac:dyDescent="0.25">
      <c r="A16" s="12" t="s">
        <v>14</v>
      </c>
      <c r="B16" s="11">
        <f t="shared" si="1"/>
        <v>3253666.232731171</v>
      </c>
      <c r="C16" s="13">
        <v>822.57056670688394</v>
      </c>
      <c r="D16" s="13">
        <v>2652.79</v>
      </c>
      <c r="E16" s="13">
        <v>0</v>
      </c>
      <c r="F16" s="13">
        <v>152883.79783822238</v>
      </c>
      <c r="G16" s="13">
        <v>0</v>
      </c>
      <c r="H16" s="13">
        <v>2414759.1898638764</v>
      </c>
      <c r="I16" s="13">
        <v>682547.88446236565</v>
      </c>
      <c r="J16" s="14"/>
    </row>
    <row r="17" spans="1:9" ht="15" x14ac:dyDescent="0.25">
      <c r="A17" s="12" t="s">
        <v>15</v>
      </c>
      <c r="B17" s="11">
        <f t="shared" si="1"/>
        <v>77615.598238052946</v>
      </c>
      <c r="C17" s="13">
        <v>12013.049533588459</v>
      </c>
      <c r="D17" s="13">
        <v>2924.929105556163</v>
      </c>
      <c r="E17" s="13">
        <v>0</v>
      </c>
      <c r="F17" s="13">
        <v>0</v>
      </c>
      <c r="G17" s="13">
        <v>20.2588936</v>
      </c>
      <c r="H17" s="13">
        <v>2513.919551091667</v>
      </c>
      <c r="I17" s="13">
        <v>60143.441154216664</v>
      </c>
    </row>
    <row r="18" spans="1:9" ht="15" x14ac:dyDescent="0.25">
      <c r="A18" s="12" t="s">
        <v>16</v>
      </c>
      <c r="B18" s="11">
        <f t="shared" si="1"/>
        <v>462547.867601651</v>
      </c>
      <c r="C18" s="13">
        <v>0</v>
      </c>
      <c r="D18" s="13">
        <v>15337.740800000001</v>
      </c>
      <c r="E18" s="13">
        <v>0</v>
      </c>
      <c r="F18" s="13">
        <v>74853.020456269151</v>
      </c>
      <c r="G18" s="13">
        <v>0</v>
      </c>
      <c r="H18" s="13">
        <v>258261.38018609583</v>
      </c>
      <c r="I18" s="13">
        <v>114095.72615928599</v>
      </c>
    </row>
    <row r="19" spans="1:9" ht="15" x14ac:dyDescent="0.25">
      <c r="A19" s="12" t="s">
        <v>17</v>
      </c>
      <c r="B19" s="11">
        <f t="shared" si="1"/>
        <v>745967.11101318779</v>
      </c>
      <c r="C19" s="13">
        <v>30528.005279229998</v>
      </c>
      <c r="D19" s="13">
        <v>283.53531131000005</v>
      </c>
      <c r="E19" s="13">
        <v>0</v>
      </c>
      <c r="F19" s="13">
        <v>0</v>
      </c>
      <c r="G19" s="13">
        <v>0</v>
      </c>
      <c r="H19" s="13">
        <v>684400.78421571862</v>
      </c>
      <c r="I19" s="13">
        <v>30754.78620692917</v>
      </c>
    </row>
    <row r="20" spans="1:9" ht="15" x14ac:dyDescent="0.25">
      <c r="A20" s="12" t="s">
        <v>18</v>
      </c>
      <c r="B20" s="11">
        <f t="shared" si="1"/>
        <v>934670.00088474294</v>
      </c>
      <c r="C20" s="13">
        <v>400</v>
      </c>
      <c r="D20" s="13">
        <v>14384.259856161529</v>
      </c>
      <c r="E20" s="13">
        <v>0</v>
      </c>
      <c r="F20" s="13">
        <v>162001.38978857143</v>
      </c>
      <c r="G20" s="13">
        <v>42.799304239999998</v>
      </c>
      <c r="H20" s="13">
        <v>466213.33072823001</v>
      </c>
      <c r="I20" s="13">
        <v>291628.22120754002</v>
      </c>
    </row>
    <row r="21" spans="1:9" ht="15" x14ac:dyDescent="0.25">
      <c r="A21" s="12" t="s">
        <v>19</v>
      </c>
      <c r="B21" s="11">
        <f t="shared" si="1"/>
        <v>29563.99601288039</v>
      </c>
      <c r="C21" s="13">
        <v>4584.7352088003909</v>
      </c>
      <c r="D21" s="13">
        <v>12201.563419800001</v>
      </c>
      <c r="E21" s="13">
        <v>0</v>
      </c>
      <c r="F21" s="13">
        <v>0</v>
      </c>
      <c r="G21" s="13">
        <v>8.7394490000000005</v>
      </c>
      <c r="H21" s="13">
        <v>41.897212680000003</v>
      </c>
      <c r="I21" s="13">
        <v>12727.060722599999</v>
      </c>
    </row>
    <row r="22" spans="1:9" ht="15" x14ac:dyDescent="0.25">
      <c r="A22" s="12" t="s">
        <v>20</v>
      </c>
      <c r="B22" s="11">
        <f t="shared" si="1"/>
        <v>1676196.5136520215</v>
      </c>
      <c r="C22" s="13">
        <v>0</v>
      </c>
      <c r="D22" s="13">
        <v>0</v>
      </c>
      <c r="E22" s="13">
        <v>0</v>
      </c>
      <c r="F22" s="13">
        <v>101010.1</v>
      </c>
      <c r="G22" s="13">
        <v>0</v>
      </c>
      <c r="H22" s="13">
        <v>865986.25977941253</v>
      </c>
      <c r="I22" s="13">
        <v>709200.15387260914</v>
      </c>
    </row>
    <row r="23" spans="1:9" ht="15" x14ac:dyDescent="0.25">
      <c r="A23" s="12" t="s">
        <v>21</v>
      </c>
      <c r="B23" s="11">
        <f t="shared" si="1"/>
        <v>663362.44910968211</v>
      </c>
      <c r="C23" s="13">
        <v>330754.76420144539</v>
      </c>
      <c r="D23" s="13">
        <v>0</v>
      </c>
      <c r="E23" s="13">
        <v>0</v>
      </c>
      <c r="F23" s="13">
        <v>92582.963148884111</v>
      </c>
      <c r="G23" s="13">
        <v>7254.44985</v>
      </c>
      <c r="H23" s="13">
        <v>96692.641046016637</v>
      </c>
      <c r="I23" s="13">
        <v>136077.63086333606</v>
      </c>
    </row>
    <row r="24" spans="1:9" ht="15" x14ac:dyDescent="0.25">
      <c r="A24" s="12" t="s">
        <v>22</v>
      </c>
      <c r="B24" s="11">
        <f t="shared" si="1"/>
        <v>500</v>
      </c>
      <c r="C24" s="13">
        <v>500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 spans="1:9" ht="15" x14ac:dyDescent="0.25">
      <c r="A25" s="12" t="s">
        <v>23</v>
      </c>
      <c r="B25" s="11">
        <f t="shared" si="1"/>
        <v>564815.55391401425</v>
      </c>
      <c r="C25" s="13">
        <v>941.38980085416665</v>
      </c>
      <c r="D25" s="13">
        <v>16586.89</v>
      </c>
      <c r="E25" s="13">
        <v>0</v>
      </c>
      <c r="F25" s="13">
        <v>19.875362307692303</v>
      </c>
      <c r="G25" s="13">
        <v>94.318420000000003</v>
      </c>
      <c r="H25" s="13">
        <v>509331.01519829169</v>
      </c>
      <c r="I25" s="13">
        <v>37842.065132560638</v>
      </c>
    </row>
    <row r="26" spans="1:9" ht="15" x14ac:dyDescent="0.25">
      <c r="A26" s="12" t="s">
        <v>24</v>
      </c>
      <c r="B26" s="11">
        <f t="shared" si="1"/>
        <v>841970.77447004116</v>
      </c>
      <c r="C26" s="13">
        <v>0</v>
      </c>
      <c r="D26" s="13">
        <v>2220.2199999999998</v>
      </c>
      <c r="E26" s="13">
        <v>0</v>
      </c>
      <c r="F26" s="13">
        <v>60156.634134810003</v>
      </c>
      <c r="G26" s="13">
        <v>0</v>
      </c>
      <c r="H26" s="13">
        <v>541277.22594125709</v>
      </c>
      <c r="I26" s="13">
        <v>238316.694393974</v>
      </c>
    </row>
    <row r="27" spans="1:9" ht="15" x14ac:dyDescent="0.25">
      <c r="A27" s="12" t="s">
        <v>25</v>
      </c>
      <c r="B27" s="11">
        <f t="shared" si="1"/>
        <v>101729.71601565149</v>
      </c>
      <c r="C27" s="13">
        <v>17.395851</v>
      </c>
      <c r="D27" s="13">
        <v>56.134048106491221</v>
      </c>
      <c r="E27" s="13">
        <v>0</v>
      </c>
      <c r="F27" s="13">
        <v>20000</v>
      </c>
      <c r="G27" s="13">
        <v>30.707173444972081</v>
      </c>
      <c r="H27" s="13">
        <v>66022.673640427718</v>
      </c>
      <c r="I27" s="13">
        <v>15602.805302672301</v>
      </c>
    </row>
    <row r="28" spans="1:9" ht="15" x14ac:dyDescent="0.25">
      <c r="A28" s="12" t="s">
        <v>26</v>
      </c>
      <c r="B28" s="11">
        <f t="shared" si="1"/>
        <v>1230396.0444164437</v>
      </c>
      <c r="C28" s="13">
        <v>682.80964121609736</v>
      </c>
      <c r="D28" s="13">
        <v>61971.527729644142</v>
      </c>
      <c r="E28" s="13">
        <v>0</v>
      </c>
      <c r="F28" s="13">
        <v>95372.665134138078</v>
      </c>
      <c r="G28" s="13">
        <v>0</v>
      </c>
      <c r="H28" s="13">
        <v>805096.30417296791</v>
      </c>
      <c r="I28" s="13">
        <v>267272.73773847747</v>
      </c>
    </row>
    <row r="29" spans="1:9" ht="15" x14ac:dyDescent="0.25">
      <c r="A29" s="12" t="s">
        <v>27</v>
      </c>
      <c r="B29" s="11">
        <f t="shared" si="1"/>
        <v>372158.13997477392</v>
      </c>
      <c r="C29" s="13">
        <v>5000</v>
      </c>
      <c r="D29" s="13">
        <v>5423.2599999999993</v>
      </c>
      <c r="E29" s="13">
        <v>0</v>
      </c>
      <c r="F29" s="13">
        <v>0</v>
      </c>
      <c r="G29" s="13">
        <v>0</v>
      </c>
      <c r="H29" s="13">
        <v>290100.97840317042</v>
      </c>
      <c r="I29" s="13">
        <v>71633.901571603506</v>
      </c>
    </row>
    <row r="30" spans="1:9" ht="15" x14ac:dyDescent="0.25">
      <c r="A30" s="12" t="s">
        <v>28</v>
      </c>
      <c r="B30" s="11">
        <f t="shared" si="1"/>
        <v>484648.56363366789</v>
      </c>
      <c r="C30" s="13">
        <v>0</v>
      </c>
      <c r="D30" s="13">
        <v>6158.8779191698159</v>
      </c>
      <c r="E30" s="13">
        <v>0</v>
      </c>
      <c r="F30" s="13">
        <v>61219.634878000004</v>
      </c>
      <c r="G30" s="13">
        <v>15756.146822784285</v>
      </c>
      <c r="H30" s="13">
        <v>310643.90097375284</v>
      </c>
      <c r="I30" s="13">
        <v>90870.00303996091</v>
      </c>
    </row>
    <row r="31" spans="1:9" ht="15" x14ac:dyDescent="0.25">
      <c r="A31" s="12" t="s">
        <v>29</v>
      </c>
      <c r="B31" s="11">
        <f t="shared" si="1"/>
        <v>281909.41133092623</v>
      </c>
      <c r="C31" s="13">
        <v>455.09880530333942</v>
      </c>
      <c r="D31" s="13">
        <v>24983.336999996765</v>
      </c>
      <c r="E31" s="13">
        <v>0</v>
      </c>
      <c r="F31" s="13">
        <v>0</v>
      </c>
      <c r="G31" s="13">
        <v>0</v>
      </c>
      <c r="H31" s="13">
        <v>2294.8047141032043</v>
      </c>
      <c r="I31" s="13">
        <v>254176.1708115229</v>
      </c>
    </row>
    <row r="32" spans="1:9" ht="15" x14ac:dyDescent="0.25">
      <c r="A32" s="12" t="s">
        <v>30</v>
      </c>
      <c r="B32" s="11">
        <f t="shared" si="1"/>
        <v>211.09468343999998</v>
      </c>
      <c r="C32" s="13">
        <v>211.09468343999998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96" ht="15" x14ac:dyDescent="0.25">
      <c r="A33" s="12" t="s">
        <v>31</v>
      </c>
      <c r="B33" s="11">
        <f t="shared" si="1"/>
        <v>4450.9627669614347</v>
      </c>
      <c r="C33" s="13">
        <v>2505.0825130281009</v>
      </c>
      <c r="D33" s="13">
        <v>247.6783676</v>
      </c>
      <c r="E33" s="13">
        <v>0</v>
      </c>
      <c r="F33" s="13">
        <v>0</v>
      </c>
      <c r="G33" s="13">
        <v>0</v>
      </c>
      <c r="H33" s="13">
        <v>1698.2018863333333</v>
      </c>
      <c r="I33" s="13">
        <v>0</v>
      </c>
    </row>
    <row r="34" spans="1:96" ht="15" x14ac:dyDescent="0.25">
      <c r="A34" s="12" t="s">
        <v>32</v>
      </c>
      <c r="B34" s="11">
        <f t="shared" si="1"/>
        <v>785964.33333333326</v>
      </c>
      <c r="C34" s="13">
        <v>0</v>
      </c>
      <c r="D34" s="13">
        <v>387.8</v>
      </c>
      <c r="E34" s="13">
        <v>0</v>
      </c>
      <c r="F34" s="13">
        <v>15958.333333333332</v>
      </c>
      <c r="G34" s="13">
        <v>0</v>
      </c>
      <c r="H34" s="13">
        <v>395000</v>
      </c>
      <c r="I34" s="13">
        <v>374618.2</v>
      </c>
    </row>
    <row r="35" spans="1:96" ht="15" x14ac:dyDescent="0.25">
      <c r="A35" s="12" t="s">
        <v>33</v>
      </c>
      <c r="B35" s="11">
        <f t="shared" si="1"/>
        <v>18951.795266256249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18951.795266256249</v>
      </c>
      <c r="I35" s="13">
        <v>0</v>
      </c>
    </row>
    <row r="36" spans="1:96" ht="15" x14ac:dyDescent="0.25">
      <c r="A36" s="12" t="s">
        <v>34</v>
      </c>
      <c r="B36" s="11">
        <f t="shared" si="1"/>
        <v>135143.58323303328</v>
      </c>
      <c r="C36" s="13">
        <v>724.00148461703407</v>
      </c>
      <c r="D36" s="13">
        <v>4275.1899999999996</v>
      </c>
      <c r="E36" s="13">
        <v>0</v>
      </c>
      <c r="F36" s="13">
        <v>0</v>
      </c>
      <c r="G36" s="13">
        <v>4390.4399999999996</v>
      </c>
      <c r="H36" s="13">
        <v>125753.95174841625</v>
      </c>
      <c r="I36" s="13">
        <v>0</v>
      </c>
    </row>
    <row r="37" spans="1:96" ht="15" x14ac:dyDescent="0.25">
      <c r="A37" s="12" t="s">
        <v>35</v>
      </c>
      <c r="B37" s="11">
        <f t="shared" si="1"/>
        <v>177362.5880009509</v>
      </c>
      <c r="C37" s="13">
        <v>3.6381997741752055</v>
      </c>
      <c r="D37" s="13">
        <v>0</v>
      </c>
      <c r="E37" s="13">
        <v>0</v>
      </c>
      <c r="F37" s="13">
        <v>144930</v>
      </c>
      <c r="G37" s="13">
        <v>14913.525689669999</v>
      </c>
      <c r="H37" s="13">
        <v>17515.424111506716</v>
      </c>
      <c r="I37" s="13">
        <v>0</v>
      </c>
    </row>
    <row r="38" spans="1:96" x14ac:dyDescent="0.2">
      <c r="A38" s="15"/>
      <c r="B38" s="16"/>
      <c r="C38" s="17"/>
      <c r="D38" s="17"/>
      <c r="E38" s="17"/>
      <c r="F38" s="17"/>
      <c r="G38" s="17"/>
      <c r="H38" s="17"/>
      <c r="I38" s="17"/>
    </row>
    <row r="39" spans="1:96" ht="15" x14ac:dyDescent="0.25">
      <c r="A39" s="18" t="s">
        <v>36</v>
      </c>
      <c r="B39" s="16"/>
      <c r="C39" s="17"/>
      <c r="D39" s="17"/>
      <c r="E39" s="17"/>
      <c r="F39" s="17"/>
      <c r="G39" s="17"/>
      <c r="H39" s="17"/>
      <c r="I39" s="17"/>
    </row>
    <row r="40" spans="1:96" ht="15" x14ac:dyDescent="0.25">
      <c r="A40" s="19" t="s">
        <v>37</v>
      </c>
      <c r="B40" s="20"/>
      <c r="C40" s="20"/>
      <c r="F40" s="14"/>
      <c r="H40" s="14"/>
    </row>
    <row r="41" spans="1:96" ht="15" x14ac:dyDescent="0.25">
      <c r="A41" s="19" t="s">
        <v>38</v>
      </c>
      <c r="B41" s="21"/>
    </row>
    <row r="43" spans="1:96" s="23" customFormat="1" ht="13.5" thickBo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</row>
    <row r="44" spans="1:96" s="23" customFormat="1" x14ac:dyDescent="0.2">
      <c r="A44" s="24" t="s">
        <v>39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</row>
  </sheetData>
  <mergeCells count="3">
    <mergeCell ref="A9:I9"/>
    <mergeCell ref="K9:L10"/>
    <mergeCell ref="A10:I10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Sep-25 </vt:lpstr>
      <vt:lpstr>'Sep-25 '!Área_de_impresión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sialva</dc:creator>
  <cp:lastModifiedBy>sialva</cp:lastModifiedBy>
  <dcterms:created xsi:type="dcterms:W3CDTF">2026-01-14T19:03:51Z</dcterms:created>
  <dcterms:modified xsi:type="dcterms:W3CDTF">2026-01-14T19:04:52Z</dcterms:modified>
</cp:coreProperties>
</file>