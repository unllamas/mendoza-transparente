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iselli\Downloads\"/>
    </mc:Choice>
  </mc:AlternateContent>
  <xr:revisionPtr revIDLastSave="0" documentId="8_{4537E4FF-9719-43C8-9E2C-805B1BCCAC48}" xr6:coauthVersionLast="47" xr6:coauthVersionMax="47" xr10:uidLastSave="{00000000-0000-0000-0000-000000000000}"/>
  <bookViews>
    <workbookView xWindow="-120" yWindow="-120" windowWidth="29040" windowHeight="15840" xr2:uid="{6D468C50-4AF9-4D36-A4A1-56EA527C8646}"/>
  </bookViews>
  <sheets>
    <sheet name="Jun-25 millones" sheetId="1" r:id="rId1"/>
  </sheets>
  <externalReferences>
    <externalReference r:id="rId2"/>
  </externalReferences>
  <definedNames>
    <definedName name="_xlnm.Print_Area" localSheetId="0">'Jun-25 millones'!$A$1:$I$45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1" l="1"/>
  <c r="H37" i="1"/>
  <c r="G37" i="1"/>
  <c r="F37" i="1"/>
  <c r="B37" i="1" s="1"/>
  <c r="E37" i="1"/>
  <c r="D37" i="1"/>
  <c r="C37" i="1"/>
  <c r="I36" i="1"/>
  <c r="H36" i="1"/>
  <c r="G36" i="1"/>
  <c r="F36" i="1"/>
  <c r="E36" i="1"/>
  <c r="D36" i="1"/>
  <c r="C36" i="1"/>
  <c r="B36" i="1"/>
  <c r="I34" i="1"/>
  <c r="H34" i="1"/>
  <c r="G34" i="1"/>
  <c r="F34" i="1"/>
  <c r="B34" i="1" s="1"/>
  <c r="E34" i="1"/>
  <c r="D34" i="1"/>
  <c r="C34" i="1"/>
  <c r="I33" i="1"/>
  <c r="H33" i="1"/>
  <c r="G33" i="1"/>
  <c r="F33" i="1"/>
  <c r="E33" i="1"/>
  <c r="D33" i="1"/>
  <c r="C33" i="1"/>
  <c r="B33" i="1"/>
  <c r="I32" i="1"/>
  <c r="H32" i="1"/>
  <c r="G32" i="1"/>
  <c r="F32" i="1"/>
  <c r="E32" i="1"/>
  <c r="D32" i="1"/>
  <c r="C32" i="1"/>
  <c r="B32" i="1"/>
  <c r="I31" i="1"/>
  <c r="H31" i="1"/>
  <c r="G31" i="1"/>
  <c r="F31" i="1"/>
  <c r="B31" i="1" s="1"/>
  <c r="E31" i="1"/>
  <c r="D31" i="1"/>
  <c r="C31" i="1"/>
  <c r="I30" i="1"/>
  <c r="H30" i="1"/>
  <c r="G30" i="1"/>
  <c r="F30" i="1"/>
  <c r="E30" i="1"/>
  <c r="D30" i="1"/>
  <c r="C30" i="1"/>
  <c r="B30" i="1"/>
  <c r="I29" i="1"/>
  <c r="H29" i="1"/>
  <c r="G29" i="1"/>
  <c r="F29" i="1"/>
  <c r="E29" i="1"/>
  <c r="D29" i="1"/>
  <c r="C29" i="1"/>
  <c r="B29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I25" i="1"/>
  <c r="H25" i="1"/>
  <c r="G25" i="1"/>
  <c r="F25" i="1"/>
  <c r="B25" i="1" s="1"/>
  <c r="E25" i="1"/>
  <c r="D25" i="1"/>
  <c r="C25" i="1"/>
  <c r="I23" i="1"/>
  <c r="H23" i="1"/>
  <c r="G23" i="1"/>
  <c r="F23" i="1"/>
  <c r="E23" i="1"/>
  <c r="D23" i="1"/>
  <c r="C23" i="1"/>
  <c r="B23" i="1"/>
  <c r="I22" i="1"/>
  <c r="H22" i="1"/>
  <c r="G22" i="1"/>
  <c r="F22" i="1"/>
  <c r="B22" i="1" s="1"/>
  <c r="E22" i="1"/>
  <c r="D22" i="1"/>
  <c r="C22" i="1"/>
  <c r="I21" i="1"/>
  <c r="H21" i="1"/>
  <c r="G21" i="1"/>
  <c r="F21" i="1"/>
  <c r="E21" i="1"/>
  <c r="D21" i="1"/>
  <c r="C21" i="1"/>
  <c r="B21" i="1"/>
  <c r="I20" i="1"/>
  <c r="H20" i="1"/>
  <c r="G20" i="1"/>
  <c r="F20" i="1"/>
  <c r="E20" i="1"/>
  <c r="D20" i="1"/>
  <c r="C20" i="1"/>
  <c r="B20" i="1"/>
  <c r="I19" i="1"/>
  <c r="H19" i="1"/>
  <c r="G19" i="1"/>
  <c r="F19" i="1"/>
  <c r="B19" i="1" s="1"/>
  <c r="E19" i="1"/>
  <c r="D19" i="1"/>
  <c r="C19" i="1"/>
  <c r="I18" i="1"/>
  <c r="H18" i="1"/>
  <c r="G18" i="1"/>
  <c r="F18" i="1"/>
  <c r="E18" i="1"/>
  <c r="D18" i="1"/>
  <c r="B18" i="1" s="1"/>
  <c r="C18" i="1"/>
  <c r="I17" i="1"/>
  <c r="H17" i="1"/>
  <c r="G17" i="1"/>
  <c r="F17" i="1"/>
  <c r="E17" i="1"/>
  <c r="D17" i="1"/>
  <c r="C17" i="1"/>
  <c r="B17" i="1"/>
  <c r="I16" i="1"/>
  <c r="H16" i="1"/>
  <c r="G16" i="1"/>
  <c r="F16" i="1"/>
  <c r="B16" i="1" s="1"/>
  <c r="E16" i="1"/>
  <c r="D16" i="1"/>
  <c r="C16" i="1"/>
  <c r="I15" i="1"/>
  <c r="H15" i="1"/>
  <c r="G15" i="1"/>
  <c r="F15" i="1"/>
  <c r="E15" i="1"/>
  <c r="D15" i="1"/>
  <c r="C15" i="1"/>
  <c r="B15" i="1"/>
  <c r="I14" i="1"/>
  <c r="I13" i="1" s="1"/>
  <c r="H14" i="1"/>
  <c r="H13" i="1" s="1"/>
  <c r="G14" i="1"/>
  <c r="G13" i="1" s="1"/>
  <c r="F14" i="1"/>
  <c r="F13" i="1" s="1"/>
  <c r="E14" i="1"/>
  <c r="E13" i="1" s="1"/>
  <c r="D14" i="1"/>
  <c r="D13" i="1" s="1"/>
  <c r="C14" i="1"/>
  <c r="C13" i="1" s="1"/>
  <c r="B14" i="1"/>
  <c r="B13" i="1" l="1"/>
</calcChain>
</file>

<file path=xl/sharedStrings.xml><?xml version="1.0" encoding="utf-8"?>
<sst xmlns="http://schemas.openxmlformats.org/spreadsheetml/2006/main" count="40" uniqueCount="40">
  <si>
    <t>STOCK DE DEUDA PROVINCIAL AL 30 DE JUNIO DE 2025 (1)</t>
  </si>
  <si>
    <t>en millones de pesos</t>
  </si>
  <si>
    <t>Jurisdicción</t>
  </si>
  <si>
    <t>Total sin deuda flotante</t>
  </si>
  <si>
    <t>Gobierno Nacional</t>
  </si>
  <si>
    <t>FFFIR</t>
  </si>
  <si>
    <t>FFDP</t>
  </si>
  <si>
    <t>Bancos</t>
  </si>
  <si>
    <t>Deuda consolidada</t>
  </si>
  <si>
    <t>Bonos
(2)</t>
  </si>
  <si>
    <t>Organismos Internacionales</t>
  </si>
  <si>
    <t xml:space="preserve">TOTAL 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</si>
  <si>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</si>
  <si>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</si>
  <si>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</si>
  <si>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</si>
  <si>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</si>
  <si>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</si>
  <si>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</si>
  <si>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</si>
  <si>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CABA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</si>
  <si>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</si>
  <si>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</si>
  <si>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</si>
  <si>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</si>
  <si>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</si>
  <si>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</si>
  <si>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</si>
  <si>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</si>
  <si>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</si>
  <si>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</si>
  <si>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</si>
  <si>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Fé</t>
  </si>
  <si>
    <t>Santiago del Estero</t>
  </si>
  <si>
    <t>Tierra del Fuego</t>
  </si>
  <si>
    <t>Tucumán</t>
  </si>
  <si>
    <t>Notas:</t>
  </si>
  <si>
    <t>1).-Todos los datos son preliminares y se encuentran sujetos a revisión. No se incluye la Deuda Flotante ni Contingente.</t>
  </si>
  <si>
    <t>2).- Bonos expresados a Valor Residual.</t>
  </si>
  <si>
    <t>SUBSECRETARÍA DE COORDINACIÓN FISCAL PROVINCIAL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</si>
</sst>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 \-0;\ \-;\ 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252C4F"/>
      <name val="Roboto"/>
    </font>
    <font>
      <sz val="10"/>
      <name val="Roboto"/>
    </font>
    <font>
      <b/>
      <sz val="14"/>
      <name val="Roboto"/>
    </font>
    <font>
      <b/>
      <sz val="11"/>
      <color indexed="8"/>
      <name val="Roboto"/>
    </font>
    <font>
      <b/>
      <sz val="11"/>
      <color indexed="56"/>
      <name val="Roboto"/>
    </font>
    <font>
      <sz val="11"/>
      <color indexed="56"/>
      <name val="Roboto"/>
    </font>
    <font>
      <b/>
      <sz val="11"/>
      <color theme="0"/>
      <name val="Roboto"/>
    </font>
    <font>
      <b/>
      <sz val="11"/>
      <name val="Roboto"/>
    </font>
    <font>
      <sz val="11"/>
      <color indexed="8"/>
      <name val="Roboto"/>
    </font>
    <font>
      <b/>
      <i/>
      <sz val="8"/>
      <name val="Roboto"/>
    </font>
    <font>
      <b/>
      <sz val="8"/>
      <color indexed="8"/>
      <name val="Roboto"/>
    </font>
    <font>
      <sz val="10"/>
      <color indexed="56"/>
      <name val="Roboto"/>
    </font>
    <font>
      <b/>
      <u/>
      <sz val="11"/>
      <color indexed="8"/>
      <name val="Roboto"/>
    </font>
    <font>
      <sz val="11"/>
      <name val="Roboto"/>
    </font>
    <font>
      <sz val="8"/>
      <name val="Roboto"/>
    </font>
    <font>
      <b/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52C4F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3" fontId="7" fillId="2" borderId="0" xfId="1" applyNumberFormat="1" applyFont="1" applyFill="1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/>
    </xf>
    <xf numFmtId="164" fontId="9" fillId="4" borderId="2" xfId="2" applyNumberFormat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left"/>
    </xf>
    <xf numFmtId="164" fontId="10" fillId="2" borderId="4" xfId="1" applyNumberFormat="1" applyFont="1" applyFill="1" applyBorder="1" applyAlignment="1">
      <alignment horizontal="center" vertical="center"/>
    </xf>
    <xf numFmtId="3" fontId="3" fillId="2" borderId="0" xfId="1" applyNumberFormat="1" applyFont="1" applyFill="1"/>
    <xf numFmtId="0" fontId="11" fillId="2" borderId="0" xfId="1" applyFont="1" applyFill="1"/>
    <xf numFmtId="0" fontId="12" fillId="2" borderId="0" xfId="1" applyFont="1" applyFill="1" applyAlignment="1">
      <alignment horizontal="center"/>
    </xf>
    <xf numFmtId="3" fontId="13" fillId="2" borderId="0" xfId="1" applyNumberFormat="1" applyFont="1" applyFill="1"/>
    <xf numFmtId="0" fontId="14" fillId="2" borderId="0" xfId="1" applyFont="1" applyFill="1"/>
    <xf numFmtId="0" fontId="15" fillId="2" borderId="0" xfId="1" applyFont="1" applyFill="1"/>
    <xf numFmtId="0" fontId="16" fillId="2" borderId="0" xfId="1" applyFont="1" applyFill="1"/>
    <xf numFmtId="0" fontId="17" fillId="2" borderId="0" xfId="1" applyFont="1" applyFill="1" applyAlignment="1">
      <alignment horizontal="center"/>
    </xf>
    <xf numFmtId="0" fontId="3" fillId="2" borderId="5" xfId="1" applyFont="1" applyFill="1" applyBorder="1"/>
    <xf numFmtId="0" fontId="3" fillId="0" borderId="0" xfId="2" applyFont="1"/>
    <xf numFmtId="0" fontId="17" fillId="0" borderId="0" xfId="2" applyFont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</cellXfs>
  <cellStyles count="3">
    <cellStyle name="Normal" xfId="0" builtinId="0"/>
    <cellStyle name="Normal 2" xfId="1" xr:uid="{CCB0C330-B7B3-4671-983C-E87268DAA38B}"/>
    <cellStyle name="Normal_Hoja1" xfId="2" xr:uid="{38BACF25-163B-46B7-B419-500F36E14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21216</xdr:colOff>
      <xdr:row>9</xdr:row>
      <xdr:rowOff>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82D70A71-DF09-4138-8359-E41E39C996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0" y="161925"/>
          <a:ext cx="165951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NCFP\DEUDA\Publicaciones%20Internet\Informaci&#243;n%20Estad&#237;stica\Stock\Series%202025\Jun-24%20nuevo%20forma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-25"/>
      <sheetName val="Jun-25 millones"/>
    </sheetNames>
    <sheetDataSet>
      <sheetData sheetId="0">
        <row r="8">
          <cell r="C8">
            <v>0</v>
          </cell>
          <cell r="D8">
            <v>4342672.5825940007</v>
          </cell>
          <cell r="E8">
            <v>0</v>
          </cell>
          <cell r="F8">
            <v>65942418.225900508</v>
          </cell>
          <cell r="G8">
            <v>0</v>
          </cell>
          <cell r="H8">
            <v>11669735465.925152</v>
          </cell>
          <cell r="I8">
            <v>2487243229.7560053</v>
          </cell>
        </row>
        <row r="9">
          <cell r="C9">
            <v>8949920.713184176</v>
          </cell>
          <cell r="D9">
            <v>668873.29816866515</v>
          </cell>
          <cell r="E9">
            <v>0</v>
          </cell>
          <cell r="F9">
            <v>0</v>
          </cell>
          <cell r="G9">
            <v>23036.915515999961</v>
          </cell>
          <cell r="H9">
            <v>2032257.2383150002</v>
          </cell>
          <cell r="I9">
            <v>17279922.990600001</v>
          </cell>
        </row>
        <row r="10">
          <cell r="C10">
            <v>863386.28874546732</v>
          </cell>
          <cell r="D10">
            <v>3008412.6029499997</v>
          </cell>
          <cell r="E10">
            <v>0</v>
          </cell>
          <cell r="F10">
            <v>138660064.17334127</v>
          </cell>
          <cell r="G10">
            <v>0</v>
          </cell>
          <cell r="H10">
            <v>1726513742.2234516</v>
          </cell>
          <cell r="I10">
            <v>456687900.54293203</v>
          </cell>
        </row>
        <row r="11">
          <cell r="C11">
            <v>11897812.147128301</v>
          </cell>
          <cell r="D11">
            <v>3423653.5542299999</v>
          </cell>
          <cell r="E11">
            <v>0</v>
          </cell>
          <cell r="F11">
            <v>0</v>
          </cell>
          <cell r="G11">
            <v>20258.893599999999</v>
          </cell>
          <cell r="H11">
            <v>2742457.6921000001</v>
          </cell>
          <cell r="I11">
            <v>52335886.586155713</v>
          </cell>
        </row>
        <row r="12">
          <cell r="C12">
            <v>0</v>
          </cell>
          <cell r="D12">
            <v>15100024.95004</v>
          </cell>
          <cell r="E12">
            <v>0</v>
          </cell>
          <cell r="F12">
            <v>72555356.509705603</v>
          </cell>
          <cell r="G12">
            <v>0</v>
          </cell>
          <cell r="H12">
            <v>216439123.58928907</v>
          </cell>
          <cell r="I12">
            <v>104747379.73424599</v>
          </cell>
        </row>
        <row r="13">
          <cell r="C13">
            <v>131424372.02023</v>
          </cell>
          <cell r="D13">
            <v>206125.25681000002</v>
          </cell>
          <cell r="E13">
            <v>0</v>
          </cell>
          <cell r="F13">
            <v>0</v>
          </cell>
          <cell r="G13">
            <v>0</v>
          </cell>
          <cell r="H13">
            <v>630651113.44438529</v>
          </cell>
          <cell r="I13">
            <v>26885314.717218559</v>
          </cell>
        </row>
        <row r="14">
          <cell r="C14">
            <v>400000</v>
          </cell>
          <cell r="D14">
            <v>13580970.621601306</v>
          </cell>
          <cell r="E14">
            <v>0</v>
          </cell>
          <cell r="F14">
            <v>162001389.78857142</v>
          </cell>
          <cell r="G14">
            <v>42799.304239999998</v>
          </cell>
          <cell r="H14">
            <v>398801094.3902455</v>
          </cell>
          <cell r="I14">
            <v>262225644.58181</v>
          </cell>
        </row>
        <row r="15">
          <cell r="C15">
            <v>4561975.0770846326</v>
          </cell>
          <cell r="D15">
            <v>12308499.951230742</v>
          </cell>
          <cell r="E15">
            <v>0</v>
          </cell>
          <cell r="F15">
            <v>0</v>
          </cell>
          <cell r="G15">
            <v>8889.4490000000005</v>
          </cell>
          <cell r="H15">
            <v>43217.7552</v>
          </cell>
          <cell r="I15">
            <v>11449883.133819999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87662340</v>
          </cell>
          <cell r="G16">
            <v>0</v>
          </cell>
          <cell r="H16">
            <v>756620302.14944994</v>
          </cell>
          <cell r="I16">
            <v>759766455.33387256</v>
          </cell>
        </row>
        <row r="17">
          <cell r="C17">
            <v>326291247.98230016</v>
          </cell>
          <cell r="D17">
            <v>0</v>
          </cell>
          <cell r="E17">
            <v>0</v>
          </cell>
          <cell r="F17">
            <v>83465110.25</v>
          </cell>
          <cell r="G17">
            <v>8358405.8700000001</v>
          </cell>
          <cell r="H17">
            <v>118667989.68494999</v>
          </cell>
          <cell r="I17">
            <v>123141646.57142</v>
          </cell>
        </row>
        <row r="19">
          <cell r="C19">
            <v>961854.90300000005</v>
          </cell>
          <cell r="D19">
            <v>16318550</v>
          </cell>
          <cell r="E19">
            <v>0</v>
          </cell>
          <cell r="F19">
            <v>19875.362307692303</v>
          </cell>
          <cell r="G19">
            <v>92488.42</v>
          </cell>
          <cell r="H19">
            <v>498274419.54211545</v>
          </cell>
          <cell r="I19">
            <v>33125036.675967418</v>
          </cell>
        </row>
        <row r="20">
          <cell r="C20">
            <v>0</v>
          </cell>
          <cell r="D20">
            <v>2107742.2078799997</v>
          </cell>
          <cell r="E20">
            <v>0</v>
          </cell>
          <cell r="F20">
            <v>38197398.094800003</v>
          </cell>
          <cell r="G20">
            <v>0</v>
          </cell>
          <cell r="H20">
            <v>620192114.27531028</v>
          </cell>
          <cell r="I20">
            <v>215344038.73962</v>
          </cell>
        </row>
        <row r="21">
          <cell r="C21">
            <v>17395.850999999999</v>
          </cell>
          <cell r="D21">
            <v>78883.77020099065</v>
          </cell>
          <cell r="E21">
            <v>21538.73</v>
          </cell>
          <cell r="F21">
            <v>56111.111111111415</v>
          </cell>
          <cell r="G21">
            <v>30707.173444972083</v>
          </cell>
          <cell r="H21">
            <v>64209674.727551855</v>
          </cell>
          <cell r="I21">
            <v>11959231.98474231</v>
          </cell>
        </row>
        <row r="23">
          <cell r="C23">
            <v>0</v>
          </cell>
          <cell r="D23">
            <v>3439030</v>
          </cell>
          <cell r="E23">
            <v>0</v>
          </cell>
          <cell r="F23">
            <v>0</v>
          </cell>
          <cell r="G23">
            <v>0</v>
          </cell>
          <cell r="H23">
            <v>272091918.29848498</v>
          </cell>
          <cell r="I23">
            <v>66182848</v>
          </cell>
        </row>
        <row r="24">
          <cell r="C24">
            <v>0</v>
          </cell>
          <cell r="D24">
            <v>6634425.3318578452</v>
          </cell>
          <cell r="E24">
            <v>0</v>
          </cell>
          <cell r="F24">
            <v>67886301.544666678</v>
          </cell>
          <cell r="G24">
            <v>17544118.479921125</v>
          </cell>
          <cell r="H24">
            <v>271818121.95625079</v>
          </cell>
          <cell r="I24">
            <v>77518454.011930004</v>
          </cell>
        </row>
        <row r="25">
          <cell r="C25">
            <v>477387.03071794554</v>
          </cell>
          <cell r="D25">
            <v>24233293.899995495</v>
          </cell>
          <cell r="E25">
            <v>0</v>
          </cell>
          <cell r="F25">
            <v>0</v>
          </cell>
          <cell r="G25">
            <v>0</v>
          </cell>
          <cell r="H25">
            <v>2505255.9886708744</v>
          </cell>
          <cell r="I25">
            <v>227361143.03292733</v>
          </cell>
        </row>
        <row r="26">
          <cell r="C26">
            <v>211094.68343999999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C27">
            <v>2698231.3983783983</v>
          </cell>
          <cell r="D27">
            <v>406224.049</v>
          </cell>
          <cell r="F27">
            <v>0</v>
          </cell>
          <cell r="G27">
            <v>0</v>
          </cell>
          <cell r="H27">
            <v>1852583.8759999999</v>
          </cell>
          <cell r="I27">
            <v>0</v>
          </cell>
        </row>
        <row r="28">
          <cell r="C28">
            <v>0</v>
          </cell>
          <cell r="D28">
            <v>366400</v>
          </cell>
          <cell r="E28">
            <v>0</v>
          </cell>
          <cell r="F28">
            <v>15833333.333333332</v>
          </cell>
          <cell r="G28">
            <v>0</v>
          </cell>
          <cell r="H28">
            <v>351250000</v>
          </cell>
          <cell r="I28">
            <v>312558300</v>
          </cell>
        </row>
        <row r="30">
          <cell r="C30">
            <v>751772.64434823394</v>
          </cell>
          <cell r="D30">
            <v>4740224.9122599997</v>
          </cell>
          <cell r="E30">
            <v>0</v>
          </cell>
          <cell r="F30">
            <v>0</v>
          </cell>
          <cell r="G30">
            <v>688849.62100000004</v>
          </cell>
          <cell r="H30">
            <v>114819758.257985</v>
          </cell>
          <cell r="I30">
            <v>0</v>
          </cell>
        </row>
        <row r="31">
          <cell r="C31">
            <v>1884811.4719728387</v>
          </cell>
          <cell r="D31">
            <v>13620694.29745</v>
          </cell>
          <cell r="E31">
            <v>0</v>
          </cell>
          <cell r="F31">
            <v>114669500</v>
          </cell>
          <cell r="G31">
            <v>3750004.7385100001</v>
          </cell>
          <cell r="H31">
            <v>18165541.67214983</v>
          </cell>
          <cell r="I31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790C-8407-4AE3-8277-98DE9A396304}">
  <sheetPr>
    <pageSetUpPr fitToPage="1"/>
  </sheetPr>
  <dimension ref="A4:CR44"/>
  <sheetViews>
    <sheetView tabSelected="1" workbookViewId="0">
      <selection activeCell="D3" sqref="D3"/>
    </sheetView>
  </sheetViews>
  <sheetFormatPr baseColWidth="10" defaultColWidth="11.42578125" defaultRowHeight="12.75" x14ac:dyDescent="0.2"/>
  <cols>
    <col min="1" max="1" width="24.5703125" style="2" customWidth="1"/>
    <col min="2" max="8" width="19.5703125" style="2" customWidth="1"/>
    <col min="9" max="9" width="21.85546875" style="2" customWidth="1"/>
    <col min="10" max="16384" width="11.42578125" style="2"/>
  </cols>
  <sheetData>
    <row r="4" spans="1:12" x14ac:dyDescent="0.2">
      <c r="A4" s="1"/>
      <c r="B4" s="1"/>
      <c r="C4" s="1"/>
      <c r="D4" s="1"/>
      <c r="E4" s="1"/>
      <c r="F4" s="1"/>
      <c r="G4" s="1"/>
      <c r="H4" s="1"/>
      <c r="I4" s="1"/>
    </row>
    <row r="9" spans="1:12" ht="18.75" x14ac:dyDescent="0.2">
      <c r="A9" s="22" t="s">
        <v>0</v>
      </c>
      <c r="B9" s="22"/>
      <c r="C9" s="22"/>
      <c r="D9" s="22"/>
      <c r="E9" s="22"/>
      <c r="F9" s="22"/>
      <c r="G9" s="22"/>
      <c r="H9" s="22"/>
      <c r="I9" s="22"/>
      <c r="K9" s="23"/>
      <c r="L9" s="23"/>
    </row>
    <row r="10" spans="1:12" ht="15" x14ac:dyDescent="0.25">
      <c r="A10" s="24" t="s">
        <v>1</v>
      </c>
      <c r="B10" s="24"/>
      <c r="C10" s="24"/>
      <c r="D10" s="24"/>
      <c r="E10" s="24"/>
      <c r="F10" s="24"/>
      <c r="G10" s="24"/>
      <c r="H10" s="24"/>
      <c r="I10" s="24"/>
      <c r="K10" s="23"/>
      <c r="L10" s="23"/>
    </row>
    <row r="11" spans="1:12" s="3" customFormat="1" ht="15" x14ac:dyDescent="0.25">
      <c r="A11" s="4"/>
      <c r="B11" s="5"/>
      <c r="C11" s="5"/>
      <c r="D11" s="5"/>
      <c r="E11" s="5"/>
      <c r="F11" s="5"/>
      <c r="G11" s="5"/>
      <c r="H11" s="5"/>
      <c r="I11" s="5"/>
    </row>
    <row r="12" spans="1:12" ht="30" x14ac:dyDescent="0.2">
      <c r="A12" s="6" t="s">
        <v>2</v>
      </c>
      <c r="B12" s="6" t="s">
        <v>3</v>
      </c>
      <c r="C12" s="6" t="s">
        <v>4</v>
      </c>
      <c r="D12" s="6" t="s">
        <v>5</v>
      </c>
      <c r="E12" s="6" t="s">
        <v>6</v>
      </c>
      <c r="F12" s="6" t="s">
        <v>7</v>
      </c>
      <c r="G12" s="6" t="s">
        <v>8</v>
      </c>
      <c r="H12" s="6" t="s">
        <v>9</v>
      </c>
      <c r="I12" s="6" t="s">
        <v>10</v>
      </c>
    </row>
    <row r="13" spans="1:12" ht="15" x14ac:dyDescent="0.25">
      <c r="A13" s="7" t="s">
        <v>11</v>
      </c>
      <c r="B13" s="8">
        <f t="shared" ref="B13:I13" si="0">SUM(B14:B37)</f>
        <v>24476744.728567086</v>
      </c>
      <c r="C13" s="8">
        <f t="shared" si="0"/>
        <v>491391.26221153012</v>
      </c>
      <c r="D13" s="8">
        <f t="shared" si="0"/>
        <v>124584.70128626903</v>
      </c>
      <c r="E13" s="8">
        <f t="shared" si="0"/>
        <v>21.538730000000001</v>
      </c>
      <c r="F13" s="8">
        <f t="shared" si="0"/>
        <v>846949.19839373755</v>
      </c>
      <c r="G13" s="8">
        <f t="shared" si="0"/>
        <v>30559.558865232098</v>
      </c>
      <c r="H13" s="8">
        <f t="shared" si="0"/>
        <v>17737426.152687062</v>
      </c>
      <c r="I13" s="8">
        <f t="shared" si="0"/>
        <v>5245812.3163932664</v>
      </c>
    </row>
    <row r="14" spans="1:12" ht="15" x14ac:dyDescent="0.25">
      <c r="A14" s="9" t="s">
        <v>12</v>
      </c>
      <c r="B14" s="8">
        <f t="shared" ref="B14:B37" si="1">+C14+D14+E14+F14+G14+H14+I14</f>
        <v>14227263.786489651</v>
      </c>
      <c r="C14" s="10">
        <f>+'[1]Jun-25'!C8/1000</f>
        <v>0</v>
      </c>
      <c r="D14" s="10">
        <f>+'[1]Jun-25'!D8/1000</f>
        <v>4342.6725825940011</v>
      </c>
      <c r="E14" s="10">
        <f>+'[1]Jun-25'!E8/1000</f>
        <v>0</v>
      </c>
      <c r="F14" s="10">
        <f>+'[1]Jun-25'!F8/1000</f>
        <v>65942.418225900503</v>
      </c>
      <c r="G14" s="10">
        <f>+'[1]Jun-25'!G8/1000</f>
        <v>0</v>
      </c>
      <c r="H14" s="10">
        <f>+'[1]Jun-25'!H8/1000</f>
        <v>11669735.465925151</v>
      </c>
      <c r="I14" s="10">
        <f>+'[1]Jun-25'!I8/1000</f>
        <v>2487243.2297560051</v>
      </c>
    </row>
    <row r="15" spans="1:12" ht="15" x14ac:dyDescent="0.25">
      <c r="A15" s="9" t="s">
        <v>13</v>
      </c>
      <c r="B15" s="8">
        <f t="shared" si="1"/>
        <v>28954.011155783839</v>
      </c>
      <c r="C15" s="10">
        <f>+'[1]Jun-25'!C9/1000</f>
        <v>8949.9207131841758</v>
      </c>
      <c r="D15" s="10">
        <f>+'[1]Jun-25'!D9/1000</f>
        <v>668.8732981686652</v>
      </c>
      <c r="E15" s="10">
        <f>+'[1]Jun-25'!E9/1000</f>
        <v>0</v>
      </c>
      <c r="F15" s="10">
        <f>+'[1]Jun-25'!F9/1000</f>
        <v>0</v>
      </c>
      <c r="G15" s="10">
        <f>+'[1]Jun-25'!G9/1000</f>
        <v>23.036915515999961</v>
      </c>
      <c r="H15" s="10">
        <f>+'[1]Jun-25'!H9/1000</f>
        <v>2032.2572383150002</v>
      </c>
      <c r="I15" s="10">
        <f>+'[1]Jun-25'!I9/1000</f>
        <v>17279.9229906</v>
      </c>
    </row>
    <row r="16" spans="1:12" ht="15" x14ac:dyDescent="0.25">
      <c r="A16" s="9" t="s">
        <v>14</v>
      </c>
      <c r="B16" s="8">
        <f t="shared" si="1"/>
        <v>2325733.5058314204</v>
      </c>
      <c r="C16" s="10">
        <f>+'[1]Jun-25'!C10/1000</f>
        <v>863.38628874546737</v>
      </c>
      <c r="D16" s="10">
        <f>+'[1]Jun-25'!D10/1000</f>
        <v>3008.4126029499998</v>
      </c>
      <c r="E16" s="10">
        <f>+'[1]Jun-25'!E10/1000</f>
        <v>0</v>
      </c>
      <c r="F16" s="10">
        <f>+'[1]Jun-25'!F10/1000</f>
        <v>138660.06417334126</v>
      </c>
      <c r="G16" s="10">
        <f>+'[1]Jun-25'!G10/1000</f>
        <v>0</v>
      </c>
      <c r="H16" s="10">
        <f>+'[1]Jun-25'!H10/1000</f>
        <v>1726513.7422234516</v>
      </c>
      <c r="I16" s="10">
        <f>+'[1]Jun-25'!I10/1000</f>
        <v>456687.90054293204</v>
      </c>
      <c r="J16" s="11"/>
    </row>
    <row r="17" spans="1:9" ht="15" x14ac:dyDescent="0.25">
      <c r="A17" s="9" t="s">
        <v>15</v>
      </c>
      <c r="B17" s="8">
        <f t="shared" si="1"/>
        <v>70420.068873214012</v>
      </c>
      <c r="C17" s="10">
        <f>+'[1]Jun-25'!C11/1000</f>
        <v>11897.812147128301</v>
      </c>
      <c r="D17" s="10">
        <f>+'[1]Jun-25'!D11/1000</f>
        <v>3423.6535542299998</v>
      </c>
      <c r="E17" s="10">
        <f>+'[1]Jun-25'!E11/1000</f>
        <v>0</v>
      </c>
      <c r="F17" s="10">
        <f>+'[1]Jun-25'!F11/1000</f>
        <v>0</v>
      </c>
      <c r="G17" s="10">
        <f>+'[1]Jun-25'!G11/1000</f>
        <v>20.2588936</v>
      </c>
      <c r="H17" s="10">
        <f>+'[1]Jun-25'!H11/1000</f>
        <v>2742.4576921000003</v>
      </c>
      <c r="I17" s="10">
        <f>+'[1]Jun-25'!I11/1000</f>
        <v>52335.886586155713</v>
      </c>
    </row>
    <row r="18" spans="1:9" ht="15" x14ac:dyDescent="0.25">
      <c r="A18" s="9" t="s">
        <v>16</v>
      </c>
      <c r="B18" s="8">
        <f t="shared" si="1"/>
        <v>408841.88478328066</v>
      </c>
      <c r="C18" s="10">
        <f>+'[1]Jun-25'!C12/1000</f>
        <v>0</v>
      </c>
      <c r="D18" s="10">
        <f>+'[1]Jun-25'!D12/1000</f>
        <v>15100.024950039999</v>
      </c>
      <c r="E18" s="10">
        <f>+'[1]Jun-25'!E12/1000</f>
        <v>0</v>
      </c>
      <c r="F18" s="10">
        <f>+'[1]Jun-25'!F12/1000</f>
        <v>72555.356509705598</v>
      </c>
      <c r="G18" s="10">
        <f>+'[1]Jun-25'!G12/1000</f>
        <v>0</v>
      </c>
      <c r="H18" s="10">
        <f>+'[1]Jun-25'!H12/1000</f>
        <v>216439.12358928908</v>
      </c>
      <c r="I18" s="10">
        <f>+'[1]Jun-25'!I12/1000</f>
        <v>104747.37973424599</v>
      </c>
    </row>
    <row r="19" spans="1:9" ht="15" x14ac:dyDescent="0.25">
      <c r="A19" s="9" t="s">
        <v>17</v>
      </c>
      <c r="B19" s="8">
        <f t="shared" si="1"/>
        <v>789166.92543864367</v>
      </c>
      <c r="C19" s="10">
        <f>+'[1]Jun-25'!C13/1000</f>
        <v>131424.37202022999</v>
      </c>
      <c r="D19" s="10">
        <f>+'[1]Jun-25'!D13/1000</f>
        <v>206.12525681000002</v>
      </c>
      <c r="E19" s="10">
        <f>+'[1]Jun-25'!E13/1000</f>
        <v>0</v>
      </c>
      <c r="F19" s="10">
        <f>+'[1]Jun-25'!F13/1000</f>
        <v>0</v>
      </c>
      <c r="G19" s="10">
        <f>+'[1]Jun-25'!G13/1000</f>
        <v>0</v>
      </c>
      <c r="H19" s="10">
        <f>+'[1]Jun-25'!H13/1000</f>
        <v>630651.11344438524</v>
      </c>
      <c r="I19" s="10">
        <f>+'[1]Jun-25'!I13/1000</f>
        <v>26885.31471721856</v>
      </c>
    </row>
    <row r="20" spans="1:9" ht="15" x14ac:dyDescent="0.25">
      <c r="A20" s="9" t="s">
        <v>18</v>
      </c>
      <c r="B20" s="8">
        <f t="shared" si="1"/>
        <v>837051.89868646825</v>
      </c>
      <c r="C20" s="10">
        <f>+'[1]Jun-25'!C14/1000</f>
        <v>400</v>
      </c>
      <c r="D20" s="10">
        <f>+'[1]Jun-25'!D14/1000</f>
        <v>13580.970621601306</v>
      </c>
      <c r="E20" s="10">
        <f>+'[1]Jun-25'!E14/1000</f>
        <v>0</v>
      </c>
      <c r="F20" s="10">
        <f>+'[1]Jun-25'!F14/1000</f>
        <v>162001.38978857143</v>
      </c>
      <c r="G20" s="10">
        <f>+'[1]Jun-25'!G14/1000</f>
        <v>42.799304239999998</v>
      </c>
      <c r="H20" s="10">
        <f>+'[1]Jun-25'!H14/1000</f>
        <v>398801.0943902455</v>
      </c>
      <c r="I20" s="10">
        <f>+'[1]Jun-25'!I14/1000</f>
        <v>262225.64458180999</v>
      </c>
    </row>
    <row r="21" spans="1:9" ht="15" x14ac:dyDescent="0.25">
      <c r="A21" s="9" t="s">
        <v>19</v>
      </c>
      <c r="B21" s="8">
        <f t="shared" si="1"/>
        <v>28372.465366335371</v>
      </c>
      <c r="C21" s="10">
        <f>+'[1]Jun-25'!C15/1000</f>
        <v>4561.9750770846322</v>
      </c>
      <c r="D21" s="10">
        <f>+'[1]Jun-25'!D15/1000</f>
        <v>12308.499951230742</v>
      </c>
      <c r="E21" s="10">
        <f>+'[1]Jun-25'!E15/1000</f>
        <v>0</v>
      </c>
      <c r="F21" s="10">
        <f>+'[1]Jun-25'!F15/1000</f>
        <v>0</v>
      </c>
      <c r="G21" s="10">
        <f>+'[1]Jun-25'!G15/1000</f>
        <v>8.8894490000000008</v>
      </c>
      <c r="H21" s="10">
        <f>+'[1]Jun-25'!H15/1000</f>
        <v>43.217755199999999</v>
      </c>
      <c r="I21" s="10">
        <f>+'[1]Jun-25'!I15/1000</f>
        <v>11449.88313382</v>
      </c>
    </row>
    <row r="22" spans="1:9" ht="15" x14ac:dyDescent="0.25">
      <c r="A22" s="9" t="s">
        <v>20</v>
      </c>
      <c r="B22" s="8">
        <f t="shared" si="1"/>
        <v>1604049.0974833225</v>
      </c>
      <c r="C22" s="10">
        <f>+'[1]Jun-25'!C16/1000</f>
        <v>0</v>
      </c>
      <c r="D22" s="10">
        <f>+'[1]Jun-25'!D16/1000</f>
        <v>0</v>
      </c>
      <c r="E22" s="10">
        <f>+'[1]Jun-25'!E16/1000</f>
        <v>0</v>
      </c>
      <c r="F22" s="10">
        <f>+'[1]Jun-25'!F16/1000</f>
        <v>87662.34</v>
      </c>
      <c r="G22" s="10">
        <f>+'[1]Jun-25'!G16/1000</f>
        <v>0</v>
      </c>
      <c r="H22" s="10">
        <f>+'[1]Jun-25'!H16/1000</f>
        <v>756620.30214944994</v>
      </c>
      <c r="I22" s="10">
        <f>+'[1]Jun-25'!I16/1000</f>
        <v>759766.45533387258</v>
      </c>
    </row>
    <row r="23" spans="1:9" ht="15" x14ac:dyDescent="0.25">
      <c r="A23" s="9" t="s">
        <v>21</v>
      </c>
      <c r="B23" s="8">
        <f t="shared" si="1"/>
        <v>659924.40035867016</v>
      </c>
      <c r="C23" s="10">
        <f>+'[1]Jun-25'!C17/1000</f>
        <v>326291.24798230018</v>
      </c>
      <c r="D23" s="10">
        <f>+'[1]Jun-25'!D17/1000</f>
        <v>0</v>
      </c>
      <c r="E23" s="10">
        <f>+'[1]Jun-25'!E17/1000</f>
        <v>0</v>
      </c>
      <c r="F23" s="10">
        <f>+'[1]Jun-25'!F17/1000</f>
        <v>83465.110249999998</v>
      </c>
      <c r="G23" s="10">
        <f>+'[1]Jun-25'!G17/1000</f>
        <v>8358.4058700000005</v>
      </c>
      <c r="H23" s="10">
        <f>+'[1]Jun-25'!H17/1000</f>
        <v>118667.98968494999</v>
      </c>
      <c r="I23" s="10">
        <f>+'[1]Jun-25'!I17/1000</f>
        <v>123141.64657142</v>
      </c>
    </row>
    <row r="24" spans="1:9" ht="15" x14ac:dyDescent="0.25">
      <c r="A24" s="9" t="s">
        <v>22</v>
      </c>
      <c r="B24" s="8"/>
      <c r="C24" s="10"/>
      <c r="D24" s="10"/>
      <c r="E24" s="10"/>
      <c r="F24" s="10"/>
      <c r="G24" s="10"/>
      <c r="H24" s="10"/>
      <c r="I24" s="10"/>
    </row>
    <row r="25" spans="1:9" ht="15" x14ac:dyDescent="0.25">
      <c r="A25" s="9" t="s">
        <v>23</v>
      </c>
      <c r="B25" s="8">
        <f t="shared" si="1"/>
        <v>548792.22490339063</v>
      </c>
      <c r="C25" s="10">
        <f>+'[1]Jun-25'!C19/1000</f>
        <v>961.85490300000004</v>
      </c>
      <c r="D25" s="10">
        <f>+'[1]Jun-25'!D19/1000</f>
        <v>16318.55</v>
      </c>
      <c r="E25" s="10">
        <f>+'[1]Jun-25'!E19/1000</f>
        <v>0</v>
      </c>
      <c r="F25" s="10">
        <f>+'[1]Jun-25'!F19/1000</f>
        <v>19.875362307692303</v>
      </c>
      <c r="G25" s="10">
        <f>+'[1]Jun-25'!G19/1000</f>
        <v>92.488420000000005</v>
      </c>
      <c r="H25" s="10">
        <f>+'[1]Jun-25'!H19/1000</f>
        <v>498274.41954211547</v>
      </c>
      <c r="I25" s="10">
        <f>+'[1]Jun-25'!I19/1000</f>
        <v>33125.036675967414</v>
      </c>
    </row>
    <row r="26" spans="1:9" ht="15" x14ac:dyDescent="0.25">
      <c r="A26" s="9" t="s">
        <v>24</v>
      </c>
      <c r="B26" s="8">
        <f t="shared" si="1"/>
        <v>875841.29331761028</v>
      </c>
      <c r="C26" s="10">
        <f>+'[1]Jun-25'!C20/1000</f>
        <v>0</v>
      </c>
      <c r="D26" s="10">
        <f>+'[1]Jun-25'!D20/1000</f>
        <v>2107.7422078799996</v>
      </c>
      <c r="E26" s="10">
        <f>+'[1]Jun-25'!E20/1000</f>
        <v>0</v>
      </c>
      <c r="F26" s="10">
        <f>+'[1]Jun-25'!F20/1000</f>
        <v>38197.398094800003</v>
      </c>
      <c r="G26" s="10">
        <f>+'[1]Jun-25'!G20/1000</f>
        <v>0</v>
      </c>
      <c r="H26" s="10">
        <f>+'[1]Jun-25'!H20/1000</f>
        <v>620192.1142753103</v>
      </c>
      <c r="I26" s="10">
        <f>+'[1]Jun-25'!I20/1000</f>
        <v>215344.03873962001</v>
      </c>
    </row>
    <row r="27" spans="1:9" ht="15" x14ac:dyDescent="0.25">
      <c r="A27" s="9" t="s">
        <v>25</v>
      </c>
      <c r="B27" s="8">
        <f t="shared" si="1"/>
        <v>76373.543348051244</v>
      </c>
      <c r="C27" s="10">
        <f>+'[1]Jun-25'!C21/1000</f>
        <v>17.395851</v>
      </c>
      <c r="D27" s="10">
        <f>+'[1]Jun-25'!D21/1000</f>
        <v>78.883770200990654</v>
      </c>
      <c r="E27" s="10">
        <f>+'[1]Jun-25'!E21/1000</f>
        <v>21.538730000000001</v>
      </c>
      <c r="F27" s="10">
        <f>+'[1]Jun-25'!F21/1000</f>
        <v>56.111111111111413</v>
      </c>
      <c r="G27" s="10">
        <f>+'[1]Jun-25'!G21/1000</f>
        <v>30.707173444972081</v>
      </c>
      <c r="H27" s="10">
        <f>+'[1]Jun-25'!H21/1000</f>
        <v>64209.674727551857</v>
      </c>
      <c r="I27" s="10">
        <f>+'[1]Jun-25'!I21/1000</f>
        <v>11959.23198474231</v>
      </c>
    </row>
    <row r="28" spans="1:9" ht="15" x14ac:dyDescent="0.25">
      <c r="A28" s="9" t="s">
        <v>26</v>
      </c>
      <c r="B28" s="8"/>
      <c r="C28" s="10"/>
      <c r="D28" s="10"/>
      <c r="E28" s="10"/>
      <c r="F28" s="10"/>
      <c r="G28" s="10"/>
      <c r="H28" s="10"/>
      <c r="I28" s="10"/>
    </row>
    <row r="29" spans="1:9" ht="15" x14ac:dyDescent="0.25">
      <c r="A29" s="9" t="s">
        <v>27</v>
      </c>
      <c r="B29" s="8">
        <f t="shared" si="1"/>
        <v>341713.79629848502</v>
      </c>
      <c r="C29" s="10">
        <f>+'[1]Jun-25'!C23/1000</f>
        <v>0</v>
      </c>
      <c r="D29" s="10">
        <f>+'[1]Jun-25'!D23/1000</f>
        <v>3439.03</v>
      </c>
      <c r="E29" s="10">
        <f>+'[1]Jun-25'!E23/1000</f>
        <v>0</v>
      </c>
      <c r="F29" s="10">
        <f>+'[1]Jun-25'!F23/1000</f>
        <v>0</v>
      </c>
      <c r="G29" s="10">
        <f>+'[1]Jun-25'!G23/1000</f>
        <v>0</v>
      </c>
      <c r="H29" s="10">
        <f>+'[1]Jun-25'!H23/1000</f>
        <v>272091.91829848499</v>
      </c>
      <c r="I29" s="10">
        <f>+'[1]Jun-25'!I23/1000</f>
        <v>66182.847999999998</v>
      </c>
    </row>
    <row r="30" spans="1:9" ht="15" x14ac:dyDescent="0.25">
      <c r="A30" s="9" t="s">
        <v>28</v>
      </c>
      <c r="B30" s="8">
        <f t="shared" si="1"/>
        <v>441401.42132462643</v>
      </c>
      <c r="C30" s="10">
        <f>+'[1]Jun-25'!C24/1000</f>
        <v>0</v>
      </c>
      <c r="D30" s="10">
        <f>+'[1]Jun-25'!D24/1000</f>
        <v>6634.4253318578449</v>
      </c>
      <c r="E30" s="10">
        <f>+'[1]Jun-25'!E24/1000</f>
        <v>0</v>
      </c>
      <c r="F30" s="10">
        <f>+'[1]Jun-25'!F24/1000</f>
        <v>67886.301544666683</v>
      </c>
      <c r="G30" s="10">
        <f>+'[1]Jun-25'!G24/1000</f>
        <v>17544.118479921126</v>
      </c>
      <c r="H30" s="10">
        <f>+'[1]Jun-25'!H24/1000</f>
        <v>271818.1219562508</v>
      </c>
      <c r="I30" s="10">
        <f>+'[1]Jun-25'!I24/1000</f>
        <v>77518.454011930007</v>
      </c>
    </row>
    <row r="31" spans="1:9" ht="15" x14ac:dyDescent="0.25">
      <c r="A31" s="9" t="s">
        <v>29</v>
      </c>
      <c r="B31" s="8">
        <f t="shared" si="1"/>
        <v>254577.07995231164</v>
      </c>
      <c r="C31" s="10">
        <f>+'[1]Jun-25'!C25/1000</f>
        <v>477.38703071794555</v>
      </c>
      <c r="D31" s="10">
        <f>+'[1]Jun-25'!D25/1000</f>
        <v>24233.293899995493</v>
      </c>
      <c r="E31" s="10">
        <f>+'[1]Jun-25'!E25/1000</f>
        <v>0</v>
      </c>
      <c r="F31" s="10">
        <f>+'[1]Jun-25'!F25/1000</f>
        <v>0</v>
      </c>
      <c r="G31" s="10">
        <f>+'[1]Jun-25'!G25/1000</f>
        <v>0</v>
      </c>
      <c r="H31" s="10">
        <f>+'[1]Jun-25'!H25/1000</f>
        <v>2505.2559886708746</v>
      </c>
      <c r="I31" s="10">
        <f>+'[1]Jun-25'!I25/1000</f>
        <v>227361.14303292733</v>
      </c>
    </row>
    <row r="32" spans="1:9" ht="15" x14ac:dyDescent="0.25">
      <c r="A32" s="9" t="s">
        <v>30</v>
      </c>
      <c r="B32" s="8">
        <f t="shared" si="1"/>
        <v>211.09468343999998</v>
      </c>
      <c r="C32" s="10">
        <f>+'[1]Jun-25'!C26/1000</f>
        <v>211.09468343999998</v>
      </c>
      <c r="D32" s="10">
        <f>+'[1]Jun-25'!D26/1000</f>
        <v>0</v>
      </c>
      <c r="E32" s="10">
        <f>+'[1]Jun-25'!E26/1000</f>
        <v>0</v>
      </c>
      <c r="F32" s="10">
        <f>+'[1]Jun-25'!F26/1000</f>
        <v>0</v>
      </c>
      <c r="G32" s="10">
        <f>+'[1]Jun-25'!G26/1000</f>
        <v>0</v>
      </c>
      <c r="H32" s="10">
        <f>+'[1]Jun-25'!H26/1000</f>
        <v>0</v>
      </c>
      <c r="I32" s="10">
        <f>+'[1]Jun-25'!I26/1000</f>
        <v>0</v>
      </c>
    </row>
    <row r="33" spans="1:96" ht="15" x14ac:dyDescent="0.25">
      <c r="A33" s="9" t="s">
        <v>31</v>
      </c>
      <c r="B33" s="8">
        <f t="shared" si="1"/>
        <v>4957.039323378398</v>
      </c>
      <c r="C33" s="10">
        <f>+'[1]Jun-25'!C27/1000</f>
        <v>2698.2313983783984</v>
      </c>
      <c r="D33" s="10">
        <f>+'[1]Jun-25'!D27/1000</f>
        <v>406.22404899999998</v>
      </c>
      <c r="E33" s="10">
        <f>+'[1]Jun-25'!E27/1000</f>
        <v>0</v>
      </c>
      <c r="F33" s="10">
        <f>+'[1]Jun-25'!F27/1000</f>
        <v>0</v>
      </c>
      <c r="G33" s="10">
        <f>+'[1]Jun-25'!G27/1000</f>
        <v>0</v>
      </c>
      <c r="H33" s="10">
        <f>+'[1]Jun-25'!H27/1000</f>
        <v>1852.5838759999999</v>
      </c>
      <c r="I33" s="10">
        <f>+'[1]Jun-25'!I27/1000</f>
        <v>0</v>
      </c>
    </row>
    <row r="34" spans="1:96" ht="15" x14ac:dyDescent="0.25">
      <c r="A34" s="9" t="s">
        <v>32</v>
      </c>
      <c r="B34" s="8">
        <f t="shared" si="1"/>
        <v>680008.03333333333</v>
      </c>
      <c r="C34" s="10">
        <f>+'[1]Jun-25'!C28/1000</f>
        <v>0</v>
      </c>
      <c r="D34" s="10">
        <f>+'[1]Jun-25'!D28/1000</f>
        <v>366.4</v>
      </c>
      <c r="E34" s="10">
        <f>+'[1]Jun-25'!E28/1000</f>
        <v>0</v>
      </c>
      <c r="F34" s="10">
        <f>+'[1]Jun-25'!F28/1000</f>
        <v>15833.333333333332</v>
      </c>
      <c r="G34" s="10">
        <f>+'[1]Jun-25'!G28/1000</f>
        <v>0</v>
      </c>
      <c r="H34" s="10">
        <f>+'[1]Jun-25'!H28/1000</f>
        <v>351250</v>
      </c>
      <c r="I34" s="10">
        <f>+'[1]Jun-25'!I28/1000</f>
        <v>312558.3</v>
      </c>
    </row>
    <row r="35" spans="1:96" ht="15" x14ac:dyDescent="0.25">
      <c r="A35" s="9" t="s">
        <v>33</v>
      </c>
      <c r="B35" s="8"/>
      <c r="C35" s="10"/>
      <c r="D35" s="10"/>
      <c r="E35" s="10"/>
      <c r="F35" s="10"/>
      <c r="G35" s="10"/>
      <c r="H35" s="10"/>
      <c r="I35" s="10"/>
    </row>
    <row r="36" spans="1:96" ht="15" x14ac:dyDescent="0.25">
      <c r="A36" s="9" t="s">
        <v>34</v>
      </c>
      <c r="B36" s="8">
        <f t="shared" si="1"/>
        <v>121000.60543559323</v>
      </c>
      <c r="C36" s="10">
        <f>+'[1]Jun-25'!C30/1000</f>
        <v>751.77264434823394</v>
      </c>
      <c r="D36" s="10">
        <f>+'[1]Jun-25'!D30/1000</f>
        <v>4740.2249122599997</v>
      </c>
      <c r="E36" s="10">
        <f>+'[1]Jun-25'!E30/1000</f>
        <v>0</v>
      </c>
      <c r="F36" s="10">
        <f>+'[1]Jun-25'!F30/1000</f>
        <v>0</v>
      </c>
      <c r="G36" s="10">
        <f>+'[1]Jun-25'!G30/1000</f>
        <v>688.84962100000007</v>
      </c>
      <c r="H36" s="10">
        <f>+'[1]Jun-25'!H30/1000</f>
        <v>114819.758257985</v>
      </c>
      <c r="I36" s="10">
        <f>+'[1]Jun-25'!I30/1000</f>
        <v>0</v>
      </c>
    </row>
    <row r="37" spans="1:96" ht="15" x14ac:dyDescent="0.25">
      <c r="A37" s="9" t="s">
        <v>35</v>
      </c>
      <c r="B37" s="8">
        <f t="shared" si="1"/>
        <v>152090.55218008265</v>
      </c>
      <c r="C37" s="10">
        <f>+'[1]Jun-25'!C31/1000</f>
        <v>1884.8114719728387</v>
      </c>
      <c r="D37" s="10">
        <f>+'[1]Jun-25'!D31/1000</f>
        <v>13620.69429745</v>
      </c>
      <c r="E37" s="10">
        <f>+'[1]Jun-25'!E31/1000</f>
        <v>0</v>
      </c>
      <c r="F37" s="10">
        <f>+'[1]Jun-25'!F31/1000</f>
        <v>114669.5</v>
      </c>
      <c r="G37" s="10">
        <f>+'[1]Jun-25'!G31/1000</f>
        <v>3750.0047385100002</v>
      </c>
      <c r="H37" s="10">
        <f>+'[1]Jun-25'!H31/1000</f>
        <v>18165.54167214983</v>
      </c>
      <c r="I37" s="10">
        <f>+'[1]Jun-25'!I31/1000</f>
        <v>0</v>
      </c>
    </row>
    <row r="38" spans="1:96" x14ac:dyDescent="0.2">
      <c r="A38" s="12"/>
      <c r="B38" s="13"/>
      <c r="C38" s="14"/>
      <c r="D38" s="14"/>
      <c r="E38" s="14"/>
      <c r="F38" s="14"/>
      <c r="G38" s="14"/>
      <c r="H38" s="14"/>
      <c r="I38" s="14"/>
    </row>
    <row r="39" spans="1:96" ht="15" x14ac:dyDescent="0.25">
      <c r="A39" s="15" t="s">
        <v>36</v>
      </c>
      <c r="B39" s="13"/>
      <c r="C39" s="14"/>
      <c r="D39" s="14"/>
      <c r="E39" s="14"/>
      <c r="F39" s="14"/>
      <c r="G39" s="14"/>
      <c r="H39" s="14"/>
      <c r="I39" s="14"/>
    </row>
    <row r="40" spans="1:96" ht="15" x14ac:dyDescent="0.25">
      <c r="A40" s="16" t="s">
        <v>37</v>
      </c>
      <c r="B40" s="17"/>
      <c r="C40" s="17"/>
      <c r="F40" s="11"/>
      <c r="H40" s="11"/>
    </row>
    <row r="41" spans="1:96" ht="15" x14ac:dyDescent="0.25">
      <c r="A41" s="16" t="s">
        <v>38</v>
      </c>
      <c r="B41" s="18"/>
    </row>
    <row r="43" spans="1:96" s="20" customFormat="1" ht="13.5" thickBo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</row>
    <row r="44" spans="1:96" s="20" customFormat="1" x14ac:dyDescent="0.2">
      <c r="A44" s="21" t="s">
        <v>39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</row>
  </sheetData>
  <mergeCells count="3">
    <mergeCell ref="A9:I9"/>
    <mergeCell ref="K9:L10"/>
    <mergeCell ref="A10:I10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Jun-25 millones</vt:lpstr>
      <vt:lpstr>'Jun-25 millones'!Área_de_impresión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sialva</dc:creator>
  <cp:lastModifiedBy>miselli@provincias.mecon.ar</cp:lastModifiedBy>
  <dcterms:created xsi:type="dcterms:W3CDTF">2025-10-09T18:20:11Z</dcterms:created>
  <dcterms:modified xsi:type="dcterms:W3CDTF">2025-10-15T20:52:01Z</dcterms:modified>
</cp:coreProperties>
</file>