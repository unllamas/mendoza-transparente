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\ _€_-;\-* #,##0.00\ _€_-;_-* &quot;-&quot;??\ _€_-;_-@_-"/>
    <numFmt numFmtId="167" formatCode="_(&quot;$&quot;* #,##0.00_);_(&quot;$&quot;* \(#,##0.00\);_(&quot;$&quot;* &quot;-&quot;??_);_(@_)"/>
    <numFmt numFmtId="168" formatCode="[$$-2C0A]\ #,##0.00"/>
    <numFmt numFmtId="169" formatCode="00000"/>
    <numFmt numFmtId="170" formatCode="&quot;$&quot;\ #,##0.00"/>
    <numFmt numFmtId="171" formatCode="_-[$$-2C0A]\ * #,##0.00_-;\-[$$-2C0A]\ * #,##0.00_-;_-[$$-2C0A]\ * &quot;-&quot;??_-;_-@_-"/>
    <numFmt numFmtId="172" formatCode="dd/mm/yy;@"/>
    <numFmt numFmtId="173" formatCode="###,###,###,###,##0.00"/>
    <numFmt numFmtId="174" formatCode="dd\-mm\-yyyy;@"/>
    <numFmt numFmtId="175" formatCode="d\-m\-yy;@"/>
    <numFmt numFmtId="176" formatCode="ddmmyyyy"/>
    <numFmt numFmtId="177" formatCode="0.00_ ;\-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76"/>
  <sheetViews>
    <sheetView workbookViewId="0"/>
  </sheetViews>
  <sheetData>
    <row r="3">
      <c r="B3" t="str">
        <v>ACUERDO Nº 3949 (T.O. ACUERDO 6644/25 H.T.C.)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2026</v>
      </c>
      <c r="G8" t="str">
        <v>TRIMESTRE: 2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17627786012</v>
      </c>
      <c r="E13">
        <v>17627786012</v>
      </c>
      <c r="F13">
        <v>17627786012</v>
      </c>
      <c r="G13">
        <v>17627786012</v>
      </c>
      <c r="H13">
        <v>70511144048</v>
      </c>
    </row>
    <row r="14">
      <c r="B14" t="str">
        <v>II</v>
      </c>
      <c r="C14" t="str">
        <v>GASTOS CORRIENTES</v>
      </c>
      <c r="D14">
        <v>14624920066.75</v>
      </c>
      <c r="E14">
        <v>14624920066.75</v>
      </c>
      <c r="F14">
        <v>14624920066.75</v>
      </c>
      <c r="G14">
        <v>14624920066.75</v>
      </c>
      <c r="H14">
        <v>58499680267</v>
      </c>
    </row>
    <row r="15">
      <c r="B15" t="str">
        <v>III</v>
      </c>
      <c r="C15" t="str">
        <v>RESULTADO ECONOMICO (I-II)</v>
      </c>
      <c r="D15">
        <f>+D13-D14</f>
        <v>3002865945.25</v>
      </c>
      <c r="E15">
        <f>+E13-E14</f>
        <v>3002865945.25</v>
      </c>
      <c r="F15">
        <f>+F13-F14</f>
        <v>3002865945.25</v>
      </c>
      <c r="G15">
        <f>+G13-G14</f>
        <v>3002865945.25</v>
      </c>
      <c r="H15">
        <f>+D15+E15+F15+G15</f>
        <v>12011463781</v>
      </c>
    </row>
    <row r="16">
      <c r="B16" t="str">
        <v>IV</v>
      </c>
      <c r="C16" t="str">
        <v>RECURSOS DE CAPITAL</v>
      </c>
      <c r="D16">
        <v>5000000</v>
      </c>
      <c r="E16">
        <v>5000000</v>
      </c>
      <c r="F16">
        <v>5000000</v>
      </c>
      <c r="G16">
        <v>5000000</v>
      </c>
      <c r="H16">
        <v>20000000</v>
      </c>
    </row>
    <row r="17">
      <c r="B17" t="str">
        <v>V</v>
      </c>
      <c r="C17" t="str">
        <v>GASTOS DE CAPITAL</v>
      </c>
      <c r="D17">
        <v>5422215934.5</v>
      </c>
      <c r="E17">
        <v>5422215934.5</v>
      </c>
      <c r="F17">
        <v>5422215934.5</v>
      </c>
      <c r="G17">
        <v>5422215934.5</v>
      </c>
      <c r="H17">
        <v>21688863738</v>
      </c>
    </row>
    <row r="18">
      <c r="B18" t="str">
        <v>VI</v>
      </c>
      <c r="C18" t="str">
        <v>EXCEDENTES (III+IV-V)</v>
      </c>
      <c r="D18">
        <f>+D15+D16-D17</f>
        <v>-2414349989.25</v>
      </c>
      <c r="E18">
        <f>+E15+E16-E17</f>
        <v>-2414349989.25</v>
      </c>
      <c r="F18">
        <f>+F15+F16-F17</f>
        <v>-2414349989.25</v>
      </c>
      <c r="G18">
        <f>+G15+G16-G17</f>
        <v>-2414349989.25</v>
      </c>
      <c r="H18">
        <f>+D18+E18+F18+G18</f>
        <v>-9657399957</v>
      </c>
    </row>
    <row r="19">
      <c r="C19" t="str">
        <v>TOTAL RECURSOS (I+IV)</v>
      </c>
      <c r="D19">
        <f>+D13+D16</f>
        <v>17632786012</v>
      </c>
      <c r="E19">
        <f>+E13+E16</f>
        <v>17632786012</v>
      </c>
      <c r="F19">
        <f>+F13+F16</f>
        <v>17632786012</v>
      </c>
      <c r="G19">
        <f>+G13+G16</f>
        <v>17632786012</v>
      </c>
      <c r="H19">
        <f>+D19+E19+F19+G19</f>
        <v>70531144048</v>
      </c>
    </row>
    <row r="20">
      <c r="C20" t="str">
        <v>TOTAL GASTOS (II+V)</v>
      </c>
      <c r="D20">
        <f>+D14+D17</f>
        <v>20047136001.25</v>
      </c>
      <c r="E20">
        <f>+E14+E17</f>
        <v>20047136001.25</v>
      </c>
      <c r="F20">
        <f>+F14+F17</f>
        <v>20047136001.25</v>
      </c>
      <c r="G20">
        <f>+G14+G17</f>
        <v>20047136001.25</v>
      </c>
      <c r="H20">
        <f>+D20+E20+F20+G20</f>
        <v>80188544005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-2414349989.25</v>
      </c>
      <c r="E23">
        <f>+E18+E21-E22</f>
        <v>-2414349989.25</v>
      </c>
      <c r="F23">
        <f>+F18+F21-F22</f>
        <v>-2414349989.25</v>
      </c>
      <c r="G23">
        <f>+G18+G21-G22</f>
        <v>-2414349989.25</v>
      </c>
      <c r="H23">
        <f>+D23+E23+F23+G23</f>
        <v>-9657399957</v>
      </c>
    </row>
    <row r="24">
      <c r="B24" t="str">
        <v>X</v>
      </c>
      <c r="C24" t="str">
        <v>FUENTES DE FINANCIACION</v>
      </c>
      <c r="D24">
        <v>2987500000</v>
      </c>
      <c r="E24">
        <v>2987500000</v>
      </c>
      <c r="F24">
        <v>2987500000</v>
      </c>
      <c r="G24">
        <v>2987500000</v>
      </c>
      <c r="H24">
        <v>11950000000</v>
      </c>
    </row>
    <row r="25">
      <c r="B25" t="str">
        <v>XI</v>
      </c>
      <c r="C25" t="str">
        <v>APLIC. FINANCIERAS</v>
      </c>
      <c r="D25">
        <v>573150010.75</v>
      </c>
      <c r="E25">
        <v>573150010.75</v>
      </c>
      <c r="F25">
        <v>573150010.75</v>
      </c>
      <c r="G25">
        <v>573150010.75</v>
      </c>
      <c r="H25">
        <v>2292600043</v>
      </c>
    </row>
    <row r="26">
      <c r="B26" t="str">
        <v>XII</v>
      </c>
      <c r="C26" t="str">
        <v>FINANCIAMIENTO NETO (X-XI)</v>
      </c>
      <c r="D26">
        <f>+D24-D25</f>
        <v>2414349989.25</v>
      </c>
      <c r="E26">
        <f>+E24-E25</f>
        <v>2414349989.25</v>
      </c>
      <c r="F26">
        <f>+F24-F25</f>
        <v>2414349989.25</v>
      </c>
      <c r="G26">
        <f>+G24-G25</f>
        <v>2414349989.25</v>
      </c>
      <c r="H26">
        <f>+D26+E26+F26+G26</f>
        <v>9657399957</v>
      </c>
    </row>
    <row r="27">
      <c r="B27" t="str">
        <v>XIII</v>
      </c>
      <c r="C27" t="str">
        <v>RESULTADO FINANCIERO (IX+XII)</v>
      </c>
      <c r="D27">
        <f>+D23+D26</f>
        <v>0</v>
      </c>
      <c r="E27">
        <f>+E23+E26</f>
        <v>0</v>
      </c>
      <c r="F27">
        <f>+F23+F26</f>
        <v>0</v>
      </c>
      <c r="G27">
        <f>+G23+G26</f>
        <v>0</v>
      </c>
      <c r="H27">
        <f>+D27+E27+F27+G27</f>
        <v>0</v>
      </c>
    </row>
    <row r="29">
      <c r="B29" t="str">
        <v>LOS DATOS INCLUIDOS EN EL PRESENTE CUADRO HAN SIDO EXTRAIDOS DE LOS REGISTROS CONTABLES</v>
      </c>
      <c r="H29" t="str">
        <v xml:space="preserve">                        </v>
      </c>
    </row>
    <row r="31">
      <c r="C31" t="str">
        <v xml:space="preserve">                                                             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N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58"/>
  <sheetViews>
    <sheetView workbookViewId="0"/>
  </sheetViews>
  <sheetData>
    <row r="3">
      <c r="A3" t="str">
        <v>ACUERDO Nº 3949 (T.O. ACUERDO 6644/25 H.T.C.)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2026</v>
      </c>
      <c r="E8" t="str">
        <f>+'ANEXO 1'!G8</f>
        <v>TRIMESTRE: 2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>PASIVOS SIN</v>
      </c>
      <c r="K10" t="str">
        <v xml:space="preserve">SALDO NO </v>
      </c>
      <c r="L10" t="str">
        <v>PASIVOS CON</v>
      </c>
    </row>
    <row r="11">
      <c r="B11" t="str">
        <v>VOTADO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ORDEN DE</v>
      </c>
      <c r="K11" t="str">
        <v>UTILIZADO</v>
      </c>
      <c r="L11" t="str">
        <v xml:space="preserve">OREDEN DE 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  <c r="J12" t="str">
        <v>PAGO</v>
      </c>
      <c r="L12" t="str">
        <v>PAGO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34283860550</v>
      </c>
      <c r="C14">
        <v>3168057867.98</v>
      </c>
      <c r="D14">
        <v>2846625744.08</v>
      </c>
      <c r="E14">
        <f>+B14+C14-D14</f>
        <v>34605292673.9</v>
      </c>
      <c r="F14">
        <v>29809376882.9</v>
      </c>
      <c r="G14">
        <v>15883095497.25</v>
      </c>
      <c r="H14">
        <v>15883095497.25</v>
      </c>
      <c r="I14">
        <v>15736830910.99</v>
      </c>
      <c r="J14">
        <f>+G14-H14</f>
        <v>0</v>
      </c>
      <c r="K14">
        <f>+E14-F14</f>
        <v>4795915791</v>
      </c>
      <c r="L14">
        <f>+H14-I14</f>
        <v>146264586.26000023</v>
      </c>
    </row>
    <row r="15">
      <c r="A15" t="str">
        <v>41200 BIENES CORRIENTES</v>
      </c>
      <c r="B15">
        <v>4381706314</v>
      </c>
      <c r="C15">
        <v>710295026.28</v>
      </c>
      <c r="D15">
        <v>1017822063.97</v>
      </c>
      <c r="E15">
        <f>+B15+C15-D15</f>
        <v>4074179276.3099995</v>
      </c>
      <c r="F15">
        <v>1213307420.39</v>
      </c>
      <c r="G15">
        <v>896105995.2</v>
      </c>
      <c r="H15">
        <v>895912395.2</v>
      </c>
      <c r="I15">
        <v>888263187.06</v>
      </c>
      <c r="J15">
        <f>+G15-H15</f>
        <v>193600</v>
      </c>
      <c r="K15">
        <f>+E15-F15</f>
        <v>2860871855.919999</v>
      </c>
      <c r="L15">
        <f>+H15-I15</f>
        <v>7649208.140000105</v>
      </c>
    </row>
    <row r="16">
      <c r="A16" t="str">
        <v>41300 SERVICIOS CORRIENTES</v>
      </c>
      <c r="B16">
        <v>19366913403</v>
      </c>
      <c r="C16">
        <v>2662990520.69</v>
      </c>
      <c r="D16">
        <v>2067105315.8</v>
      </c>
      <c r="E16">
        <f>+B16+C16-D16</f>
        <v>19962798607.89</v>
      </c>
      <c r="F16">
        <v>7975440036.92</v>
      </c>
      <c r="G16">
        <v>6760688858.33</v>
      </c>
      <c r="H16">
        <v>6760688858.33</v>
      </c>
      <c r="I16">
        <v>6603442613.81</v>
      </c>
      <c r="J16">
        <f>+G16-H16</f>
        <v>0</v>
      </c>
      <c r="K16">
        <f>+E16-F16</f>
        <v>11987358570.97</v>
      </c>
      <c r="L16">
        <f>+H16-I16</f>
        <v>157246244.5199995</v>
      </c>
    </row>
    <row r="17">
      <c r="A17" t="str">
        <v>42100 INTERESES Y GASTOS</v>
      </c>
      <c r="B17">
        <v>9700000</v>
      </c>
      <c r="C17">
        <v>0</v>
      </c>
      <c r="D17">
        <v>0</v>
      </c>
      <c r="E17">
        <f>+B17+C17-D17</f>
        <v>9700000</v>
      </c>
      <c r="F17">
        <v>346465.4</v>
      </c>
      <c r="G17">
        <v>346465.4</v>
      </c>
      <c r="H17">
        <v>346465.4</v>
      </c>
      <c r="I17">
        <v>346465.4</v>
      </c>
      <c r="J17">
        <f>+G17-H17</f>
        <v>0</v>
      </c>
      <c r="K17">
        <f>+E17-F17</f>
        <v>9353534.6</v>
      </c>
      <c r="L17">
        <f>+H17-I17</f>
        <v>0</v>
      </c>
    </row>
    <row r="18">
      <c r="A18" t="str">
        <v>43100 TRANSFERENCIAS CORRIENTES</v>
      </c>
      <c r="B18">
        <v>457500000</v>
      </c>
      <c r="C18">
        <v>562007600</v>
      </c>
      <c r="D18">
        <v>103860000</v>
      </c>
      <c r="E18">
        <f>+B18+C18-D18</f>
        <v>915647600</v>
      </c>
      <c r="F18">
        <v>416078313.49</v>
      </c>
      <c r="G18">
        <v>235073106.16</v>
      </c>
      <c r="H18">
        <v>235073106.16</v>
      </c>
      <c r="I18">
        <v>234653106.16</v>
      </c>
      <c r="J18">
        <f>+G18-H18</f>
        <v>0</v>
      </c>
      <c r="K18">
        <f>+E18-F18</f>
        <v>499569286.51</v>
      </c>
      <c r="L18">
        <f>+H18-I18</f>
        <v>420000</v>
      </c>
    </row>
    <row r="19">
      <c r="A19" t="str">
        <v>44100 CREDITO SDIC.P/FINAN.EROG.CO</v>
      </c>
      <c r="B19">
        <v>0</v>
      </c>
      <c r="C19">
        <v>2210013462.86</v>
      </c>
      <c r="D19">
        <v>2210013462.86</v>
      </c>
      <c r="E19">
        <f>+B19+C19-D19</f>
        <v>0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0</v>
      </c>
      <c r="L19">
        <f>+H19-I19</f>
        <v>0</v>
      </c>
    </row>
    <row r="20">
      <c r="A20" t="str">
        <v>51100 BIENES DE CAPITAL</v>
      </c>
      <c r="B20">
        <v>1684000000</v>
      </c>
      <c r="C20">
        <v>110063000</v>
      </c>
      <c r="D20">
        <v>565224681.25</v>
      </c>
      <c r="E20">
        <f>+B20+C20-D20</f>
        <v>1228838318.75</v>
      </c>
      <c r="F20">
        <v>924790612.99</v>
      </c>
      <c r="G20">
        <v>920914293.43</v>
      </c>
      <c r="H20">
        <v>919209738.85</v>
      </c>
      <c r="I20">
        <v>918488160.85</v>
      </c>
      <c r="J20">
        <f>+G20-H20</f>
        <v>1704554.5799999237</v>
      </c>
      <c r="K20">
        <f>+E20-F20</f>
        <v>304047705.76</v>
      </c>
      <c r="L20">
        <f>+H20-I20</f>
        <v>721578</v>
      </c>
    </row>
    <row r="21">
      <c r="A21" t="str">
        <v>51200 TRABAJO PUBLICO</v>
      </c>
      <c r="B21">
        <v>19964863738</v>
      </c>
      <c r="C21">
        <v>3758370768.96</v>
      </c>
      <c r="D21">
        <v>1439952029.8</v>
      </c>
      <c r="E21">
        <f>+B21+C21-D21</f>
        <v>22283282477.16</v>
      </c>
      <c r="F21">
        <v>15050647455.61</v>
      </c>
      <c r="G21">
        <v>7295817374.71</v>
      </c>
      <c r="H21">
        <v>7295817374.71</v>
      </c>
      <c r="I21">
        <v>6873317874.99</v>
      </c>
      <c r="J21">
        <f>+G21-H21</f>
        <v>0</v>
      </c>
      <c r="K21">
        <f>+E21-F21</f>
        <v>7232635021.549999</v>
      </c>
      <c r="L21">
        <f>+H21-I21</f>
        <v>422499499.72000027</v>
      </c>
    </row>
    <row r="22">
      <c r="A22" t="str">
        <v>52100 APORTES DE CAPITAL</v>
      </c>
      <c r="B22">
        <v>40000000</v>
      </c>
      <c r="C22">
        <v>0</v>
      </c>
      <c r="D22">
        <v>16083000</v>
      </c>
      <c r="E22">
        <f>+B22+C22-D22</f>
        <v>23917000</v>
      </c>
      <c r="F22">
        <v>20790575.23</v>
      </c>
      <c r="G22">
        <v>20790575.23</v>
      </c>
      <c r="H22">
        <v>20790575.23</v>
      </c>
      <c r="I22">
        <v>20790575.23</v>
      </c>
      <c r="J22">
        <f>+G22-H22</f>
        <v>0</v>
      </c>
      <c r="K22">
        <f>+E22-F22</f>
        <v>3126424.7699999996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42600042.71</v>
      </c>
      <c r="C26">
        <v>0</v>
      </c>
      <c r="D26">
        <v>0</v>
      </c>
      <c r="E26">
        <f>+B26+C26-D26</f>
        <v>42600042.71</v>
      </c>
      <c r="F26">
        <v>15881497.87</v>
      </c>
      <c r="G26">
        <v>15881497.87</v>
      </c>
      <c r="H26">
        <v>15881497.87</v>
      </c>
      <c r="I26">
        <v>15881497.87</v>
      </c>
      <c r="J26">
        <f>+G26-H26</f>
        <v>0</v>
      </c>
      <c r="K26">
        <f>+E26-F26</f>
        <v>26718544.840000004</v>
      </c>
      <c r="L26">
        <f>+H26-I26</f>
        <v>0</v>
      </c>
    </row>
    <row r="27">
      <c r="A27" t="str">
        <v>74100 AMORTIZACION DE LA DEUDA FLOTANTE</v>
      </c>
      <c r="B27">
        <v>2250000000.29</v>
      </c>
      <c r="C27">
        <v>2145204425.81</v>
      </c>
      <c r="D27">
        <v>754293742.25</v>
      </c>
      <c r="E27">
        <f>+B27+C27-D27</f>
        <v>3640910683.8500004</v>
      </c>
      <c r="F27">
        <v>3639566817.96</v>
      </c>
      <c r="G27">
        <v>3639566817.96</v>
      </c>
      <c r="H27">
        <v>3639566817.96</v>
      </c>
      <c r="I27">
        <v>3639566817.96</v>
      </c>
      <c r="J27">
        <f>+G27-H27</f>
        <v>0</v>
      </c>
      <c r="K27">
        <f>+E27-F27</f>
        <v>1343865.8900003433</v>
      </c>
      <c r="L27">
        <f>+H27-I27</f>
        <v>0</v>
      </c>
    </row>
    <row r="28">
      <c r="A28" t="str">
        <v>TOTALES</v>
      </c>
      <c r="B28">
        <f>SUM(B14:B27)</f>
        <v>82481144048</v>
      </c>
      <c r="C28">
        <f>SUM(C14:C27)</f>
        <v>15327002672.58</v>
      </c>
      <c r="D28">
        <f>SUM(D14:D27)</f>
        <v>11020980040.01</v>
      </c>
      <c r="E28">
        <f>SUM(E14:E27)</f>
        <v>86787166680.57</v>
      </c>
      <c r="F28">
        <f>SUM(F14:F27)</f>
        <v>59066226078.76</v>
      </c>
      <c r="G28">
        <f>SUM(G14:G27)</f>
        <v>35668280481.54</v>
      </c>
      <c r="H28">
        <f>SUM(H14:H27)</f>
        <v>35666382326.96</v>
      </c>
      <c r="I28">
        <f>SUM(I14:I27)</f>
        <v>34931581210.32</v>
      </c>
      <c r="J28">
        <f>SUM(J14:J27)</f>
        <v>1898154.5799999237</v>
      </c>
      <c r="K28">
        <f>SUM(K14:K27)</f>
        <v>27720940601.809994</v>
      </c>
      <c r="L28">
        <f>SUM(L14:L27)</f>
        <v>734801116.6400001</v>
      </c>
    </row>
    <row r="30">
      <c r="A30" t="str">
        <v>LOS DATOS INCLUIDOS EN EL PRESENTE CUADRO HAN SIDO EXTRAIDOS DE LOS REGISTROS CONTABLES</v>
      </c>
    </row>
  </sheetData>
  <mergeCells count="7">
    <mergeCell ref="A3:L3"/>
    <mergeCell ref="A5:L5"/>
    <mergeCell ref="C10:D10"/>
    <mergeCell ref="C11:D11"/>
    <mergeCell ref="G10:G12"/>
    <mergeCell ref="I10:I12"/>
    <mergeCell ref="A10:A12"/>
  </mergeCells>
  <pageMargins left="0" right="0" top="0.984251968503937" bottom="0.984251968503937" header="0" footer="0"/>
  <ignoredErrors>
    <ignoredError numberStoredAsText="1" sqref="A2:M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2026</v>
      </c>
      <c r="E8" t="str">
        <f>+'ANEXO 2'!E8</f>
        <v>TRIMESTRE: 2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 PASIVOS</v>
      </c>
      <c r="G10" t="str">
        <v>VARIACION PASIVOS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>SIN ORDEN DE</v>
      </c>
      <c r="G11" t="str">
        <v>CON ORDEN DE</v>
      </c>
    </row>
    <row r="12">
      <c r="B12" t="str">
        <v>EL TRIMESTRE</v>
      </c>
      <c r="D12" t="str">
        <v>TRIMESTRE</v>
      </c>
      <c r="F12" t="str">
        <v>PAGO EN EL TRIM.</v>
      </c>
      <c r="G12" t="str">
        <v>PAGO EN EL TRIM.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1094639571.01</v>
      </c>
      <c r="C14">
        <v>8682373828.2</v>
      </c>
      <c r="D14">
        <v>8682373828.2</v>
      </c>
      <c r="E14">
        <v>8568312880.51</v>
      </c>
      <c r="F14">
        <f>+C14-D14</f>
        <v>0</v>
      </c>
      <c r="G14">
        <f>+D14-E14</f>
        <v>114060947.69000053</v>
      </c>
    </row>
    <row r="15">
      <c r="A15" t="str">
        <v>41200 BIENES CORRIENTES</v>
      </c>
      <c r="B15">
        <v>399792654.46</v>
      </c>
      <c r="C15">
        <v>544093060.71</v>
      </c>
      <c r="D15">
        <v>547512028.35</v>
      </c>
      <c r="E15">
        <v>564911294.3</v>
      </c>
      <c r="F15">
        <f>+C15-D15</f>
        <v>-3418967.6399999857</v>
      </c>
      <c r="G15">
        <f>+D15-E15</f>
        <v>-17399265.94999993</v>
      </c>
    </row>
    <row r="16">
      <c r="A16" t="str">
        <v>41300 SERVICIOS CORRIENTES</v>
      </c>
      <c r="B16">
        <v>3122456362.21</v>
      </c>
      <c r="C16">
        <v>3962030258.71</v>
      </c>
      <c r="D16">
        <v>3962030258.71</v>
      </c>
      <c r="E16">
        <v>3965468829.13</v>
      </c>
      <c r="F16">
        <f>+C16-D16</f>
        <v>0</v>
      </c>
      <c r="G16">
        <f>+D16-E16</f>
        <v>-3438570.4200000763</v>
      </c>
    </row>
    <row r="17">
      <c r="A17" t="str">
        <v>42100 INTERESES Y GASTOS</v>
      </c>
      <c r="B17">
        <v>346465.4</v>
      </c>
      <c r="C17">
        <v>346465.4</v>
      </c>
      <c r="D17">
        <v>346465.4</v>
      </c>
      <c r="E17">
        <v>346465.4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355211562.49</v>
      </c>
      <c r="C18">
        <v>174206355.16</v>
      </c>
      <c r="D18">
        <v>174206355.16</v>
      </c>
      <c r="E18">
        <v>173786355.16</v>
      </c>
      <c r="F18">
        <f>+C18-D18</f>
        <v>0</v>
      </c>
      <c r="G18">
        <f>+D18-E18</f>
        <v>420000</v>
      </c>
    </row>
    <row r="19">
      <c r="A19" t="str">
        <v>43200 TRANSFERENCIAS DE CAPITAL</v>
      </c>
      <c r="B19">
        <v>536964381.25</v>
      </c>
      <c r="C19">
        <v>878324809.69</v>
      </c>
      <c r="D19">
        <v>908507293.65</v>
      </c>
      <c r="E19">
        <v>910200227.65</v>
      </c>
      <c r="F19">
        <f>+C19-D19</f>
        <v>-30182483.95999992</v>
      </c>
      <c r="G19">
        <f>+D19-E19</f>
        <v>-1692934</v>
      </c>
    </row>
    <row r="20">
      <c r="A20" t="str">
        <v>51100 BIENES DE CAPITAL</v>
      </c>
      <c r="B20">
        <v>5126155732.23</v>
      </c>
      <c r="C20">
        <v>4450439235.74</v>
      </c>
      <c r="D20">
        <v>4450439235.74</v>
      </c>
      <c r="E20">
        <v>4199774856.51</v>
      </c>
      <c r="F20">
        <f>+C20-D20</f>
        <v>0</v>
      </c>
      <c r="G20">
        <f>+D20-E20</f>
        <v>250664379.22999954</v>
      </c>
    </row>
    <row r="21">
      <c r="A21" t="str">
        <v>51200 TRABAJO PUBLICO</v>
      </c>
      <c r="B21">
        <v>20790575.23</v>
      </c>
      <c r="C21">
        <v>20790575.23</v>
      </c>
      <c r="D21">
        <v>20790575.23</v>
      </c>
      <c r="E21">
        <v>20790575.23</v>
      </c>
      <c r="F21">
        <f>+C21-D21</f>
        <v>0</v>
      </c>
      <c r="G21">
        <f>+D21-E21</f>
        <v>0</v>
      </c>
    </row>
    <row r="22">
      <c r="A22" t="str">
        <v>52100 APORTES DE CAPITAL</v>
      </c>
      <c r="B22">
        <v>0</v>
      </c>
      <c r="C22">
        <v>0</v>
      </c>
      <c r="D22">
        <v>0</v>
      </c>
      <c r="E22">
        <v>0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15881497.87</v>
      </c>
      <c r="C26">
        <v>15881497.87</v>
      </c>
      <c r="D26">
        <v>15881497.87</v>
      </c>
      <c r="E26">
        <v>15881497.87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3469853.47</v>
      </c>
      <c r="C27">
        <v>3469853.47</v>
      </c>
      <c r="D27">
        <v>3469853.47</v>
      </c>
      <c r="E27">
        <v>18893912.67</v>
      </c>
      <c r="F27">
        <f>+C27-D27</f>
        <v>0</v>
      </c>
      <c r="G27">
        <f>+D27-E27</f>
        <v>-15424059.200000001</v>
      </c>
    </row>
    <row r="28">
      <c r="A28" t="str">
        <v>TOTALES</v>
      </c>
      <c r="B28">
        <f>SUM(B14:B27)</f>
        <v>10675708655.619999</v>
      </c>
      <c r="C28">
        <f>SUM(C14:C27)</f>
        <v>18731955940.18</v>
      </c>
      <c r="D28">
        <f>SUM(D14:D27)</f>
        <v>18765557391.78</v>
      </c>
      <c r="E28">
        <f>SUM(E14:E27)</f>
        <v>18438366894.429993</v>
      </c>
      <c r="F28">
        <f>SUM(F14:F27)</f>
        <v>-33601451.599999905</v>
      </c>
      <c r="G28">
        <f>SUM(G14:G27)</f>
        <v>327190497.3500001</v>
      </c>
    </row>
    <row r="30">
      <c r="A30" t="str">
        <v>LOS DATOS INCLUIDOS EN EL PRESENTE CUADRO HAN SIDO EXTRAIDOS DE LOS REGISTROS CONTABLES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I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2026</v>
      </c>
      <c r="F7" t="str">
        <f>+'ANEXO 1'!G8</f>
        <v>TRIMESTRE: 2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H10" t="str">
        <v>DIFERENCIA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15367978731.01</v>
      </c>
      <c r="D13">
        <v>0</v>
      </c>
      <c r="E13">
        <v>0</v>
      </c>
      <c r="F13">
        <f>+C13+D13-E13</f>
        <v>15367978731.01</v>
      </c>
      <c r="G13">
        <v>0</v>
      </c>
      <c r="H13">
        <f>+F13-G13</f>
        <v>15367978731.01</v>
      </c>
      <c r="I13">
        <v>0</v>
      </c>
    </row>
    <row r="14">
      <c r="A14">
        <v>1110201000</v>
      </c>
      <c r="B14" t="str">
        <v>Impuesto inmobiliario -rentas generales-</v>
      </c>
      <c r="C14">
        <v>719235437.8</v>
      </c>
      <c r="D14">
        <v>0</v>
      </c>
      <c r="E14">
        <v>0</v>
      </c>
      <c r="F14">
        <f>+C14+D14-E14</f>
        <v>719235437.8</v>
      </c>
      <c r="G14">
        <v>0</v>
      </c>
      <c r="H14">
        <f>+F14-G14</f>
        <v>719235437.8</v>
      </c>
      <c r="I14">
        <v>0</v>
      </c>
    </row>
    <row r="15">
      <c r="A15">
        <v>1110202000</v>
      </c>
      <c r="B15" t="str">
        <v>Impuesto a los automotores</v>
      </c>
      <c r="C15">
        <v>4379463948.36</v>
      </c>
      <c r="D15">
        <v>0</v>
      </c>
      <c r="E15">
        <v>0</v>
      </c>
      <c r="F15">
        <f>+C15+D15-E15</f>
        <v>4379463948.36</v>
      </c>
      <c r="G15">
        <v>0</v>
      </c>
      <c r="H15">
        <f>+F15-G15</f>
        <v>4379463948.36</v>
      </c>
      <c r="I15">
        <v>0</v>
      </c>
    </row>
    <row r="16">
      <c r="A16">
        <v>1110301000</v>
      </c>
      <c r="B16" t="str">
        <v>Impuesto de sellos</v>
      </c>
      <c r="C16">
        <v>1511800696.03</v>
      </c>
      <c r="D16">
        <v>0</v>
      </c>
      <c r="E16">
        <v>0</v>
      </c>
      <c r="F16">
        <f>+C16+D16-E16</f>
        <v>1511800696.03</v>
      </c>
      <c r="G16">
        <v>0</v>
      </c>
      <c r="H16">
        <f>+F16-G16</f>
        <v>1511800696.03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0</v>
      </c>
      <c r="E17">
        <v>0</v>
      </c>
      <c r="F17">
        <f>+C17+D17-E17</f>
        <v>0</v>
      </c>
      <c r="G17">
        <v>2857772599.74</v>
      </c>
      <c r="H17">
        <f>+F17-G17</f>
        <v>-2857772599.74</v>
      </c>
      <c r="I17">
        <v>57516920.65</v>
      </c>
    </row>
    <row r="18">
      <c r="A18">
        <v>1110606000</v>
      </c>
      <c r="B18" t="str">
        <v>Coparticipación a Clasificar</v>
      </c>
      <c r="C18">
        <v>0</v>
      </c>
      <c r="D18">
        <v>0</v>
      </c>
      <c r="E18">
        <v>0</v>
      </c>
      <c r="F18">
        <f>+C18+D18-E18</f>
        <v>0</v>
      </c>
      <c r="G18">
        <v>19509200723.24</v>
      </c>
      <c r="H18">
        <f>+F18-G18</f>
        <v>-19509200723.24</v>
      </c>
      <c r="I18">
        <v>11593128098.78</v>
      </c>
    </row>
    <row r="19">
      <c r="A19">
        <v>1110609000</v>
      </c>
      <c r="B19" t="str">
        <v>Canon Extraordinario de Producción</v>
      </c>
      <c r="C19">
        <v>136324438</v>
      </c>
      <c r="D19">
        <v>0</v>
      </c>
      <c r="E19">
        <v>0</v>
      </c>
      <c r="F19">
        <f>+C19+D19-E19</f>
        <v>136324438</v>
      </c>
      <c r="G19">
        <v>36543863.53</v>
      </c>
      <c r="H19">
        <f>+F19-G19</f>
        <v>99780574.47</v>
      </c>
      <c r="I19">
        <v>18389127.75</v>
      </c>
    </row>
    <row r="20">
      <c r="A20">
        <v>1110612000</v>
      </c>
      <c r="B20" t="str">
        <v>Fondos de Promoción Turística</v>
      </c>
      <c r="C20">
        <v>50000000</v>
      </c>
      <c r="D20">
        <v>0</v>
      </c>
      <c r="E20">
        <v>0</v>
      </c>
      <c r="F20">
        <f>+C20+D20-E20</f>
        <v>50000000</v>
      </c>
      <c r="G20">
        <v>32313239.15</v>
      </c>
      <c r="H20">
        <f>+F20-G20</f>
        <v>17686760.85</v>
      </c>
      <c r="I20">
        <v>10785767</v>
      </c>
    </row>
    <row r="21">
      <c r="A21">
        <v>1120511000</v>
      </c>
      <c r="B21" t="str">
        <v>Ingresos Eventuales</v>
      </c>
      <c r="C21">
        <v>0</v>
      </c>
      <c r="D21">
        <v>0</v>
      </c>
      <c r="E21">
        <v>0</v>
      </c>
      <c r="F21">
        <f>+C21+D21-E21</f>
        <v>0</v>
      </c>
      <c r="G21">
        <v>17534081.5</v>
      </c>
      <c r="H21">
        <f>+F21-G21</f>
        <v>-17534081.5</v>
      </c>
      <c r="I21">
        <v>8174081.5</v>
      </c>
    </row>
    <row r="22">
      <c r="A22">
        <v>1120705000</v>
      </c>
      <c r="B22" t="str">
        <v>Aportes No Reintegrables-Gobierno de Mendoza</v>
      </c>
      <c r="C22">
        <v>0</v>
      </c>
      <c r="D22">
        <v>0</v>
      </c>
      <c r="E22">
        <v>0</v>
      </c>
      <c r="F22">
        <f>+C22+D22-E22</f>
        <v>0</v>
      </c>
      <c r="G22">
        <v>134958878.28</v>
      </c>
      <c r="H22">
        <f>+F22-G22</f>
        <v>-134958878.28</v>
      </c>
      <c r="I22">
        <v>134958878.28</v>
      </c>
    </row>
    <row r="23">
      <c r="A23">
        <v>1120705195</v>
      </c>
      <c r="B23" t="str">
        <v>Aportes No Reintegrables SEOS - Gob.de Mendoza</v>
      </c>
      <c r="C23">
        <v>3203973000</v>
      </c>
      <c r="D23">
        <v>0</v>
      </c>
      <c r="E23">
        <v>0</v>
      </c>
      <c r="F23">
        <f>+C23+D23-E23</f>
        <v>3203973000</v>
      </c>
      <c r="G23">
        <v>1530996329.26</v>
      </c>
      <c r="H23">
        <f>+F23-G23</f>
        <v>1672976670.74</v>
      </c>
      <c r="I23">
        <v>841459114.89</v>
      </c>
    </row>
    <row r="24">
      <c r="A24">
        <v>1120706195</v>
      </c>
      <c r="B24" t="str">
        <v>Aportes No Reintegrables Gob. de Mendoza</v>
      </c>
      <c r="C24">
        <v>5500000000</v>
      </c>
      <c r="D24">
        <v>2000000</v>
      </c>
      <c r="E24">
        <v>0</v>
      </c>
      <c r="F24">
        <f>+C24+D24-E24</f>
        <v>5502000000</v>
      </c>
      <c r="G24">
        <v>357105487.3</v>
      </c>
      <c r="H24">
        <f>+F24-G24</f>
        <v>5144894512.7</v>
      </c>
      <c r="I24">
        <v>307861459.7</v>
      </c>
    </row>
    <row r="25">
      <c r="A25">
        <v>1261900214</v>
      </c>
      <c r="B25" t="str">
        <v>Ley 26075 Financiamiento Educativo</v>
      </c>
      <c r="C25">
        <v>5301625259</v>
      </c>
      <c r="D25">
        <v>0</v>
      </c>
      <c r="E25">
        <v>0</v>
      </c>
      <c r="F25">
        <f>+C25+D25-E25</f>
        <v>5301625259</v>
      </c>
      <c r="G25">
        <v>2708413352</v>
      </c>
      <c r="H25">
        <f>+F25-G25</f>
        <v>2593211907</v>
      </c>
      <c r="I25">
        <v>1579907789</v>
      </c>
    </row>
    <row r="26">
      <c r="A26">
        <v>1270100000</v>
      </c>
      <c r="B26" t="str">
        <v>Del Tesoro Nacional</v>
      </c>
      <c r="C26">
        <v>22938461602.8</v>
      </c>
      <c r="D26">
        <v>0</v>
      </c>
      <c r="E26">
        <v>0</v>
      </c>
      <c r="F26">
        <f>+C26+D26-E26</f>
        <v>22938461602.8</v>
      </c>
      <c r="G26">
        <v>0</v>
      </c>
      <c r="H26">
        <f>+F26-G26</f>
        <v>22938461602.8</v>
      </c>
      <c r="I26">
        <v>0</v>
      </c>
    </row>
    <row r="27">
      <c r="A27">
        <v>1310100000</v>
      </c>
      <c r="B27" t="str">
        <v>Derechos Servicios Prop. Raíz</v>
      </c>
      <c r="C27">
        <v>1553562307</v>
      </c>
      <c r="D27">
        <v>0</v>
      </c>
      <c r="E27">
        <v>0</v>
      </c>
      <c r="F27">
        <f>+C27+D27-E27</f>
        <v>1553562307</v>
      </c>
      <c r="G27">
        <v>913927953.23</v>
      </c>
      <c r="H27">
        <f>+F27-G27</f>
        <v>639634353.77</v>
      </c>
      <c r="I27">
        <v>272386305.21</v>
      </c>
    </row>
    <row r="28">
      <c r="A28">
        <v>1310200000</v>
      </c>
      <c r="B28" t="str">
        <v>Derechos Comercio e Industria</v>
      </c>
      <c r="C28">
        <v>1321160106</v>
      </c>
      <c r="D28">
        <v>0</v>
      </c>
      <c r="E28">
        <v>0</v>
      </c>
      <c r="F28">
        <f>+C28+D28-E28</f>
        <v>1321160106</v>
      </c>
      <c r="G28">
        <v>829352661.2</v>
      </c>
      <c r="H28">
        <f>+F28-G28</f>
        <v>491807444.79999995</v>
      </c>
      <c r="I28">
        <v>215774130.22</v>
      </c>
    </row>
    <row r="29">
      <c r="A29">
        <v>1310301000</v>
      </c>
      <c r="B29" t="str">
        <v>Derecho de Cementerio  Gral.</v>
      </c>
      <c r="C29">
        <v>230720315</v>
      </c>
      <c r="D29">
        <v>0</v>
      </c>
      <c r="E29">
        <v>0</v>
      </c>
      <c r="F29">
        <f>+C29+D29-E29</f>
        <v>230720315</v>
      </c>
      <c r="G29">
        <v>88826137.22</v>
      </c>
      <c r="H29">
        <f>+F29-G29</f>
        <v>141894177.78</v>
      </c>
      <c r="I29">
        <v>58076824.52</v>
      </c>
    </row>
    <row r="30">
      <c r="A30">
        <v>1310302000</v>
      </c>
      <c r="B30" t="str">
        <v>Sellado De Cementerio</v>
      </c>
      <c r="C30">
        <v>19713269</v>
      </c>
      <c r="D30">
        <v>0</v>
      </c>
      <c r="E30">
        <v>0</v>
      </c>
      <c r="F30">
        <f>+C30+D30-E30</f>
        <v>19713269</v>
      </c>
      <c r="G30">
        <v>8005282.7</v>
      </c>
      <c r="H30">
        <f>+F30-G30</f>
        <v>11707986.3</v>
      </c>
      <c r="I30">
        <v>4870440</v>
      </c>
    </row>
    <row r="31">
      <c r="A31">
        <v>1310400000</v>
      </c>
      <c r="B31" t="str">
        <v>Derechos de Actuación Administrativa</v>
      </c>
      <c r="C31">
        <v>14003981</v>
      </c>
      <c r="D31">
        <v>0</v>
      </c>
      <c r="E31">
        <v>0</v>
      </c>
      <c r="F31">
        <f>+C31+D31-E31</f>
        <v>14003981</v>
      </c>
      <c r="G31">
        <v>7560322.49</v>
      </c>
      <c r="H31">
        <f>+F31-G31</f>
        <v>6443658.51</v>
      </c>
      <c r="I31">
        <v>4357112</v>
      </c>
    </row>
    <row r="32">
      <c r="A32">
        <v>1310500000</v>
      </c>
      <c r="B32" t="str">
        <v>Derechos de Edificación</v>
      </c>
      <c r="C32">
        <v>29783217</v>
      </c>
      <c r="D32">
        <v>0</v>
      </c>
      <c r="E32">
        <v>0</v>
      </c>
      <c r="F32">
        <f>+C32+D32-E32</f>
        <v>29783217</v>
      </c>
      <c r="G32">
        <v>12914000.21</v>
      </c>
      <c r="H32">
        <f>+F32-G32</f>
        <v>16869216.79</v>
      </c>
      <c r="I32">
        <v>6059317.71</v>
      </c>
    </row>
    <row r="33">
      <c r="A33">
        <v>1310600000</v>
      </c>
      <c r="B33" t="str">
        <v>Derecho de Inspección y Habilitación Eléctrica</v>
      </c>
      <c r="C33">
        <v>801462</v>
      </c>
      <c r="D33">
        <v>0</v>
      </c>
      <c r="E33">
        <v>0</v>
      </c>
      <c r="F33">
        <f>+C33+D33-E33</f>
        <v>801462</v>
      </c>
      <c r="G33">
        <v>255516.61</v>
      </c>
      <c r="H33">
        <f>+F33-G33</f>
        <v>545945.39</v>
      </c>
      <c r="I33">
        <v>125025.77</v>
      </c>
    </row>
    <row r="34">
      <c r="A34">
        <v>1310800000</v>
      </c>
      <c r="B34" t="str">
        <v>Derechos de Publicidad y Propaganda</v>
      </c>
      <c r="C34">
        <v>181478</v>
      </c>
      <c r="D34">
        <v>0</v>
      </c>
      <c r="E34">
        <v>0</v>
      </c>
      <c r="F34">
        <f>+C34+D34-E34</f>
        <v>181478</v>
      </c>
      <c r="G34">
        <v>153550</v>
      </c>
      <c r="H34">
        <f>+F34-G34</f>
        <v>27928</v>
      </c>
      <c r="I34">
        <v>149400</v>
      </c>
    </row>
    <row r="35">
      <c r="A35">
        <v>1311010000</v>
      </c>
      <c r="B35" t="str">
        <v>Derechos de Concesiones - Locales</v>
      </c>
      <c r="C35">
        <v>57004035</v>
      </c>
      <c r="D35">
        <v>0</v>
      </c>
      <c r="E35">
        <v>0</v>
      </c>
      <c r="F35">
        <f>+C35+D35-E35</f>
        <v>57004035</v>
      </c>
      <c r="G35">
        <v>39668792.54</v>
      </c>
      <c r="H35">
        <f>+F35-G35</f>
        <v>17335242.46</v>
      </c>
      <c r="I35">
        <v>23191215.93</v>
      </c>
    </row>
    <row r="36">
      <c r="A36">
        <v>1311020000</v>
      </c>
      <c r="B36" t="str">
        <v>Derechos de Concesiones - Frecuencia de Colectivos</v>
      </c>
      <c r="C36">
        <v>4163530</v>
      </c>
      <c r="D36">
        <v>0</v>
      </c>
      <c r="E36">
        <v>0</v>
      </c>
      <c r="F36">
        <f>+C36+D36-E36</f>
        <v>4163530</v>
      </c>
      <c r="G36">
        <v>5588955.24</v>
      </c>
      <c r="H36">
        <f>+F36-G36</f>
        <v>-1425425.2400000002</v>
      </c>
      <c r="I36">
        <v>3898242.42</v>
      </c>
    </row>
    <row r="37">
      <c r="A37">
        <v>1311102000</v>
      </c>
      <c r="B37" t="str">
        <v>Derecho de Inspección, Higiene Urbana y Saneamiento Ambiental Gral.</v>
      </c>
      <c r="C37">
        <v>12431661</v>
      </c>
      <c r="D37">
        <v>0</v>
      </c>
      <c r="E37">
        <v>0</v>
      </c>
      <c r="F37">
        <f>+C37+D37-E37</f>
        <v>12431661</v>
      </c>
      <c r="G37">
        <v>5202565.56</v>
      </c>
      <c r="H37">
        <f>+F37-G37</f>
        <v>7229095.44</v>
      </c>
      <c r="I37">
        <v>1942283</v>
      </c>
    </row>
    <row r="38">
      <c r="A38">
        <v>1311203000</v>
      </c>
      <c r="B38" t="str">
        <v>Sellado de Ocupación de Espacio Público Gral.</v>
      </c>
      <c r="C38">
        <v>57066118</v>
      </c>
      <c r="D38">
        <v>0</v>
      </c>
      <c r="E38">
        <v>0</v>
      </c>
      <c r="F38">
        <f>+C38+D38-E38</f>
        <v>57066118</v>
      </c>
      <c r="G38">
        <v>43770032.49</v>
      </c>
      <c r="H38">
        <f>+F38-G38</f>
        <v>13296085.509999998</v>
      </c>
      <c r="I38">
        <v>3598805.3</v>
      </c>
    </row>
    <row r="39">
      <c r="A39">
        <v>1311204000</v>
      </c>
      <c r="B39" t="str">
        <v>Derecho de O.E.P. Frente a Comercio</v>
      </c>
      <c r="C39">
        <v>1134190</v>
      </c>
      <c r="D39">
        <v>0</v>
      </c>
      <c r="E39">
        <v>0</v>
      </c>
      <c r="F39">
        <f>+C39+D39-E39</f>
        <v>1134190</v>
      </c>
      <c r="G39">
        <v>697787.86</v>
      </c>
      <c r="H39">
        <f>+F39-G39</f>
        <v>436402.14</v>
      </c>
      <c r="I39">
        <v>154202.67</v>
      </c>
    </row>
    <row r="40">
      <c r="A40">
        <v>1311500000</v>
      </c>
      <c r="B40" t="str">
        <v>Derechos de Verificación y Habilitación de Estructura de Antenas</v>
      </c>
      <c r="C40">
        <v>42620455</v>
      </c>
      <c r="D40">
        <v>0</v>
      </c>
      <c r="E40">
        <v>0</v>
      </c>
      <c r="F40">
        <f>+C40+D40-E40</f>
        <v>42620455</v>
      </c>
      <c r="G40">
        <v>30481100</v>
      </c>
      <c r="H40">
        <f>+F40-G40</f>
        <v>12139355</v>
      </c>
      <c r="I40">
        <v>27597500</v>
      </c>
    </row>
    <row r="41">
      <c r="A41">
        <v>1311600000</v>
      </c>
      <c r="B41" t="str">
        <v>Derechos de Transferencia</v>
      </c>
      <c r="C41">
        <v>11126722</v>
      </c>
      <c r="D41">
        <v>0</v>
      </c>
      <c r="E41">
        <v>0</v>
      </c>
      <c r="F41">
        <f>+C41+D41-E41</f>
        <v>11126722</v>
      </c>
      <c r="G41">
        <v>4769368.5</v>
      </c>
      <c r="H41">
        <f>+F41-G41</f>
        <v>6357353.5</v>
      </c>
      <c r="I41">
        <v>2614500</v>
      </c>
    </row>
    <row r="42">
      <c r="A42">
        <v>1320100000</v>
      </c>
      <c r="B42" t="str">
        <v>Multas Generales</v>
      </c>
      <c r="C42">
        <v>43083508</v>
      </c>
      <c r="D42">
        <v>0</v>
      </c>
      <c r="E42">
        <v>0</v>
      </c>
      <c r="F42">
        <f>+C42+D42-E42</f>
        <v>43083508</v>
      </c>
      <c r="G42">
        <v>16248822.28</v>
      </c>
      <c r="H42">
        <f>+F42-G42</f>
        <v>26834685.72</v>
      </c>
      <c r="I42">
        <v>10952124.99</v>
      </c>
    </row>
    <row r="43">
      <c r="A43">
        <v>1320201000</v>
      </c>
      <c r="B43" t="str">
        <v>Intereses Ganados Plazo Fijo</v>
      </c>
      <c r="C43">
        <v>2500000000</v>
      </c>
      <c r="D43">
        <v>0</v>
      </c>
      <c r="E43">
        <v>0</v>
      </c>
      <c r="F43">
        <f>+C43+D43-E43</f>
        <v>2500000000</v>
      </c>
      <c r="G43">
        <v>1014989040.13</v>
      </c>
      <c r="H43">
        <f>+F43-G43</f>
        <v>1485010959.87</v>
      </c>
      <c r="I43">
        <v>425726026.54</v>
      </c>
    </row>
    <row r="44">
      <c r="A44">
        <v>1320203000</v>
      </c>
      <c r="B44" t="str">
        <v>Intereses ganados inversiones corrientes</v>
      </c>
      <c r="C44">
        <v>2500000000</v>
      </c>
      <c r="D44">
        <v>0</v>
      </c>
      <c r="E44">
        <v>0</v>
      </c>
      <c r="F44">
        <f>+C44+D44-E44</f>
        <v>2500000000</v>
      </c>
      <c r="G44">
        <v>426653628.22</v>
      </c>
      <c r="H44">
        <f>+F44-G44</f>
        <v>2073346371.78</v>
      </c>
      <c r="I44">
        <v>175692775.92</v>
      </c>
    </row>
    <row r="45">
      <c r="A45">
        <v>1320204000</v>
      </c>
      <c r="B45" t="str">
        <v>Intereses de Punitorios</v>
      </c>
      <c r="C45">
        <v>7807493</v>
      </c>
      <c r="D45">
        <v>0</v>
      </c>
      <c r="E45">
        <v>0</v>
      </c>
      <c r="F45">
        <f>+C45+D45-E45</f>
        <v>7807493</v>
      </c>
      <c r="G45">
        <v>8222381.45</v>
      </c>
      <c r="H45">
        <f>+F45-G45</f>
        <v>-414888.4500000002</v>
      </c>
      <c r="I45">
        <v>3507465.55</v>
      </c>
    </row>
    <row r="46">
      <c r="A46">
        <v>1320205000</v>
      </c>
      <c r="B46" t="str">
        <v>Intereses Resarcitorios</v>
      </c>
      <c r="C46">
        <v>344582171</v>
      </c>
      <c r="D46">
        <v>0</v>
      </c>
      <c r="E46">
        <v>0</v>
      </c>
      <c r="F46">
        <f>+C46+D46-E46</f>
        <v>344582171</v>
      </c>
      <c r="G46">
        <v>222575946.95</v>
      </c>
      <c r="H46">
        <f>+F46-G46</f>
        <v>122006224.05000001</v>
      </c>
      <c r="I46">
        <v>107779882.68</v>
      </c>
    </row>
    <row r="47">
      <c r="A47">
        <v>1320300000</v>
      </c>
      <c r="B47" t="str">
        <v>Concesión Servicio de emisión licencias de conducir</v>
      </c>
      <c r="C47">
        <v>210273510</v>
      </c>
      <c r="D47">
        <v>0</v>
      </c>
      <c r="E47">
        <v>0</v>
      </c>
      <c r="F47">
        <f>+C47+D47-E47</f>
        <v>210273510</v>
      </c>
      <c r="G47">
        <v>137057352.32</v>
      </c>
      <c r="H47">
        <f>+F47-G47</f>
        <v>73216157.68</v>
      </c>
      <c r="I47">
        <v>65038525.5</v>
      </c>
    </row>
    <row r="48">
      <c r="A48">
        <v>1320400000</v>
      </c>
      <c r="B48" t="str">
        <v>Producido de Actividades Culturales</v>
      </c>
      <c r="C48">
        <v>585281</v>
      </c>
      <c r="D48">
        <v>0</v>
      </c>
      <c r="E48">
        <v>0</v>
      </c>
      <c r="F48">
        <f>+C48+D48-E48</f>
        <v>585281</v>
      </c>
      <c r="G48">
        <v>6871300</v>
      </c>
      <c r="H48">
        <f>+F48-G48</f>
        <v>-6286019</v>
      </c>
      <c r="I48">
        <v>249000</v>
      </c>
    </row>
    <row r="49">
      <c r="A49">
        <v>1320500000</v>
      </c>
      <c r="B49" t="str">
        <v>Producido de actividades deportivas</v>
      </c>
      <c r="C49">
        <v>14249455</v>
      </c>
      <c r="D49">
        <v>0</v>
      </c>
      <c r="E49">
        <v>0</v>
      </c>
      <c r="F49">
        <f>+C49+D49-E49</f>
        <v>14249455</v>
      </c>
      <c r="G49">
        <v>0</v>
      </c>
      <c r="H49">
        <f>+F49-G49</f>
        <v>14249455</v>
      </c>
      <c r="I49">
        <v>0</v>
      </c>
    </row>
    <row r="50">
      <c r="A50">
        <v>1320600000</v>
      </c>
      <c r="B50" t="str">
        <v>Producido de actividades gestión de cobranza</v>
      </c>
      <c r="C50">
        <v>10547728</v>
      </c>
      <c r="D50">
        <v>0</v>
      </c>
      <c r="E50">
        <v>0</v>
      </c>
      <c r="F50">
        <f>+C50+D50-E50</f>
        <v>10547728</v>
      </c>
      <c r="G50">
        <v>5817999.32</v>
      </c>
      <c r="H50">
        <f>+F50-G50</f>
        <v>4729728.68</v>
      </c>
      <c r="I50">
        <v>3245548.71</v>
      </c>
    </row>
    <row r="51">
      <c r="A51">
        <v>1320701000</v>
      </c>
      <c r="B51" t="str">
        <v>Atmosférico</v>
      </c>
      <c r="C51">
        <v>7381925</v>
      </c>
      <c r="D51">
        <v>0</v>
      </c>
      <c r="E51">
        <v>0</v>
      </c>
      <c r="F51">
        <f>+C51+D51-E51</f>
        <v>7381925</v>
      </c>
      <c r="G51">
        <v>4513056.48</v>
      </c>
      <c r="H51">
        <f>+F51-G51</f>
        <v>2868868.5199999996</v>
      </c>
      <c r="I51">
        <v>2664300</v>
      </c>
    </row>
    <row r="52">
      <c r="A52">
        <v>1320703000</v>
      </c>
      <c r="B52" t="str">
        <v>Educación</v>
      </c>
      <c r="C52">
        <v>3432782</v>
      </c>
      <c r="D52">
        <v>0</v>
      </c>
      <c r="E52">
        <v>0</v>
      </c>
      <c r="F52">
        <f>+C52+D52-E52</f>
        <v>3432782</v>
      </c>
      <c r="G52">
        <v>1487360</v>
      </c>
      <c r="H52">
        <f>+F52-G52</f>
        <v>1945422</v>
      </c>
      <c r="I52">
        <v>883120</v>
      </c>
    </row>
    <row r="53">
      <c r="A53">
        <v>1320704000</v>
      </c>
      <c r="B53" t="str">
        <v>Sistema de Alarma Comunitaria</v>
      </c>
      <c r="C53">
        <v>310128</v>
      </c>
      <c r="D53">
        <v>0</v>
      </c>
      <c r="E53">
        <v>0</v>
      </c>
      <c r="F53">
        <f>+C53+D53-E53</f>
        <v>310128</v>
      </c>
      <c r="G53">
        <v>78030</v>
      </c>
      <c r="H53">
        <f>+F53-G53</f>
        <v>232098</v>
      </c>
      <c r="I53">
        <v>69360</v>
      </c>
    </row>
    <row r="54">
      <c r="A54">
        <v>1320705000</v>
      </c>
      <c r="B54" t="str">
        <v>Provisión de Agua</v>
      </c>
      <c r="C54">
        <v>5387005</v>
      </c>
      <c r="D54">
        <v>0</v>
      </c>
      <c r="E54">
        <v>0</v>
      </c>
      <c r="F54">
        <f>+C54+D54-E54</f>
        <v>5387005</v>
      </c>
      <c r="G54">
        <v>1839093.73</v>
      </c>
      <c r="H54">
        <f>+F54-G54</f>
        <v>3547911.27</v>
      </c>
      <c r="I54">
        <v>1204745</v>
      </c>
    </row>
    <row r="55">
      <c r="A55">
        <v>1321000000</v>
      </c>
      <c r="B55" t="str">
        <v>Programa de Asistencia Financiera a Pcias. y Municipios</v>
      </c>
      <c r="C55">
        <v>445515</v>
      </c>
      <c r="D55">
        <v>0</v>
      </c>
      <c r="E55">
        <v>0</v>
      </c>
      <c r="F55">
        <f>+C55+D55-E55</f>
        <v>445515</v>
      </c>
      <c r="G55">
        <v>0</v>
      </c>
      <c r="H55">
        <f>+F55-G55</f>
        <v>445515</v>
      </c>
      <c r="I55">
        <v>0</v>
      </c>
    </row>
    <row r="56">
      <c r="A56">
        <v>1321100000</v>
      </c>
      <c r="B56" t="str">
        <v>Ingresos Agentes Financieros</v>
      </c>
      <c r="C56">
        <v>750000000</v>
      </c>
      <c r="D56">
        <v>0</v>
      </c>
      <c r="E56">
        <v>0</v>
      </c>
      <c r="F56">
        <f>+C56+D56-E56</f>
        <v>750000000</v>
      </c>
      <c r="G56">
        <v>236862965.35</v>
      </c>
      <c r="H56">
        <f>+F56-G56</f>
        <v>513137034.65</v>
      </c>
      <c r="I56">
        <v>105132044.85</v>
      </c>
    </row>
    <row r="57">
      <c r="A57">
        <v>1321200000</v>
      </c>
      <c r="B57" t="str">
        <v>Cargo por Alumbrado Publico</v>
      </c>
      <c r="C57">
        <v>750000000</v>
      </c>
      <c r="D57">
        <v>0</v>
      </c>
      <c r="E57">
        <v>0</v>
      </c>
      <c r="F57">
        <f>+C57+D57-E57</f>
        <v>750000000</v>
      </c>
      <c r="G57">
        <v>320322101.68</v>
      </c>
      <c r="H57">
        <f>+F57-G57</f>
        <v>429677898.32</v>
      </c>
      <c r="I57">
        <v>237977825.08</v>
      </c>
    </row>
    <row r="58">
      <c r="A58">
        <v>1321300000</v>
      </c>
      <c r="B58" t="str">
        <v>Producido de Estacionamiento Medido</v>
      </c>
      <c r="C58">
        <v>84159341</v>
      </c>
      <c r="D58">
        <v>0</v>
      </c>
      <c r="E58">
        <v>0</v>
      </c>
      <c r="F58">
        <f>+C58+D58-E58</f>
        <v>84159341</v>
      </c>
      <c r="G58">
        <v>39787504.72</v>
      </c>
      <c r="H58">
        <f>+F58-G58</f>
        <v>44371836.28</v>
      </c>
      <c r="I58">
        <v>20683579.91</v>
      </c>
    </row>
    <row r="59">
      <c r="A59">
        <v>1321400000</v>
      </c>
      <c r="B59" t="str">
        <v>Producido de Convenios Especiales</v>
      </c>
      <c r="C59">
        <v>4184727</v>
      </c>
      <c r="D59">
        <v>0</v>
      </c>
      <c r="E59">
        <v>0</v>
      </c>
      <c r="F59">
        <f>+C59+D59-E59</f>
        <v>4184727</v>
      </c>
      <c r="G59">
        <v>100000000</v>
      </c>
      <c r="H59">
        <f>+F59-G59</f>
        <v>-95815273</v>
      </c>
      <c r="I59">
        <v>0</v>
      </c>
    </row>
    <row r="60">
      <c r="A60">
        <v>1321600000</v>
      </c>
      <c r="B60" t="str">
        <v>Recursos Eventuales</v>
      </c>
      <c r="C60">
        <v>304172665</v>
      </c>
      <c r="D60">
        <v>0</v>
      </c>
      <c r="E60">
        <v>0</v>
      </c>
      <c r="F60">
        <f>+C60+D60-E60</f>
        <v>304172665</v>
      </c>
      <c r="G60">
        <v>20918313.61</v>
      </c>
      <c r="H60">
        <f>+F60-G60</f>
        <v>283254351.39</v>
      </c>
      <c r="I60">
        <v>13547191.36</v>
      </c>
    </row>
    <row r="61">
      <c r="A61">
        <v>1321800000</v>
      </c>
      <c r="B61" t="str">
        <v>Ventas de Pliegos, Publicaciones y Otros</v>
      </c>
      <c r="C61">
        <v>150000000</v>
      </c>
      <c r="D61">
        <v>0</v>
      </c>
      <c r="E61">
        <v>0</v>
      </c>
      <c r="F61">
        <f>+C61+D61-E61</f>
        <v>150000000</v>
      </c>
      <c r="G61">
        <v>43899274.16</v>
      </c>
      <c r="H61">
        <f>+F61-G61</f>
        <v>106100725.84</v>
      </c>
      <c r="I61">
        <v>1511921.6</v>
      </c>
    </row>
    <row r="62">
      <c r="A62">
        <v>1321901000</v>
      </c>
      <c r="B62" t="str">
        <v>Actas Viales Municipales</v>
      </c>
      <c r="C62">
        <v>67283043</v>
      </c>
      <c r="D62">
        <v>0</v>
      </c>
      <c r="E62">
        <v>0</v>
      </c>
      <c r="F62">
        <f>+C62+D62-E62</f>
        <v>67283043</v>
      </c>
      <c r="G62">
        <v>35628310.61</v>
      </c>
      <c r="H62">
        <f>+F62-G62</f>
        <v>31654732.39</v>
      </c>
      <c r="I62">
        <v>19994902.3</v>
      </c>
    </row>
    <row r="63">
      <c r="A63">
        <v>1321903000</v>
      </c>
      <c r="B63" t="str">
        <v>Resoluciones Viales Municipales</v>
      </c>
      <c r="C63">
        <v>3635994</v>
      </c>
      <c r="D63">
        <v>0</v>
      </c>
      <c r="E63">
        <v>0</v>
      </c>
      <c r="F63">
        <f>+C63+D63-E63</f>
        <v>3635994</v>
      </c>
      <c r="G63">
        <v>1042509.28</v>
      </c>
      <c r="H63">
        <f>+F63-G63</f>
        <v>2593484.7199999997</v>
      </c>
      <c r="I63">
        <v>461156.05</v>
      </c>
    </row>
    <row r="64">
      <c r="A64">
        <v>1321904000</v>
      </c>
      <c r="B64" t="str">
        <v>Actas Fotomultas</v>
      </c>
      <c r="C64">
        <v>1378403</v>
      </c>
      <c r="D64">
        <v>0</v>
      </c>
      <c r="E64">
        <v>0</v>
      </c>
      <c r="F64">
        <f>+C64+D64-E64</f>
        <v>1378403</v>
      </c>
      <c r="G64">
        <v>0</v>
      </c>
      <c r="H64">
        <f>+F64-G64</f>
        <v>1378403</v>
      </c>
      <c r="I64">
        <v>0</v>
      </c>
    </row>
    <row r="65">
      <c r="A65">
        <v>1321905000</v>
      </c>
      <c r="B65" t="str">
        <v>Resoluciones Fotomultas</v>
      </c>
      <c r="C65">
        <v>13150349</v>
      </c>
      <c r="D65">
        <v>0</v>
      </c>
      <c r="E65">
        <v>0</v>
      </c>
      <c r="F65">
        <f>+C65+D65-E65</f>
        <v>13150349</v>
      </c>
      <c r="G65">
        <v>2542347.77</v>
      </c>
      <c r="H65">
        <f>+F65-G65</f>
        <v>10608001.23</v>
      </c>
      <c r="I65">
        <v>1122895.66</v>
      </c>
    </row>
    <row r="66">
      <c r="A66">
        <v>1321906000</v>
      </c>
      <c r="B66" t="str">
        <v>Resoluciones Accidentología</v>
      </c>
      <c r="C66">
        <v>1018267</v>
      </c>
      <c r="D66">
        <v>0</v>
      </c>
      <c r="E66">
        <v>0</v>
      </c>
      <c r="F66">
        <f>+C66+D66-E66</f>
        <v>1018267</v>
      </c>
      <c r="G66">
        <v>361583.33</v>
      </c>
      <c r="H66">
        <f>+F66-G66</f>
        <v>656683.6699999999</v>
      </c>
      <c r="I66">
        <v>169950</v>
      </c>
    </row>
    <row r="67">
      <c r="A67">
        <v>1322000000</v>
      </c>
      <c r="B67" t="str">
        <v>Contribución Bomberos Voluntarios</v>
      </c>
      <c r="C67">
        <v>58171246</v>
      </c>
      <c r="D67">
        <v>0</v>
      </c>
      <c r="E67">
        <v>0</v>
      </c>
      <c r="F67">
        <f>+C67+D67-E67</f>
        <v>58171246</v>
      </c>
      <c r="G67">
        <v>36955918.78</v>
      </c>
      <c r="H67">
        <f>+F67-G67</f>
        <v>21215327.22</v>
      </c>
      <c r="I67">
        <v>9744311.42</v>
      </c>
    </row>
    <row r="68">
      <c r="A68">
        <v>1323000000</v>
      </c>
      <c r="B68" t="str">
        <v>Ingresos por Gastos Administrativos</v>
      </c>
      <c r="C68">
        <v>44147093</v>
      </c>
      <c r="D68">
        <v>0</v>
      </c>
      <c r="E68">
        <v>0</v>
      </c>
      <c r="F68">
        <f>+C68+D68-E68</f>
        <v>44147093</v>
      </c>
      <c r="G68">
        <v>16950839.51</v>
      </c>
      <c r="H68">
        <f>+F68-G68</f>
        <v>27196253.49</v>
      </c>
      <c r="I68">
        <v>8603728.56</v>
      </c>
    </row>
    <row r="69">
      <c r="A69">
        <v>1324001000</v>
      </c>
      <c r="B69" t="str">
        <v>Ingresos por Gastos Admin. De Apremio</v>
      </c>
      <c r="C69">
        <v>107808492</v>
      </c>
      <c r="D69">
        <v>0</v>
      </c>
      <c r="E69">
        <v>0</v>
      </c>
      <c r="F69">
        <f>+C69+D69-E69</f>
        <v>107808492</v>
      </c>
      <c r="G69">
        <v>35608636.11</v>
      </c>
      <c r="H69">
        <f>+F69-G69</f>
        <v>72199855.89</v>
      </c>
      <c r="I69">
        <v>17013181.26</v>
      </c>
    </row>
    <row r="70">
      <c r="A70">
        <v>1324002000</v>
      </c>
      <c r="B70" t="str">
        <v>Ingresos por Honorarios de Apremio</v>
      </c>
      <c r="C70">
        <v>59611968</v>
      </c>
      <c r="D70">
        <v>0</v>
      </c>
      <c r="E70">
        <v>0</v>
      </c>
      <c r="F70">
        <f>+C70+D70-E70</f>
        <v>59611968</v>
      </c>
      <c r="G70">
        <v>17202269.78</v>
      </c>
      <c r="H70">
        <f>+F70-G70</f>
        <v>42409698.22</v>
      </c>
      <c r="I70">
        <v>7444335.8</v>
      </c>
    </row>
    <row r="71">
      <c r="A71">
        <v>2210100000</v>
      </c>
      <c r="B71" t="str">
        <v>Reembolsos Pavimento</v>
      </c>
      <c r="C71">
        <v>20000000</v>
      </c>
      <c r="D71">
        <v>0</v>
      </c>
      <c r="E71">
        <v>0</v>
      </c>
      <c r="F71">
        <f>+C71+D71-E71</f>
        <v>20000000</v>
      </c>
      <c r="G71">
        <v>2140319.74</v>
      </c>
      <c r="H71">
        <f>+F71-G71</f>
        <v>17859680.259999998</v>
      </c>
      <c r="I71">
        <v>817406.85</v>
      </c>
    </row>
    <row r="72">
      <c r="A72">
        <v>2210300000</v>
      </c>
      <c r="B72" t="str">
        <v>Reembolso Alumbrado Público</v>
      </c>
      <c r="C72">
        <v>0</v>
      </c>
      <c r="D72">
        <v>0</v>
      </c>
      <c r="E72">
        <v>0</v>
      </c>
      <c r="F72">
        <f>+C72+D72-E72</f>
        <v>0</v>
      </c>
      <c r="G72">
        <v>110.8</v>
      </c>
      <c r="H72">
        <f>+F72-G72</f>
        <v>-110.8</v>
      </c>
      <c r="I72">
        <v>110.8</v>
      </c>
    </row>
    <row r="73">
      <c r="A73">
        <v>2210400000</v>
      </c>
      <c r="B73" t="str">
        <v>Reembolsos Redes de Agua</v>
      </c>
      <c r="C73">
        <v>0</v>
      </c>
      <c r="D73">
        <v>0</v>
      </c>
      <c r="E73">
        <v>0</v>
      </c>
      <c r="F73">
        <f>+C73+D73-E73</f>
        <v>0</v>
      </c>
      <c r="G73">
        <v>400</v>
      </c>
      <c r="H73">
        <f>+F73-G73</f>
        <v>-400</v>
      </c>
      <c r="I73">
        <v>0</v>
      </c>
    </row>
    <row r="74">
      <c r="A74">
        <v>2210500000</v>
      </c>
      <c r="B74" t="str">
        <v>Reemolsos Red Dist. Gas</v>
      </c>
      <c r="C74">
        <v>0</v>
      </c>
      <c r="D74">
        <v>0</v>
      </c>
      <c r="E74">
        <v>0</v>
      </c>
      <c r="F74">
        <f>+C74+D74-E74</f>
        <v>0</v>
      </c>
      <c r="G74">
        <v>308.4</v>
      </c>
      <c r="H74">
        <f>+F74-G74</f>
        <v>-308.4</v>
      </c>
      <c r="I74">
        <v>308.4</v>
      </c>
    </row>
    <row r="75">
      <c r="A75">
        <v>7110601000</v>
      </c>
      <c r="B75" t="str">
        <v>Empréstitos Públicos</v>
      </c>
      <c r="C75">
        <v>4000000000</v>
      </c>
      <c r="D75">
        <v>0</v>
      </c>
      <c r="E75">
        <v>0</v>
      </c>
      <c r="F75">
        <f>+C75+D75-E75</f>
        <v>4000000000</v>
      </c>
      <c r="G75">
        <v>0</v>
      </c>
      <c r="H75">
        <f>+F75-G75</f>
        <v>4000000000</v>
      </c>
      <c r="I75">
        <v>0</v>
      </c>
    </row>
    <row r="76">
      <c r="A76">
        <v>7460000000</v>
      </c>
      <c r="B76" t="str">
        <v>Remanentes ejercicios anteriores (de fdos afectados)</v>
      </c>
      <c r="C76">
        <v>5450000000</v>
      </c>
      <c r="D76">
        <v>4059827886.13</v>
      </c>
      <c r="E76">
        <v>0</v>
      </c>
      <c r="F76">
        <f>+C76+D76-E76</f>
        <v>9509827886.130001</v>
      </c>
      <c r="G76">
        <v>0</v>
      </c>
      <c r="H76">
        <f>+F76-G76</f>
        <v>9509827886.130001</v>
      </c>
      <c r="I76">
        <v>0</v>
      </c>
    </row>
    <row r="77">
      <c r="A77">
        <v>7460000194</v>
      </c>
      <c r="B77" t="str">
        <v>Remanente Fondos Nacionales</v>
      </c>
      <c r="C77">
        <v>0</v>
      </c>
      <c r="D77">
        <v>1404740</v>
      </c>
      <c r="E77">
        <v>0</v>
      </c>
      <c r="F77">
        <f>+C77+D77-E77</f>
        <v>1404740</v>
      </c>
      <c r="G77">
        <v>0</v>
      </c>
      <c r="H77">
        <f>+F77-G77</f>
        <v>1404740</v>
      </c>
      <c r="I77">
        <v>0</v>
      </c>
    </row>
    <row r="78">
      <c r="A78">
        <v>7460000195</v>
      </c>
      <c r="B78" t="str">
        <v>Remanente Fondos Provinciales</v>
      </c>
      <c r="C78">
        <v>0</v>
      </c>
      <c r="D78">
        <v>110520582.51</v>
      </c>
      <c r="E78">
        <v>0</v>
      </c>
      <c r="F78">
        <f>+C78+D78-E78</f>
        <v>110520582.51</v>
      </c>
      <c r="G78">
        <v>0</v>
      </c>
      <c r="H78">
        <f>+F78-G78</f>
        <v>110520582.51</v>
      </c>
      <c r="I78">
        <v>0</v>
      </c>
    </row>
    <row r="79">
      <c r="A79">
        <v>7460000214</v>
      </c>
      <c r="B79" t="str">
        <v>Remanente Fondos Ley 26075 Financiamiento Educativo.</v>
      </c>
      <c r="C79">
        <v>2500000000</v>
      </c>
      <c r="D79">
        <v>132269423.93</v>
      </c>
      <c r="E79">
        <v>0</v>
      </c>
      <c r="F79">
        <f>+C79+D79-E79</f>
        <v>2632269423.93</v>
      </c>
      <c r="G79">
        <v>0</v>
      </c>
      <c r="H79">
        <f>+F79-G79</f>
        <v>2632269423.93</v>
      </c>
      <c r="I79">
        <v>0</v>
      </c>
    </row>
    <row r="80">
      <c r="A80" t="str">
        <v>total</v>
      </c>
      <c r="C80">
        <f>SUM(C13:C79)</f>
        <v>82481144048</v>
      </c>
      <c r="D80">
        <f>SUM(D13:D79)</f>
        <v>4306022632.570001</v>
      </c>
      <c r="E80">
        <f>SUM(E13:E79)</f>
        <v>0</v>
      </c>
      <c r="F80">
        <f>SUM(F13:F79)</f>
        <v>86787166680.56999</v>
      </c>
      <c r="G80">
        <f>SUM(G13:G79)</f>
        <v>31932590304.360012</v>
      </c>
      <c r="H80">
        <f>SUM(H13:H79)</f>
        <v>54854576376.20999</v>
      </c>
      <c r="I80">
        <f>SUM(I13:I79)</f>
        <v>16418214267.089996</v>
      </c>
    </row>
    <row r="81">
      <c r="G81" t="str">
        <v xml:space="preserve">                      </v>
      </c>
    </row>
    <row r="82">
      <c r="A82" t="str">
        <v>LOS DATOS INCLUIDOS EN EL PRESENTE CUADRO HAN SIDO EXTRAIDOS DE LOS REGISTROS CONTABLES</v>
      </c>
      <c r="K82" t="str">
        <v xml:space="preserve"> </v>
      </c>
    </row>
  </sheetData>
  <mergeCells count="8">
    <mergeCell ref="A80:B80"/>
    <mergeCell ref="A12:B12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2026</v>
      </c>
      <c r="D6" t="str">
        <f>+'ANEXO 1'!G8</f>
        <v>TRIMESTRE: 2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16417396441.04</v>
      </c>
      <c r="D12">
        <v>17627786012</v>
      </c>
      <c r="E12">
        <f>+C12-D12</f>
        <v>-1210389570.959999</v>
      </c>
    </row>
    <row r="13">
      <c r="A13" t="str">
        <v>II</v>
      </c>
      <c r="B13" t="str">
        <v>GASTOS CORRIENTES</v>
      </c>
      <c r="C13">
        <v>13363049968.18</v>
      </c>
      <c r="D13">
        <v>14624920066.75</v>
      </c>
      <c r="E13">
        <f>+C13-D13</f>
        <v>-1261870098.5699997</v>
      </c>
    </row>
    <row r="14">
      <c r="A14" t="str">
        <v>III</v>
      </c>
      <c r="B14" t="str">
        <v>RDO. ECCO: AHORRO/DESARROLLO (I-II)</v>
      </c>
      <c r="C14">
        <f>+C12-C13</f>
        <v>3054346472.8600006</v>
      </c>
      <c r="D14">
        <v>3002865945.25</v>
      </c>
      <c r="E14">
        <f>+C14-D14</f>
        <v>51480527.61000061</v>
      </c>
    </row>
    <row r="15">
      <c r="A15" t="str">
        <v>IV</v>
      </c>
      <c r="B15" t="str">
        <v>RECURSOS DE CAPITAL</v>
      </c>
      <c r="C15">
        <v>817826.05</v>
      </c>
      <c r="D15">
        <v>5000000</v>
      </c>
      <c r="E15">
        <f>+C15-D15</f>
        <v>-4182173.95</v>
      </c>
    </row>
    <row r="16">
      <c r="A16" t="str">
        <v>V</v>
      </c>
      <c r="B16" t="str">
        <v>GASTOS DE CAPITAL</v>
      </c>
      <c r="C16">
        <v>5349554620.66</v>
      </c>
      <c r="D16">
        <v>5422215934.5</v>
      </c>
      <c r="E16">
        <f>+C16-D16</f>
        <v>-72661313.84000015</v>
      </c>
    </row>
    <row r="17">
      <c r="A17" t="str">
        <v>VI</v>
      </c>
      <c r="B17" t="str">
        <v>EXCEDENTE ANTES TRANSF. FIGURATIVAS (III+IV-V)</v>
      </c>
      <c r="C17">
        <f>+C14+C15-C16</f>
        <v>-2294390321.749999</v>
      </c>
      <c r="D17">
        <v>-2414349989.25</v>
      </c>
      <c r="E17">
        <f>+E14+E15-E16</f>
        <v>119959667.50000076</v>
      </c>
    </row>
    <row r="18">
      <c r="B18" t="str">
        <v>TOTAL RECURSOS (I+IV)</v>
      </c>
      <c r="C18">
        <f>+C12+C15</f>
        <v>16418214267.09</v>
      </c>
      <c r="D18">
        <v>17632786012</v>
      </c>
      <c r="E18">
        <f>+E12+E15</f>
        <v>-1214571744.9099991</v>
      </c>
    </row>
    <row r="19">
      <c r="B19" t="str">
        <v>TOTAL GASTOS (II+V)</v>
      </c>
      <c r="C19">
        <f>+C13+C16</f>
        <v>18712604588.84</v>
      </c>
      <c r="D19">
        <v>20047136001.25</v>
      </c>
      <c r="E19">
        <f>+E13+E16</f>
        <v>-1334531412.4099998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-2294390321.749999</v>
      </c>
      <c r="D22">
        <v>-2414349989.25</v>
      </c>
      <c r="E22">
        <f>+C22-D22</f>
        <v>119959667.50000095</v>
      </c>
    </row>
    <row r="23">
      <c r="A23" t="str">
        <v>X</v>
      </c>
      <c r="B23" t="str">
        <v>FUENTES DE FINANCIAMIENTO</v>
      </c>
      <c r="C23">
        <v>0</v>
      </c>
      <c r="D23">
        <v>2987500000</v>
      </c>
      <c r="E23">
        <f>+C23-D23</f>
        <v>-2987500000</v>
      </c>
    </row>
    <row r="24">
      <c r="A24" t="str">
        <v>XI</v>
      </c>
      <c r="B24" t="str">
        <v>APLICACIONES FINANCIERAS</v>
      </c>
      <c r="C24">
        <v>19351351.34</v>
      </c>
      <c r="D24">
        <v>573150010.75</v>
      </c>
      <c r="E24">
        <f>+C24-D24</f>
        <v>-553798659.41</v>
      </c>
    </row>
    <row r="25">
      <c r="A25" t="str">
        <v>XII</v>
      </c>
      <c r="B25" t="str">
        <v>FINANCIAMIENTO NETO (X-XI)</v>
      </c>
      <c r="C25">
        <f>+C23-C24</f>
        <v>-19351351.34</v>
      </c>
      <c r="D25">
        <v>2414349989.25</v>
      </c>
      <c r="E25">
        <f>+C25-D25</f>
        <v>-2433701340.59</v>
      </c>
    </row>
    <row r="26">
      <c r="A26" t="str">
        <v>XIII</v>
      </c>
      <c r="B26" t="str">
        <v>RESULTADO FINANCIERO (VI+XII)</v>
      </c>
      <c r="C26">
        <f>+C17+C25</f>
        <v>-2313741673.089999</v>
      </c>
      <c r="D26">
        <f>+D17+D25</f>
        <v>0</v>
      </c>
      <c r="E26">
        <f>+E17+E25</f>
        <v>-2313741673.089999</v>
      </c>
    </row>
    <row r="28">
      <c r="A28" t="str">
        <v>LOS DATOS INCLUIDOS EN EL PRESENTE CUADRO HAN SIDO EXTRAIDOS DE LOS REGISTROS CONTABLES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H45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32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2026</v>
      </c>
      <c r="E8" t="str">
        <f>+'ANEXO 1'!G8</f>
        <v>TRIMESTRE: 2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6=2-o+3+4+o-5</v>
      </c>
      <c r="G14">
        <v>7</v>
      </c>
      <c r="I14">
        <v>8</v>
      </c>
    </row>
    <row r="15">
      <c r="A15" t="str">
        <v xml:space="preserve"> Moneda Nacional</v>
      </c>
    </row>
    <row r="16">
      <c r="A16" t="str">
        <v>Préstamo IPV Viv. Deleg. Chapanay</v>
      </c>
      <c r="B16">
        <v>12460.33</v>
      </c>
      <c r="C16">
        <v>0</v>
      </c>
      <c r="D16">
        <v>0</v>
      </c>
      <c r="E16">
        <v>0</v>
      </c>
      <c r="F16">
        <f>+B16-C16+D16+-E16</f>
        <v>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112095.73</v>
      </c>
      <c r="C17">
        <v>0</v>
      </c>
      <c r="D17">
        <v>0</v>
      </c>
      <c r="E17">
        <v>0</v>
      </c>
      <c r="F17">
        <f>+B17-C17+D17+-E17</f>
        <v>112095.73</v>
      </c>
    </row>
    <row r="18">
      <c r="A18" t="str">
        <v>Préstamo Expropiación Terreno calle Alem</v>
      </c>
      <c r="B18">
        <v>109018.29</v>
      </c>
      <c r="C18">
        <v>0</v>
      </c>
      <c r="D18">
        <v>0</v>
      </c>
      <c r="E18">
        <v>0</v>
      </c>
      <c r="F18">
        <f>+B18-C18+D18+-E18</f>
        <v>109018.29</v>
      </c>
    </row>
    <row r="19">
      <c r="A19" t="str">
        <v>Préstamo I.P.V. para Compra de Terreno</v>
      </c>
      <c r="B19">
        <v>7744524.21</v>
      </c>
      <c r="C19">
        <v>0</v>
      </c>
      <c r="D19">
        <v>0</v>
      </c>
      <c r="E19">
        <v>0</v>
      </c>
      <c r="F19">
        <f>+B19-C19+D19+-E19</f>
        <v>7744524.21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2624895.55</v>
      </c>
      <c r="C20">
        <v>2355371.04</v>
      </c>
      <c r="D20">
        <v>0</v>
      </c>
      <c r="E20">
        <v>0</v>
      </c>
      <c r="F20">
        <f>+B20-C20+D20+-E20</f>
        <v>269524.5099999998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168373500.89</v>
      </c>
      <c r="C21">
        <v>13526126.83</v>
      </c>
      <c r="D21">
        <v>0</v>
      </c>
      <c r="E21">
        <v>45455893.59</v>
      </c>
      <c r="F21">
        <f>+B21-C21+D21+-E21</f>
        <v>109391480.46999997</v>
      </c>
    </row>
    <row r="22">
      <c r="A22" t="str">
        <v>Moneda Extranjera</v>
      </c>
      <c r="B22">
        <v>0</v>
      </c>
      <c r="C22">
        <v>0</v>
      </c>
      <c r="D22">
        <v>0</v>
      </c>
      <c r="E22">
        <v>0</v>
      </c>
      <c r="F22">
        <f>+B22+-C22+D22+-E22</f>
        <v>0</v>
      </c>
    </row>
    <row r="23">
      <c r="A23" t="str">
        <v>TOTALES</v>
      </c>
      <c r="B23">
        <f>SUM(B16:B22)</f>
        <v>178976495</v>
      </c>
      <c r="C23">
        <f>SUM(C16:C22)</f>
        <v>15881497.870000001</v>
      </c>
      <c r="D23">
        <f>SUM(D16:D22)</f>
        <v>0</v>
      </c>
      <c r="E23">
        <f>SUM(E16:E22)</f>
        <v>45455893.59</v>
      </c>
      <c r="F23">
        <f>SUM(F16:F22)</f>
        <v>117639103.53999996</v>
      </c>
    </row>
    <row r="25">
      <c r="A25" t="str">
        <v>LOS DATOS INCLUIDOS EN EL PRESENTE CUADRO HAN SIDO EXTRAIDOS DE LOS REGISTROS CONTABLES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