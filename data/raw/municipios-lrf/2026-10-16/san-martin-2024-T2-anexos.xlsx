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\ _€_-;\-* #,##0.00\ _€_-;_-* &quot;-&quot;??\ _€_-;_-@_-"/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2024</v>
      </c>
      <c r="G8" t="str">
        <v>TRIMESTRE: 2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5799484354.999999</v>
      </c>
      <c r="E13">
        <v>5799484354.999999</v>
      </c>
      <c r="F13">
        <v>5799484354.999999</v>
      </c>
      <c r="G13">
        <v>5799484354.999999</v>
      </c>
      <c r="H13">
        <f>+D13+E13+F13+G13</f>
        <v>23197937419.999996</v>
      </c>
    </row>
    <row r="14">
      <c r="B14" t="str">
        <v>II</v>
      </c>
      <c r="C14" t="str">
        <v>GASTOS CORRIENTES</v>
      </c>
      <c r="D14">
        <v>4625223105</v>
      </c>
      <c r="E14">
        <v>4625223105</v>
      </c>
      <c r="F14">
        <v>4625223105</v>
      </c>
      <c r="G14">
        <v>4625223105</v>
      </c>
      <c r="H14">
        <f>+D14+E14+F14+G14</f>
        <v>18500892420</v>
      </c>
    </row>
    <row r="15">
      <c r="B15" t="str">
        <v>III</v>
      </c>
      <c r="C15" t="str">
        <v>RESULTADO ECONOMICO (I-II)</v>
      </c>
      <c r="D15">
        <f>+D13-D14</f>
        <v>1174261249.999999</v>
      </c>
      <c r="E15">
        <f>+E13-E14</f>
        <v>1174261249.999999</v>
      </c>
      <c r="F15">
        <f>+F13-F14</f>
        <v>1174261249.999999</v>
      </c>
      <c r="G15">
        <f>+G13-G14</f>
        <v>1174261249.999999</v>
      </c>
      <c r="H15">
        <f>+D15+E15+F15+G15</f>
        <v>4697044999.999996</v>
      </c>
    </row>
    <row r="16">
      <c r="B16" t="str">
        <v>IV</v>
      </c>
      <c r="C16" t="str">
        <v>RECURSOS DE CAPITAL</v>
      </c>
      <c r="D16">
        <v>2500000</v>
      </c>
      <c r="E16">
        <v>2500000</v>
      </c>
      <c r="F16">
        <v>2500000</v>
      </c>
      <c r="G16">
        <v>2500000</v>
      </c>
      <c r="H16">
        <f>+D16+E16+F16+G16</f>
        <v>10000000</v>
      </c>
    </row>
    <row r="17">
      <c r="B17" t="str">
        <v>V</v>
      </c>
      <c r="C17" t="str">
        <v>GASTOS DE CAPITAL</v>
      </c>
      <c r="D17">
        <v>1233881250</v>
      </c>
      <c r="E17">
        <v>1233881250</v>
      </c>
      <c r="F17">
        <v>1233881250</v>
      </c>
      <c r="G17">
        <v>1233881250</v>
      </c>
      <c r="H17">
        <f>+D17+E17+F17+G17</f>
        <v>4935525000</v>
      </c>
    </row>
    <row r="18">
      <c r="B18" t="str">
        <v>VI</v>
      </c>
      <c r="C18" t="str">
        <v>EXCEDENTES (III+IV-V)</v>
      </c>
      <c r="D18">
        <f>+D15+D16-D17</f>
        <v>-57120000.00000095</v>
      </c>
      <c r="E18">
        <f>+E15+E16-E17</f>
        <v>-57120000.00000095</v>
      </c>
      <c r="F18">
        <f>+F15+F16-F17</f>
        <v>-57120000.00000095</v>
      </c>
      <c r="G18">
        <f>+G15+G16-G17</f>
        <v>-57120000.00000095</v>
      </c>
      <c r="H18">
        <f>+D18+E18+F18+G18</f>
        <v>-228480000.0000038</v>
      </c>
    </row>
    <row r="19">
      <c r="C19" t="str">
        <v>TOTAL RECURSOS (I+IV)</v>
      </c>
      <c r="D19">
        <f>+D13+D16</f>
        <v>5801984354.999999</v>
      </c>
      <c r="E19">
        <f>+E13+E16</f>
        <v>5801984354.999999</v>
      </c>
      <c r="F19">
        <f>+F13+F16</f>
        <v>5801984354.999999</v>
      </c>
      <c r="G19">
        <f>+G13+G16</f>
        <v>5801984354.999999</v>
      </c>
      <c r="H19">
        <f>+D19+E19+F19+G19</f>
        <v>23207937419.999996</v>
      </c>
    </row>
    <row r="20">
      <c r="C20" t="str">
        <v>TOTAL GASTOS (II+V)</v>
      </c>
      <c r="D20">
        <f>+D14+D17</f>
        <v>5859104355</v>
      </c>
      <c r="E20">
        <f>+E14+E17</f>
        <v>5859104355</v>
      </c>
      <c r="F20">
        <f>+F14+F17</f>
        <v>5859104355</v>
      </c>
      <c r="G20">
        <f>+G14+G17</f>
        <v>5859104355</v>
      </c>
      <c r="H20">
        <f>+D20+E20+F20+G20</f>
        <v>23436417420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-57120000.00000095</v>
      </c>
      <c r="E23">
        <f>+E18+E21-E22</f>
        <v>-57120000.00000095</v>
      </c>
      <c r="F23">
        <f>+F18+F21-F22</f>
        <v>-57120000.00000095</v>
      </c>
      <c r="G23">
        <f>+G18+G21-G22</f>
        <v>-57120000.00000095</v>
      </c>
      <c r="H23">
        <f>+D23+E23+F23+G23</f>
        <v>-228480000.0000038</v>
      </c>
    </row>
    <row r="24">
      <c r="B24" t="str">
        <v>X</v>
      </c>
      <c r="C24" t="str">
        <v>FUENTES DE FINANCIACION</v>
      </c>
      <c r="D24">
        <v>212500000</v>
      </c>
      <c r="E24">
        <v>212500000</v>
      </c>
      <c r="F24">
        <v>212500000</v>
      </c>
      <c r="G24">
        <v>212500000</v>
      </c>
      <c r="H24">
        <f>+D24+E24+F24+G24</f>
        <v>850000000</v>
      </c>
    </row>
    <row r="25">
      <c r="B25" t="str">
        <v>XI</v>
      </c>
      <c r="C25" t="str">
        <v>APLIC. FINANCIERAS</v>
      </c>
      <c r="D25">
        <v>155380000</v>
      </c>
      <c r="E25">
        <v>155380000</v>
      </c>
      <c r="F25">
        <v>155380000</v>
      </c>
      <c r="G25">
        <v>155380000</v>
      </c>
      <c r="H25">
        <f>+D25+E25+F25+G25</f>
        <v>621520000</v>
      </c>
    </row>
    <row r="26">
      <c r="B26" t="str">
        <v>XII</v>
      </c>
      <c r="C26" t="str">
        <v>FINANCIAMIENTO NETO (X-XI)</v>
      </c>
      <c r="D26">
        <f>+D24-D25</f>
        <v>57120000</v>
      </c>
      <c r="E26">
        <f>+E24-E25</f>
        <v>57120000</v>
      </c>
      <c r="F26">
        <f>+F24-F25</f>
        <v>57120000</v>
      </c>
      <c r="G26">
        <f>+G24-G25</f>
        <v>57120000</v>
      </c>
      <c r="H26">
        <f>+D26+E26+F26+G26</f>
        <v>228480000</v>
      </c>
    </row>
    <row r="27">
      <c r="B27" t="str">
        <v>XIII</v>
      </c>
      <c r="C27" t="str">
        <v>RESULTADO FINANCIERO (IX+XII)</v>
      </c>
      <c r="D27">
        <f>+D23+D26</f>
        <v>-9.5367431640625e-7</v>
      </c>
      <c r="E27">
        <f>+E23+E26</f>
        <v>-9.5367431640625e-7</v>
      </c>
      <c r="F27">
        <f>+F23+F26</f>
        <v>-9.5367431640625e-7</v>
      </c>
      <c r="G27">
        <f>+G23+G26</f>
        <v>-9.5367431640625e-7</v>
      </c>
      <c r="H27">
        <f>+D27+E27+F27+G27</f>
        <v>-0.000003814697265625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42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2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10439522338</v>
      </c>
      <c r="C14">
        <v>418057829.68</v>
      </c>
      <c r="D14">
        <v>1219264169.15</v>
      </c>
      <c r="E14">
        <f>+B14+C14-D14</f>
        <v>9638315998.53</v>
      </c>
      <c r="F14">
        <v>7948784514.48</v>
      </c>
      <c r="G14">
        <v>5686664890.78</v>
      </c>
      <c r="H14">
        <v>5686664890.78</v>
      </c>
      <c r="I14">
        <v>5196162926.98</v>
      </c>
      <c r="J14">
        <f>+G14-H14</f>
        <v>0</v>
      </c>
      <c r="K14">
        <f>+E14-F14</f>
        <v>1689531484.0500011</v>
      </c>
      <c r="L14">
        <f>+H14-I14</f>
        <v>490501963.8000002</v>
      </c>
    </row>
    <row r="15">
      <c r="A15" t="str">
        <v>41200 BIENES CORRIENTES</v>
      </c>
      <c r="B15">
        <v>1940838000</v>
      </c>
      <c r="C15">
        <v>899478416.54</v>
      </c>
      <c r="D15">
        <v>370603532.32</v>
      </c>
      <c r="E15">
        <f>+B15+C15-D15</f>
        <v>2469712884.22</v>
      </c>
      <c r="F15">
        <v>979260337.37</v>
      </c>
      <c r="G15">
        <v>548723260.12</v>
      </c>
      <c r="H15">
        <v>548539577.97</v>
      </c>
      <c r="I15">
        <v>536525244.28</v>
      </c>
      <c r="J15">
        <f>+G15-H15</f>
        <v>183682.14999997616</v>
      </c>
      <c r="K15">
        <f>+E15-F15</f>
        <v>1490452546.85</v>
      </c>
      <c r="L15">
        <f>+H15-I15</f>
        <v>12014333.690000057</v>
      </c>
    </row>
    <row r="16">
      <c r="A16" t="str">
        <v>41300 SERVICIOS CORRIENTES</v>
      </c>
      <c r="B16">
        <v>6017344116</v>
      </c>
      <c r="C16">
        <v>1993345368.52</v>
      </c>
      <c r="D16">
        <v>1561612611.72</v>
      </c>
      <c r="E16">
        <f>+B16+C16-D16</f>
        <v>6449076872.8</v>
      </c>
      <c r="F16">
        <v>4998983388.13</v>
      </c>
      <c r="G16">
        <v>1984783353.12</v>
      </c>
      <c r="H16">
        <v>1984783353.12</v>
      </c>
      <c r="I16">
        <v>1834333902.93</v>
      </c>
      <c r="J16">
        <f>+G16-H16</f>
        <v>0</v>
      </c>
      <c r="K16">
        <f>+E16-F16</f>
        <v>1450093484.67</v>
      </c>
      <c r="L16">
        <f>+H16-I16</f>
        <v>150449450.18999982</v>
      </c>
    </row>
    <row r="17">
      <c r="A17" t="str">
        <v>42100 INTERESES Y GASTOS</v>
      </c>
      <c r="B17">
        <v>9877966</v>
      </c>
      <c r="C17">
        <v>0</v>
      </c>
      <c r="D17">
        <v>0</v>
      </c>
      <c r="E17">
        <f>+B17+C17-D17</f>
        <v>9877966</v>
      </c>
      <c r="F17">
        <v>2405184.46</v>
      </c>
      <c r="G17">
        <v>2405184.45</v>
      </c>
      <c r="H17">
        <v>2405184.45</v>
      </c>
      <c r="I17">
        <v>2405184.45</v>
      </c>
      <c r="J17">
        <f>+G17-H17</f>
        <v>0</v>
      </c>
      <c r="K17">
        <f>+E17-F17</f>
        <v>7472781.54</v>
      </c>
      <c r="L17">
        <f>+H17-I17</f>
        <v>0</v>
      </c>
    </row>
    <row r="18">
      <c r="A18" t="str">
        <v>43100 TRANSFERENCIAS CORRIENTES</v>
      </c>
      <c r="B18">
        <v>93310000</v>
      </c>
      <c r="C18">
        <v>138521855.8</v>
      </c>
      <c r="D18">
        <v>16250000</v>
      </c>
      <c r="E18">
        <f>+B18+C18-D18</f>
        <v>215581855.8</v>
      </c>
      <c r="F18">
        <v>70006985.3</v>
      </c>
      <c r="G18">
        <v>62188983.77</v>
      </c>
      <c r="H18">
        <v>62188983.77</v>
      </c>
      <c r="I18">
        <v>61369883.77</v>
      </c>
      <c r="J18">
        <f>+G18-H18</f>
        <v>0</v>
      </c>
      <c r="K18">
        <f>+E18-F18</f>
        <v>145574870.5</v>
      </c>
      <c r="L18">
        <f>+H18-I18</f>
        <v>819100</v>
      </c>
    </row>
    <row r="19">
      <c r="A19" t="str">
        <v>44100 CREDITO SDIC.P/FINAN.EROG.CO</v>
      </c>
      <c r="B19">
        <v>0</v>
      </c>
      <c r="C19">
        <v>74721863.87</v>
      </c>
      <c r="D19">
        <v>0</v>
      </c>
      <c r="E19">
        <f>+B19+C19-D19</f>
        <v>74721863.87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74721863.87</v>
      </c>
      <c r="L19">
        <f>+H19-I19</f>
        <v>0</v>
      </c>
    </row>
    <row r="20">
      <c r="A20" t="str">
        <v>51100 BIENES DE CAPITAL</v>
      </c>
      <c r="B20">
        <v>344000000</v>
      </c>
      <c r="C20">
        <v>39274427.23</v>
      </c>
      <c r="D20">
        <v>127461001.26</v>
      </c>
      <c r="E20">
        <f>+B20+C20-D20</f>
        <v>255813425.97000003</v>
      </c>
      <c r="F20">
        <v>25296083.55</v>
      </c>
      <c r="G20">
        <v>21401254.84</v>
      </c>
      <c r="H20">
        <v>15839327.89</v>
      </c>
      <c r="I20">
        <v>15839327.89</v>
      </c>
      <c r="J20">
        <f>+G20-H20</f>
        <v>5561926.949999999</v>
      </c>
      <c r="K20">
        <f>+E20-F20</f>
        <v>230517342.42000002</v>
      </c>
      <c r="L20">
        <f>+H20-I20</f>
        <v>0</v>
      </c>
    </row>
    <row r="21">
      <c r="A21" t="str">
        <v>51200 TRABAJO PUBLICO</v>
      </c>
      <c r="B21">
        <v>4591525000</v>
      </c>
      <c r="C21">
        <v>1220832665.22</v>
      </c>
      <c r="D21">
        <v>535463630.53</v>
      </c>
      <c r="E21">
        <f>+B21+C21-D21</f>
        <v>5276894034.690001</v>
      </c>
      <c r="F21">
        <v>2601396522.47</v>
      </c>
      <c r="G21">
        <v>1372658504.6</v>
      </c>
      <c r="H21">
        <v>1372658504.6</v>
      </c>
      <c r="I21">
        <v>1332179148.46</v>
      </c>
      <c r="J21">
        <f>+G21-H21</f>
        <v>0</v>
      </c>
      <c r="K21">
        <f>+E21-F21</f>
        <v>2675497512.2200007</v>
      </c>
      <c r="L21">
        <f>+H21-I21</f>
        <v>40479356.13999987</v>
      </c>
    </row>
    <row r="22">
      <c r="A22" t="str">
        <v>52100 APORTES DE CAPITAL</v>
      </c>
      <c r="B22">
        <v>0</v>
      </c>
      <c r="C22">
        <v>20000000</v>
      </c>
      <c r="D22">
        <v>0</v>
      </c>
      <c r="E22">
        <f>+B22+C22-D22</f>
        <v>20000000</v>
      </c>
      <c r="F22">
        <v>10000000</v>
      </c>
      <c r="G22">
        <v>10000000</v>
      </c>
      <c r="H22">
        <v>10000000</v>
      </c>
      <c r="I22">
        <v>10000000</v>
      </c>
      <c r="J22">
        <f>+G22-H22</f>
        <v>0</v>
      </c>
      <c r="K22">
        <f>+E22-F22</f>
        <v>10000000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37712000</v>
      </c>
      <c r="C26">
        <v>0</v>
      </c>
      <c r="D26">
        <v>0</v>
      </c>
      <c r="E26">
        <f>+B26+C26-D26</f>
        <v>37712000</v>
      </c>
      <c r="F26">
        <v>8663332.92</v>
      </c>
      <c r="G26">
        <v>8663332.91</v>
      </c>
      <c r="H26">
        <v>8663332.91</v>
      </c>
      <c r="I26">
        <v>8663332.91</v>
      </c>
      <c r="J26">
        <f>+G26-H26</f>
        <v>0</v>
      </c>
      <c r="K26">
        <f>+E26-F26</f>
        <v>29048667.08</v>
      </c>
      <c r="L26">
        <f>+H26-I26</f>
        <v>0</v>
      </c>
    </row>
    <row r="27">
      <c r="A27" t="str">
        <v>74100 AMORTIZACION DE LA DEUDA FLOTANTE</v>
      </c>
      <c r="B27">
        <v>583808000</v>
      </c>
      <c r="C27">
        <v>285013514.72</v>
      </c>
      <c r="D27">
        <v>184729743.23</v>
      </c>
      <c r="E27">
        <f>+B27+C27-D27</f>
        <v>684091771.49</v>
      </c>
      <c r="F27">
        <v>377297180.73</v>
      </c>
      <c r="G27">
        <v>377297180.73</v>
      </c>
      <c r="H27">
        <v>377297180.73</v>
      </c>
      <c r="I27">
        <v>377297180.73</v>
      </c>
      <c r="J27">
        <f>+G27-H27</f>
        <v>0</v>
      </c>
      <c r="K27">
        <f>+E27-F27</f>
        <v>306794590.76</v>
      </c>
      <c r="L27">
        <f>+H27-I27</f>
        <v>0</v>
      </c>
    </row>
    <row r="28">
      <c r="A28" t="str">
        <v>TOTALES</v>
      </c>
      <c r="B28">
        <f>SUM(B14:B27)</f>
        <v>24057937420</v>
      </c>
      <c r="C28">
        <f>SUM(C14:C27)</f>
        <v>5089245941.58</v>
      </c>
      <c r="D28">
        <f>SUM(D14:D27)</f>
        <v>4015384688.2100005</v>
      </c>
      <c r="E28">
        <f>SUM(E14:E27)</f>
        <v>25131798673.37</v>
      </c>
      <c r="F28">
        <f>SUM(F14:F27)</f>
        <v>17022093529.409996</v>
      </c>
      <c r="G28">
        <f>SUM(G14:G27)</f>
        <v>10074785945.32</v>
      </c>
      <c r="H28">
        <f>SUM(H14:H27)</f>
        <v>10069040336.22</v>
      </c>
      <c r="I28">
        <f>SUM(I14:I27)</f>
        <v>9374776132.4</v>
      </c>
      <c r="J28">
        <f>SUM(J14:J27)</f>
        <v>5745609.099999975</v>
      </c>
      <c r="K28">
        <f>SUM(K14:K27)</f>
        <v>8109705143.960003</v>
      </c>
      <c r="L28">
        <f>SUM(L14:L27)</f>
        <v>694264203.8199999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M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G28"/>
  <sheetViews>
    <sheetView workbookViewId="0"/>
  </sheetViews>
  <sheetData>
    <row r="3">
      <c r="A3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2'!E8</f>
        <v>TRIMESTRE: 2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7119144920.14</v>
      </c>
      <c r="C14">
        <v>3386747352.91</v>
      </c>
      <c r="D14">
        <v>3386747352.91</v>
      </c>
      <c r="E14">
        <v>2912472239.08</v>
      </c>
      <c r="F14">
        <f>+C14-D14</f>
        <v>0</v>
      </c>
      <c r="G14">
        <f>+D14-E14</f>
        <v>474275113.8299999</v>
      </c>
    </row>
    <row r="15">
      <c r="A15" t="str">
        <v>41200 BIENES CORRIENTES</v>
      </c>
      <c r="B15">
        <v>605506626.82</v>
      </c>
      <c r="C15">
        <v>387034234.73</v>
      </c>
      <c r="D15">
        <v>386850552.58</v>
      </c>
      <c r="E15">
        <v>379048681.15</v>
      </c>
      <c r="F15">
        <f>+C15-D15</f>
        <v>183682.15000003576</v>
      </c>
      <c r="G15">
        <f>+D15-E15</f>
        <v>7801871.430000007</v>
      </c>
    </row>
    <row r="16">
      <c r="A16" t="str">
        <v>41300 SERVICIOS CORRIENTES</v>
      </c>
      <c r="B16">
        <v>2164797848.19</v>
      </c>
      <c r="C16">
        <v>1298720817.86</v>
      </c>
      <c r="D16">
        <v>1298720817.86</v>
      </c>
      <c r="E16">
        <v>1161124849.43</v>
      </c>
      <c r="F16">
        <f>+C16-D16</f>
        <v>0</v>
      </c>
      <c r="G16">
        <f>+D16-E16</f>
        <v>137595968.42999983</v>
      </c>
    </row>
    <row r="17">
      <c r="A17" t="str">
        <v>42100 INTERESES Y GASTOS</v>
      </c>
      <c r="B17">
        <v>2405184.46</v>
      </c>
      <c r="C17">
        <v>2405184.45</v>
      </c>
      <c r="D17">
        <v>2405184.45</v>
      </c>
      <c r="E17">
        <v>2405184.45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45141970.29</v>
      </c>
      <c r="C18">
        <v>42803968.76</v>
      </c>
      <c r="D18">
        <v>42803968.76</v>
      </c>
      <c r="E18">
        <v>42154868.76</v>
      </c>
      <c r="F18">
        <f>+C18-D18</f>
        <v>0</v>
      </c>
      <c r="G18">
        <f>+D18-E18</f>
        <v>649100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tr">
        <v>51100 BIENES DE CAPITAL</v>
      </c>
      <c r="B20">
        <v>16733272.55</v>
      </c>
      <c r="C20">
        <v>15819441.84</v>
      </c>
      <c r="D20">
        <v>11955314.89</v>
      </c>
      <c r="E20">
        <v>12603164.89</v>
      </c>
      <c r="F20">
        <f>+C20-D20</f>
        <v>3864126.9499999993</v>
      </c>
      <c r="G20">
        <f>+D20-E20</f>
        <v>-647850</v>
      </c>
    </row>
    <row r="21">
      <c r="A21" t="str">
        <v>51200 TRABAJO PUBLICO</v>
      </c>
      <c r="B21">
        <v>1141058821.6</v>
      </c>
      <c r="C21">
        <v>752722039.32</v>
      </c>
      <c r="D21">
        <v>752722039.32</v>
      </c>
      <c r="E21">
        <v>788013152.69</v>
      </c>
      <c r="F21">
        <f>+C21-D21</f>
        <v>0</v>
      </c>
      <c r="G21">
        <f>+D21-E21</f>
        <v>-35291113.370000005</v>
      </c>
    </row>
    <row r="22">
      <c r="A22" t="str">
        <v>52100 APORTES DE CAPITAL</v>
      </c>
      <c r="B22">
        <v>1720663.73</v>
      </c>
      <c r="C22">
        <v>1720663.73</v>
      </c>
      <c r="D22">
        <v>1720663.73</v>
      </c>
      <c r="E22">
        <v>1720663.73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8663332.92</v>
      </c>
      <c r="C26">
        <v>8663332.91</v>
      </c>
      <c r="D26">
        <v>8663332.91</v>
      </c>
      <c r="E26">
        <v>8663332.91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0</v>
      </c>
      <c r="C27">
        <v>0</v>
      </c>
      <c r="D27">
        <v>0</v>
      </c>
      <c r="E27">
        <v>0</v>
      </c>
      <c r="F27">
        <f>+C27-D27</f>
        <v>0</v>
      </c>
      <c r="G27">
        <f>+D27-E27</f>
        <v>0</v>
      </c>
    </row>
    <row r="28">
      <c r="A28" t="str">
        <v>TOTALES</v>
      </c>
      <c r="B28">
        <f>SUM(B14:B27)</f>
        <v>11105172640.699999</v>
      </c>
      <c r="C28">
        <f>SUM(C14:C27)</f>
        <v>5896637036.509999</v>
      </c>
      <c r="D28">
        <f>SUM(D14:D27)</f>
        <v>5892589227.409999</v>
      </c>
      <c r="E28">
        <f>SUM(E14:E27)</f>
        <v>5308206137.09</v>
      </c>
      <c r="F28">
        <f>SUM(F14:F27)</f>
        <v>4047809.100000035</v>
      </c>
      <c r="G28">
        <f>SUM(G14:G27)</f>
        <v>584383090.3199998</v>
      </c>
    </row>
  </sheetData>
  <mergeCells count="2">
    <mergeCell ref="A3:G3"/>
    <mergeCell ref="A5:G5"/>
  </mergeCells>
  <pageMargins left="0" right="0" top="0.984251968503937" bottom="0.984251968503937" header="0" footer="0"/>
  <ignoredErrors>
    <ignoredError numberStoredAsText="1" sqref="A2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2024</v>
      </c>
      <c r="F7" t="str">
        <f>+'ANEXO 1'!G8</f>
        <v>TRIMESTRE: 2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4845920119.97</v>
      </c>
      <c r="D13">
        <v>0</v>
      </c>
      <c r="E13">
        <v>0</v>
      </c>
      <c r="F13">
        <f>+C13+D13-E13</f>
        <v>4845920119.97</v>
      </c>
      <c r="G13">
        <v>0</v>
      </c>
      <c r="H13">
        <f>+F13-G13</f>
        <v>4845920119.97</v>
      </c>
      <c r="I13">
        <v>0</v>
      </c>
    </row>
    <row r="14">
      <c r="A14">
        <v>1110201000</v>
      </c>
      <c r="B14" t="str">
        <v>Impuesto inmobiliario -rentas generales-</v>
      </c>
      <c r="C14">
        <v>510483657.74</v>
      </c>
      <c r="D14">
        <v>0</v>
      </c>
      <c r="E14">
        <v>0</v>
      </c>
      <c r="F14">
        <f>+C14+D14-E14</f>
        <v>510483657.74</v>
      </c>
      <c r="G14">
        <v>0</v>
      </c>
      <c r="H14">
        <f>+F14-G14</f>
        <v>510483657.74</v>
      </c>
      <c r="I14">
        <v>0</v>
      </c>
    </row>
    <row r="15">
      <c r="A15">
        <v>1110202000</v>
      </c>
      <c r="B15" t="str">
        <v>Impuesto a los automotores</v>
      </c>
      <c r="C15">
        <v>1412408779.83</v>
      </c>
      <c r="D15">
        <v>0</v>
      </c>
      <c r="E15">
        <v>0</v>
      </c>
      <c r="F15">
        <f>+C15+D15-E15</f>
        <v>1412408779.83</v>
      </c>
      <c r="G15">
        <v>0</v>
      </c>
      <c r="H15">
        <f>+F15-G15</f>
        <v>1412408779.83</v>
      </c>
      <c r="I15">
        <v>0</v>
      </c>
    </row>
    <row r="16">
      <c r="A16">
        <v>1110301000</v>
      </c>
      <c r="B16" t="str">
        <v>Impuesto de sellos</v>
      </c>
      <c r="C16">
        <v>205592174.45</v>
      </c>
      <c r="D16">
        <v>0</v>
      </c>
      <c r="E16">
        <v>0</v>
      </c>
      <c r="F16">
        <f>+C16+D16-E16</f>
        <v>205592174.45</v>
      </c>
      <c r="G16">
        <v>0</v>
      </c>
      <c r="H16">
        <f>+F16-G16</f>
        <v>205592174.45</v>
      </c>
      <c r="I16">
        <v>0</v>
      </c>
    </row>
    <row r="17">
      <c r="A17">
        <v>1110606000</v>
      </c>
      <c r="B17" t="str">
        <v>Coparticipación a Clasificar</v>
      </c>
      <c r="C17">
        <v>0</v>
      </c>
      <c r="D17">
        <v>0</v>
      </c>
      <c r="E17">
        <v>0</v>
      </c>
      <c r="F17">
        <f>+C17+D17-E17</f>
        <v>0</v>
      </c>
      <c r="G17">
        <v>10233975987.06</v>
      </c>
      <c r="H17">
        <f>+F17-G17</f>
        <v>-10233975987.06</v>
      </c>
      <c r="I17">
        <v>6678955321.54</v>
      </c>
    </row>
    <row r="18">
      <c r="A18">
        <v>1110609000</v>
      </c>
      <c r="B18" t="str">
        <v>Canon Extraordinario de Producción</v>
      </c>
      <c r="C18">
        <v>75014513</v>
      </c>
      <c r="D18">
        <v>0</v>
      </c>
      <c r="E18">
        <v>0</v>
      </c>
      <c r="F18">
        <f>+C18+D18-E18</f>
        <v>75014513</v>
      </c>
      <c r="G18">
        <v>30750321.1</v>
      </c>
      <c r="H18">
        <f>+F18-G18</f>
        <v>44264191.9</v>
      </c>
      <c r="I18">
        <v>27453998.08</v>
      </c>
    </row>
    <row r="19">
      <c r="A19">
        <v>1110612000</v>
      </c>
      <c r="B19" t="str">
        <v>Fondos de Promoción Turística</v>
      </c>
      <c r="C19">
        <v>0</v>
      </c>
      <c r="D19">
        <v>0</v>
      </c>
      <c r="E19">
        <v>0</v>
      </c>
      <c r="F19">
        <f>+C19+D19-E19</f>
        <v>0</v>
      </c>
      <c r="G19">
        <v>19208576.47</v>
      </c>
      <c r="H19">
        <f>+F19-G19</f>
        <v>-19208576.47</v>
      </c>
      <c r="I19">
        <v>5803782.72</v>
      </c>
    </row>
    <row r="20">
      <c r="A20">
        <v>1120511000</v>
      </c>
      <c r="B20" t="str">
        <v>Ingresos Eventuales</v>
      </c>
      <c r="C20">
        <v>0</v>
      </c>
      <c r="D20">
        <v>0</v>
      </c>
      <c r="E20">
        <v>0</v>
      </c>
      <c r="F20">
        <f>+C20+D20-E20</f>
        <v>0</v>
      </c>
      <c r="G20">
        <v>0</v>
      </c>
      <c r="H20">
        <f>+F20-G20</f>
        <v>0</v>
      </c>
      <c r="I20">
        <v>0</v>
      </c>
    </row>
    <row r="21">
      <c r="A21">
        <v>1120705195</v>
      </c>
      <c r="B21" t="str">
        <v>Aportes No Reintegrables SEOS - Gob.de Mendoza</v>
      </c>
      <c r="C21">
        <v>1003433000</v>
      </c>
      <c r="D21">
        <v>0</v>
      </c>
      <c r="E21">
        <v>0</v>
      </c>
      <c r="F21">
        <f>+C21+D21-E21</f>
        <v>1003433000</v>
      </c>
      <c r="G21">
        <v>553334833.02</v>
      </c>
      <c r="H21">
        <f>+F21-G21</f>
        <v>450098166.98</v>
      </c>
      <c r="I21">
        <v>329539220.96</v>
      </c>
    </row>
    <row r="22">
      <c r="A22">
        <v>1120706195</v>
      </c>
      <c r="B22" t="str">
        <v>Aportes No Reintegrables Gob. de Mendoza</v>
      </c>
      <c r="C22">
        <v>1680000000</v>
      </c>
      <c r="D22">
        <v>0</v>
      </c>
      <c r="E22">
        <v>0</v>
      </c>
      <c r="F22">
        <f>+C22+D22-E22</f>
        <v>1680000000</v>
      </c>
      <c r="G22">
        <v>132676869.4</v>
      </c>
      <c r="H22">
        <f>+F22-G22</f>
        <v>1547323130.6</v>
      </c>
      <c r="I22">
        <v>0</v>
      </c>
    </row>
    <row r="23">
      <c r="A23">
        <v>1261900214</v>
      </c>
      <c r="B23" t="str">
        <v>Ley 26075 Financiamiento Educativo</v>
      </c>
      <c r="C23">
        <v>2048541707</v>
      </c>
      <c r="D23">
        <v>0</v>
      </c>
      <c r="E23">
        <v>0</v>
      </c>
      <c r="F23">
        <f>+C23+D23-E23</f>
        <v>2048541707</v>
      </c>
      <c r="G23">
        <v>698989941</v>
      </c>
      <c r="H23">
        <f>+F23-G23</f>
        <v>1349551766</v>
      </c>
      <c r="I23">
        <v>698989941</v>
      </c>
    </row>
    <row r="24">
      <c r="A24">
        <v>1270100000</v>
      </c>
      <c r="B24" t="str">
        <v>Del Tesoro Nacional</v>
      </c>
      <c r="C24">
        <v>8187344685</v>
      </c>
      <c r="D24">
        <v>0</v>
      </c>
      <c r="E24">
        <v>0</v>
      </c>
      <c r="F24">
        <f>+C24+D24-E24</f>
        <v>8187344685</v>
      </c>
      <c r="G24">
        <v>0</v>
      </c>
      <c r="H24">
        <f>+F24-G24</f>
        <v>8187344685</v>
      </c>
      <c r="I24">
        <v>0</v>
      </c>
    </row>
    <row r="25">
      <c r="A25">
        <v>1270101194</v>
      </c>
      <c r="B25" t="str">
        <v>Remesas de la Nación - Aportes No Reintegrables-194</v>
      </c>
      <c r="C25">
        <v>10000000</v>
      </c>
      <c r="D25">
        <v>0</v>
      </c>
      <c r="E25">
        <v>0</v>
      </c>
      <c r="F25">
        <f>+C25+D25-E25</f>
        <v>10000000</v>
      </c>
      <c r="G25">
        <v>0</v>
      </c>
      <c r="H25">
        <f>+F25-G25</f>
        <v>10000000</v>
      </c>
      <c r="I25">
        <v>0</v>
      </c>
    </row>
    <row r="26">
      <c r="A26">
        <v>1310100000</v>
      </c>
      <c r="B26" t="str">
        <v>Derechos Servicios Prop. Raíz</v>
      </c>
      <c r="C26">
        <v>903991717.33</v>
      </c>
      <c r="D26">
        <v>0</v>
      </c>
      <c r="E26">
        <v>0</v>
      </c>
      <c r="F26">
        <f>+C26+D26-E26</f>
        <v>903991717.33</v>
      </c>
      <c r="G26">
        <v>340250608.89</v>
      </c>
      <c r="H26">
        <f>+F26-G26</f>
        <v>563741108.44</v>
      </c>
      <c r="I26">
        <v>112613202.39</v>
      </c>
    </row>
    <row r="27">
      <c r="A27">
        <v>1310200000</v>
      </c>
      <c r="B27" t="str">
        <v>Derechos Comercio e Industria</v>
      </c>
      <c r="C27">
        <v>439702262.96</v>
      </c>
      <c r="D27">
        <v>0</v>
      </c>
      <c r="E27">
        <v>0</v>
      </c>
      <c r="F27">
        <f>+C27+D27-E27</f>
        <v>439702262.96</v>
      </c>
      <c r="G27">
        <v>263321417.67</v>
      </c>
      <c r="H27">
        <f>+F27-G27</f>
        <v>176380845.29</v>
      </c>
      <c r="I27">
        <v>133151400.69</v>
      </c>
    </row>
    <row r="28">
      <c r="A28">
        <v>1310300000</v>
      </c>
      <c r="B28" t="str">
        <v>Derechos de Cementerios</v>
      </c>
      <c r="C28">
        <v>186068611.59</v>
      </c>
      <c r="D28">
        <v>0</v>
      </c>
      <c r="E28">
        <v>0</v>
      </c>
      <c r="F28">
        <f>+C28+D28-E28</f>
        <v>186068611.59</v>
      </c>
      <c r="G28">
        <v>22962553.83</v>
      </c>
      <c r="H28">
        <f>+F28-G28</f>
        <v>163106057.76</v>
      </c>
      <c r="I28">
        <v>11347786.09</v>
      </c>
    </row>
    <row r="29">
      <c r="A29">
        <v>1310301000</v>
      </c>
      <c r="B29" t="str">
        <v>Derecho de Cementerio  Gral.</v>
      </c>
      <c r="C29">
        <v>0</v>
      </c>
      <c r="D29">
        <v>0</v>
      </c>
      <c r="E29">
        <v>0</v>
      </c>
      <c r="F29">
        <f>+C29+D29-E29</f>
        <v>0</v>
      </c>
      <c r="G29">
        <v>4712170.97</v>
      </c>
      <c r="H29">
        <f>+F29-G29</f>
        <v>-4712170.97</v>
      </c>
      <c r="I29">
        <v>4712170.97</v>
      </c>
    </row>
    <row r="30">
      <c r="A30">
        <v>1310302000</v>
      </c>
      <c r="B30" t="str">
        <v>Sellado De Cementerio</v>
      </c>
      <c r="C30">
        <v>0</v>
      </c>
      <c r="D30">
        <v>0</v>
      </c>
      <c r="E30">
        <v>0</v>
      </c>
      <c r="F30">
        <f>+C30+D30-E30</f>
        <v>0</v>
      </c>
      <c r="G30">
        <v>332350</v>
      </c>
      <c r="H30">
        <f>+F30-G30</f>
        <v>-332350</v>
      </c>
      <c r="I30">
        <v>332350</v>
      </c>
    </row>
    <row r="31">
      <c r="A31">
        <v>1310400000</v>
      </c>
      <c r="B31" t="str">
        <v>Derechos de Actuación Administrativa</v>
      </c>
      <c r="C31">
        <v>37144477.34</v>
      </c>
      <c r="D31">
        <v>0</v>
      </c>
      <c r="E31">
        <v>0</v>
      </c>
      <c r="F31">
        <f>+C31+D31-E31</f>
        <v>37144477.34</v>
      </c>
      <c r="G31">
        <v>15506770.42</v>
      </c>
      <c r="H31">
        <f>+F31-G31</f>
        <v>21637706.92</v>
      </c>
      <c r="I31">
        <v>7653843.74</v>
      </c>
    </row>
    <row r="32">
      <c r="A32">
        <v>1310401000</v>
      </c>
      <c r="B32" t="str">
        <v>Sellados</v>
      </c>
      <c r="C32">
        <v>24293465.28</v>
      </c>
      <c r="D32">
        <v>0</v>
      </c>
      <c r="E32">
        <v>0</v>
      </c>
      <c r="F32">
        <f>+C32+D32-E32</f>
        <v>24293465.28</v>
      </c>
      <c r="G32">
        <v>5009725.86</v>
      </c>
      <c r="H32">
        <f>+F32-G32</f>
        <v>19283739.42</v>
      </c>
      <c r="I32">
        <v>1699931.19</v>
      </c>
    </row>
    <row r="33">
      <c r="A33">
        <v>1310402000</v>
      </c>
      <c r="B33" t="str">
        <v>Gastos Administrativos de Apremio</v>
      </c>
      <c r="C33">
        <v>1052590.57</v>
      </c>
      <c r="D33">
        <v>0</v>
      </c>
      <c r="E33">
        <v>0</v>
      </c>
      <c r="F33">
        <f>+C33+D33-E33</f>
        <v>1052590.57</v>
      </c>
      <c r="G33">
        <v>339941.59</v>
      </c>
      <c r="H33">
        <f>+F33-G33</f>
        <v>712648.98</v>
      </c>
      <c r="I33">
        <v>115083.08</v>
      </c>
    </row>
    <row r="34">
      <c r="A34">
        <v>1310500000</v>
      </c>
      <c r="B34" t="str">
        <v>Derechos de Edificación</v>
      </c>
      <c r="C34">
        <v>10846064.76</v>
      </c>
      <c r="D34">
        <v>0</v>
      </c>
      <c r="E34">
        <v>0</v>
      </c>
      <c r="F34">
        <f>+C34+D34-E34</f>
        <v>10846064.76</v>
      </c>
      <c r="G34">
        <v>6625901.75</v>
      </c>
      <c r="H34">
        <f>+F34-G34</f>
        <v>4220163.01</v>
      </c>
      <c r="I34">
        <v>2974217.54</v>
      </c>
    </row>
    <row r="35">
      <c r="A35">
        <v>1310600000</v>
      </c>
      <c r="B35" t="str">
        <v>Derecho de Inspección y Habilitación Eléctrica</v>
      </c>
      <c r="C35">
        <v>1633459.38</v>
      </c>
      <c r="D35">
        <v>0</v>
      </c>
      <c r="E35">
        <v>0</v>
      </c>
      <c r="F35">
        <f>+C35+D35-E35</f>
        <v>1633459.38</v>
      </c>
      <c r="G35">
        <v>176560.67</v>
      </c>
      <c r="H35">
        <f>+F35-G35</f>
        <v>1456898.71</v>
      </c>
      <c r="I35">
        <v>66807.01</v>
      </c>
    </row>
    <row r="36">
      <c r="A36">
        <v>1310700000</v>
      </c>
      <c r="B36" t="str">
        <v>Derecho de Inspección de Espectáculas Públicos</v>
      </c>
      <c r="C36">
        <v>9272708.9</v>
      </c>
      <c r="D36">
        <v>0</v>
      </c>
      <c r="E36">
        <v>0</v>
      </c>
      <c r="F36">
        <f>+C36+D36-E36</f>
        <v>9272708.9</v>
      </c>
      <c r="G36">
        <v>2298022.6</v>
      </c>
      <c r="H36">
        <f>+F36-G36</f>
        <v>6974686.300000001</v>
      </c>
      <c r="I36">
        <v>665856</v>
      </c>
    </row>
    <row r="37">
      <c r="A37">
        <v>1310800000</v>
      </c>
      <c r="B37" t="str">
        <v>Derechos de Publicidad y Propaganda</v>
      </c>
      <c r="C37">
        <v>64909.63</v>
      </c>
      <c r="D37">
        <v>0</v>
      </c>
      <c r="E37">
        <v>0</v>
      </c>
      <c r="F37">
        <f>+C37+D37-E37</f>
        <v>64909.63</v>
      </c>
      <c r="G37">
        <v>72932</v>
      </c>
      <c r="H37">
        <f>+F37-G37</f>
        <v>-8022.370000000003</v>
      </c>
      <c r="I37">
        <v>52020</v>
      </c>
    </row>
    <row r="38">
      <c r="A38">
        <v>1311010000</v>
      </c>
      <c r="B38" t="str">
        <v>Derechos de Concesiones - Locales</v>
      </c>
      <c r="C38">
        <v>21844070.82</v>
      </c>
      <c r="D38">
        <v>0</v>
      </c>
      <c r="E38">
        <v>0</v>
      </c>
      <c r="F38">
        <f>+C38+D38-E38</f>
        <v>21844070.82</v>
      </c>
      <c r="G38">
        <v>8408635.12</v>
      </c>
      <c r="H38">
        <f>+F38-G38</f>
        <v>13435435.700000001</v>
      </c>
      <c r="I38">
        <v>4919431.63</v>
      </c>
    </row>
    <row r="39">
      <c r="A39">
        <v>1311100000</v>
      </c>
      <c r="B39" t="str">
        <v>Derechos de Salubridad e Higiene</v>
      </c>
      <c r="C39">
        <v>403401.14</v>
      </c>
      <c r="D39">
        <v>0</v>
      </c>
      <c r="E39">
        <v>0</v>
      </c>
      <c r="F39">
        <f>+C39+D39-E39</f>
        <v>403401.14</v>
      </c>
      <c r="G39">
        <v>224524.1</v>
      </c>
      <c r="H39">
        <f>+F39-G39</f>
        <v>178877.04</v>
      </c>
      <c r="I39">
        <v>95254.4</v>
      </c>
    </row>
    <row r="40">
      <c r="A40">
        <v>1311102000</v>
      </c>
      <c r="B40" t="str">
        <v>Derecho de Inspección, Higiene Urbana y Saneamiento Ambiental Gral.</v>
      </c>
      <c r="C40">
        <v>0</v>
      </c>
      <c r="D40">
        <v>0</v>
      </c>
      <c r="E40">
        <v>0</v>
      </c>
      <c r="F40">
        <f>+C40+D40-E40</f>
        <v>0</v>
      </c>
      <c r="G40">
        <v>287555</v>
      </c>
      <c r="H40">
        <f>+F40-G40</f>
        <v>-287555</v>
      </c>
      <c r="I40">
        <v>287555</v>
      </c>
    </row>
    <row r="41">
      <c r="A41">
        <v>1311200000</v>
      </c>
      <c r="B41" t="str">
        <v>Derechos de Ocupación de Espacios Públicos</v>
      </c>
      <c r="C41">
        <v>59151576.16</v>
      </c>
      <c r="D41">
        <v>0</v>
      </c>
      <c r="E41">
        <v>0</v>
      </c>
      <c r="F41">
        <f>+C41+D41-E41</f>
        <v>59151576.16</v>
      </c>
      <c r="G41">
        <v>8266749.38</v>
      </c>
      <c r="H41">
        <f>+F41-G41</f>
        <v>50884826.779999994</v>
      </c>
      <c r="I41">
        <v>3135295.08</v>
      </c>
    </row>
    <row r="42">
      <c r="A42">
        <v>1311201000</v>
      </c>
      <c r="B42" t="str">
        <v>Derechos de Ocupación de Espacios Públicos- Playón Municipal</v>
      </c>
      <c r="C42">
        <v>2038612.6</v>
      </c>
      <c r="D42">
        <v>0</v>
      </c>
      <c r="E42">
        <v>0</v>
      </c>
      <c r="F42">
        <f>+C42+D42-E42</f>
        <v>2038612.6</v>
      </c>
      <c r="G42">
        <v>846200</v>
      </c>
      <c r="H42">
        <f>+F42-G42</f>
        <v>1192412.6</v>
      </c>
      <c r="I42">
        <v>341200</v>
      </c>
    </row>
    <row r="43">
      <c r="A43">
        <v>1311203000</v>
      </c>
      <c r="B43" t="str">
        <v>Sellado de Ocupación de Espacio Público Gral.</v>
      </c>
      <c r="C43">
        <v>0</v>
      </c>
      <c r="D43">
        <v>0</v>
      </c>
      <c r="E43">
        <v>0</v>
      </c>
      <c r="F43">
        <f>+C43+D43-E43</f>
        <v>0</v>
      </c>
      <c r="G43">
        <v>541458.23</v>
      </c>
      <c r="H43">
        <f>+F43-G43</f>
        <v>-541458.23</v>
      </c>
      <c r="I43">
        <v>541458.23</v>
      </c>
    </row>
    <row r="44">
      <c r="A44">
        <v>1311204000</v>
      </c>
      <c r="B44" t="str">
        <v>Derecho de O.E.P. Frente a Comercio</v>
      </c>
      <c r="C44">
        <v>0</v>
      </c>
      <c r="D44">
        <v>0</v>
      </c>
      <c r="E44">
        <v>0</v>
      </c>
      <c r="F44">
        <f>+C44+D44-E44</f>
        <v>0</v>
      </c>
      <c r="G44">
        <v>7358.66</v>
      </c>
      <c r="H44">
        <f>+F44-G44</f>
        <v>-7358.66</v>
      </c>
      <c r="I44">
        <v>7358.66</v>
      </c>
    </row>
    <row r="45">
      <c r="A45">
        <v>1311302000</v>
      </c>
      <c r="B45" t="str">
        <v>Comercio e Industria Ej. Vencidos</v>
      </c>
      <c r="C45">
        <v>0.05</v>
      </c>
      <c r="D45">
        <v>0</v>
      </c>
      <c r="E45">
        <v>0</v>
      </c>
      <c r="F45">
        <f>+C45+D45-E45</f>
        <v>0.05</v>
      </c>
      <c r="G45">
        <v>0</v>
      </c>
      <c r="H45">
        <f>+F45-G45</f>
        <v>0.05</v>
      </c>
      <c r="I45">
        <v>0</v>
      </c>
    </row>
    <row r="46">
      <c r="A46">
        <v>1311500000</v>
      </c>
      <c r="B46" t="str">
        <v>Derechos de Verificación y Habilitación de Estructura de Antenas</v>
      </c>
      <c r="C46">
        <v>35237854.5</v>
      </c>
      <c r="D46">
        <v>0</v>
      </c>
      <c r="E46">
        <v>0</v>
      </c>
      <c r="F46">
        <f>+C46+D46-E46</f>
        <v>35237854.5</v>
      </c>
      <c r="G46">
        <v>16386300</v>
      </c>
      <c r="H46">
        <f>+F46-G46</f>
        <v>18851554.5</v>
      </c>
      <c r="I46">
        <v>9103500</v>
      </c>
    </row>
    <row r="47">
      <c r="A47">
        <v>1311600000</v>
      </c>
      <c r="B47" t="str">
        <v>Derechos de Transferencia</v>
      </c>
      <c r="C47">
        <v>0</v>
      </c>
      <c r="D47">
        <v>0</v>
      </c>
      <c r="E47">
        <v>0</v>
      </c>
      <c r="F47">
        <f>+C47+D47-E47</f>
        <v>0</v>
      </c>
      <c r="G47">
        <v>125715</v>
      </c>
      <c r="H47">
        <f>+F47-G47</f>
        <v>-125715</v>
      </c>
      <c r="I47">
        <v>125715</v>
      </c>
    </row>
    <row r="48">
      <c r="A48">
        <v>1320100000</v>
      </c>
      <c r="B48" t="str">
        <v>Multas Generales</v>
      </c>
      <c r="C48">
        <v>24309000</v>
      </c>
      <c r="D48">
        <v>0</v>
      </c>
      <c r="E48">
        <v>0</v>
      </c>
      <c r="F48">
        <f>+C48+D48-E48</f>
        <v>24309000</v>
      </c>
      <c r="G48">
        <v>11583797.29</v>
      </c>
      <c r="H48">
        <f>+F48-G48</f>
        <v>12725202.71</v>
      </c>
      <c r="I48">
        <v>3512256.88</v>
      </c>
    </row>
    <row r="49">
      <c r="A49">
        <v>1320100001</v>
      </c>
      <c r="B49" t="str">
        <v>Multas juzgado vial</v>
      </c>
      <c r="C49">
        <v>15872000</v>
      </c>
      <c r="D49">
        <v>0</v>
      </c>
      <c r="E49">
        <v>0</v>
      </c>
      <c r="F49">
        <f>+C49+D49-E49</f>
        <v>15872000</v>
      </c>
      <c r="G49">
        <v>4284874.8</v>
      </c>
      <c r="H49">
        <f>+F49-G49</f>
        <v>11587125.2</v>
      </c>
      <c r="I49">
        <v>2385325.98</v>
      </c>
    </row>
    <row r="50">
      <c r="A50">
        <v>1320100002</v>
      </c>
      <c r="B50" t="str">
        <v>Ingreso por Servicios de Control de Velocidad</v>
      </c>
      <c r="C50">
        <v>52493000</v>
      </c>
      <c r="D50">
        <v>0</v>
      </c>
      <c r="E50">
        <v>0</v>
      </c>
      <c r="F50">
        <f>+C50+D50-E50</f>
        <v>52493000</v>
      </c>
      <c r="G50">
        <v>5095939.76</v>
      </c>
      <c r="H50">
        <f>+F50-G50</f>
        <v>47397060.24</v>
      </c>
      <c r="I50">
        <v>3086119.58</v>
      </c>
    </row>
    <row r="51">
      <c r="A51">
        <v>1320100003</v>
      </c>
      <c r="B51" t="str">
        <v>Ingreso Serv. Control de Velocidad con Resolución</v>
      </c>
      <c r="C51">
        <v>3141000</v>
      </c>
      <c r="D51">
        <v>0</v>
      </c>
      <c r="E51">
        <v>0</v>
      </c>
      <c r="F51">
        <f>+C51+D51-E51</f>
        <v>3141000</v>
      </c>
      <c r="G51">
        <v>100550</v>
      </c>
      <c r="H51">
        <f>+F51-G51</f>
        <v>3040450</v>
      </c>
      <c r="I51">
        <v>55400</v>
      </c>
    </row>
    <row r="52">
      <c r="A52">
        <v>1320200000</v>
      </c>
      <c r="B52" t="str">
        <v>Intereses y Recargos</v>
      </c>
      <c r="C52">
        <v>107575000</v>
      </c>
      <c r="D52">
        <v>0</v>
      </c>
      <c r="E52">
        <v>0</v>
      </c>
      <c r="F52">
        <f>+C52+D52-E52</f>
        <v>107575000</v>
      </c>
      <c r="G52">
        <v>45483115.28</v>
      </c>
      <c r="H52">
        <f>+F52-G52</f>
        <v>62091884.72</v>
      </c>
      <c r="I52">
        <v>17896470.34</v>
      </c>
    </row>
    <row r="53">
      <c r="A53">
        <v>1320201000</v>
      </c>
      <c r="B53" t="str">
        <v>Intereses Ganados Plazo Fijo</v>
      </c>
      <c r="C53">
        <v>1000000000</v>
      </c>
      <c r="D53">
        <v>0</v>
      </c>
      <c r="E53">
        <v>0</v>
      </c>
      <c r="F53">
        <f>+C53+D53-E53</f>
        <v>1000000000</v>
      </c>
      <c r="G53">
        <v>816665480.06</v>
      </c>
      <c r="H53">
        <f>+F53-G53</f>
        <v>183334519.94000006</v>
      </c>
      <c r="I53">
        <v>404108219.54</v>
      </c>
    </row>
    <row r="54">
      <c r="A54">
        <v>1320203000</v>
      </c>
      <c r="B54" t="str">
        <v>Intereses ganados inversiones corrientes</v>
      </c>
      <c r="C54">
        <v>0</v>
      </c>
      <c r="D54">
        <v>0</v>
      </c>
      <c r="E54">
        <v>0</v>
      </c>
      <c r="F54">
        <f>+C54+D54-E54</f>
        <v>0</v>
      </c>
      <c r="G54">
        <v>127368110.6</v>
      </c>
      <c r="H54">
        <f>+F54-G54</f>
        <v>-127368110.6</v>
      </c>
      <c r="I54">
        <v>127368110.6</v>
      </c>
    </row>
    <row r="55">
      <c r="A55">
        <v>1320205000</v>
      </c>
      <c r="B55" t="str">
        <v>Intereses Resarcitorios</v>
      </c>
      <c r="C55">
        <v>0</v>
      </c>
      <c r="D55">
        <v>0</v>
      </c>
      <c r="E55">
        <v>0</v>
      </c>
      <c r="F55">
        <f>+C55+D55-E55</f>
        <v>0</v>
      </c>
      <c r="G55">
        <v>3554184.51</v>
      </c>
      <c r="H55">
        <f>+F55-G55</f>
        <v>-3554184.51</v>
      </c>
      <c r="I55">
        <v>3554184.51</v>
      </c>
    </row>
    <row r="56">
      <c r="A56">
        <v>1320300000</v>
      </c>
      <c r="B56" t="str">
        <v>Concesión Servicio de emisión licencias de conducir</v>
      </c>
      <c r="C56">
        <v>79303000</v>
      </c>
      <c r="D56">
        <v>0</v>
      </c>
      <c r="E56">
        <v>0</v>
      </c>
      <c r="F56">
        <f>+C56+D56-E56</f>
        <v>79303000</v>
      </c>
      <c r="G56">
        <v>27948000</v>
      </c>
      <c r="H56">
        <f>+F56-G56</f>
        <v>51355000</v>
      </c>
      <c r="I56">
        <v>12629300</v>
      </c>
    </row>
    <row r="57">
      <c r="A57">
        <v>1320400000</v>
      </c>
      <c r="B57" t="str">
        <v>Producido de Actividades Culturales</v>
      </c>
      <c r="C57">
        <v>265000</v>
      </c>
      <c r="D57">
        <v>0</v>
      </c>
      <c r="E57">
        <v>0</v>
      </c>
      <c r="F57">
        <f>+C57+D57-E57</f>
        <v>265000</v>
      </c>
      <c r="G57">
        <v>123800</v>
      </c>
      <c r="H57">
        <f>+F57-G57</f>
        <v>141200</v>
      </c>
      <c r="I57">
        <v>0</v>
      </c>
    </row>
    <row r="58">
      <c r="A58">
        <v>1320401000</v>
      </c>
      <c r="B58" t="str">
        <v>Cultura y Educación</v>
      </c>
      <c r="C58">
        <v>635000</v>
      </c>
      <c r="D58">
        <v>0</v>
      </c>
      <c r="E58">
        <v>0</v>
      </c>
      <c r="F58">
        <f>+C58+D58-E58</f>
        <v>635000</v>
      </c>
      <c r="G58">
        <v>263568</v>
      </c>
      <c r="H58">
        <f>+F58-G58</f>
        <v>371432</v>
      </c>
      <c r="I58">
        <v>129472</v>
      </c>
    </row>
    <row r="59">
      <c r="A59">
        <v>1320600000</v>
      </c>
      <c r="B59" t="str">
        <v>Producido de actividades gestión de cobranza</v>
      </c>
      <c r="C59">
        <v>2739000</v>
      </c>
      <c r="D59">
        <v>0</v>
      </c>
      <c r="E59">
        <v>0</v>
      </c>
      <c r="F59">
        <f>+C59+D59-E59</f>
        <v>2739000</v>
      </c>
      <c r="G59">
        <v>1264196.63</v>
      </c>
      <c r="H59">
        <f>+F59-G59</f>
        <v>1474803.37</v>
      </c>
      <c r="I59">
        <v>894097.28</v>
      </c>
    </row>
    <row r="60">
      <c r="A60">
        <v>1320700000</v>
      </c>
      <c r="B60" t="str">
        <v>Producido de actividades especiales</v>
      </c>
      <c r="C60">
        <v>10730000</v>
      </c>
      <c r="D60">
        <v>0</v>
      </c>
      <c r="E60">
        <v>0</v>
      </c>
      <c r="F60">
        <f>+C60+D60-E60</f>
        <v>10730000</v>
      </c>
      <c r="G60">
        <v>4571571.79</v>
      </c>
      <c r="H60">
        <f>+F60-G60</f>
        <v>6158428.21</v>
      </c>
      <c r="I60">
        <v>1842041.57</v>
      </c>
    </row>
    <row r="61">
      <c r="A61">
        <v>1320701000</v>
      </c>
      <c r="B61" t="str">
        <v>Atmosférico</v>
      </c>
      <c r="C61">
        <v>2318000</v>
      </c>
      <c r="D61">
        <v>0</v>
      </c>
      <c r="E61">
        <v>0</v>
      </c>
      <c r="F61">
        <f>+C61+D61-E61</f>
        <v>2318000</v>
      </c>
      <c r="G61">
        <v>1260619.68</v>
      </c>
      <c r="H61">
        <f>+F61-G61</f>
        <v>1057380.32</v>
      </c>
      <c r="I61">
        <v>474538</v>
      </c>
    </row>
    <row r="62">
      <c r="A62">
        <v>1320703000</v>
      </c>
      <c r="B62" t="str">
        <v>Educación</v>
      </c>
      <c r="C62">
        <v>0</v>
      </c>
      <c r="D62">
        <v>0</v>
      </c>
      <c r="E62">
        <v>0</v>
      </c>
      <c r="F62">
        <f>+C62+D62-E62</f>
        <v>0</v>
      </c>
      <c r="G62">
        <v>53176</v>
      </c>
      <c r="H62">
        <f>+F62-G62</f>
        <v>-53176</v>
      </c>
      <c r="I62">
        <v>53176</v>
      </c>
    </row>
    <row r="63">
      <c r="A63">
        <v>1320704000</v>
      </c>
      <c r="B63" t="str">
        <v>Sistema de Alarma Comunitaria</v>
      </c>
      <c r="C63">
        <v>1550000</v>
      </c>
      <c r="D63">
        <v>0</v>
      </c>
      <c r="E63">
        <v>0</v>
      </c>
      <c r="F63">
        <f>+C63+D63-E63</f>
        <v>1550000</v>
      </c>
      <c r="G63">
        <v>239645.96</v>
      </c>
      <c r="H63">
        <f>+F63-G63</f>
        <v>1310354.04</v>
      </c>
      <c r="I63">
        <v>24000</v>
      </c>
    </row>
    <row r="64">
      <c r="A64">
        <v>1320705000</v>
      </c>
      <c r="B64" t="str">
        <v>Provisión de Agua</v>
      </c>
      <c r="C64">
        <v>0</v>
      </c>
      <c r="D64">
        <v>0</v>
      </c>
      <c r="E64">
        <v>0</v>
      </c>
      <c r="F64">
        <f>+C64+D64-E64</f>
        <v>0</v>
      </c>
      <c r="G64">
        <v>287594</v>
      </c>
      <c r="H64">
        <f>+F64-G64</f>
        <v>-287594</v>
      </c>
      <c r="I64">
        <v>287594</v>
      </c>
    </row>
    <row r="65">
      <c r="A65">
        <v>1321100000</v>
      </c>
      <c r="B65" t="str">
        <v>Ingresos Agentes Financieros</v>
      </c>
      <c r="C65">
        <v>150000000</v>
      </c>
      <c r="D65">
        <v>0</v>
      </c>
      <c r="E65">
        <v>0</v>
      </c>
      <c r="F65">
        <f>+C65+D65-E65</f>
        <v>150000000</v>
      </c>
      <c r="G65">
        <v>50004591.23</v>
      </c>
      <c r="H65">
        <f>+F65-G65</f>
        <v>99995408.77000001</v>
      </c>
      <c r="I65">
        <v>18551489.75</v>
      </c>
    </row>
    <row r="66">
      <c r="A66">
        <v>1321200000</v>
      </c>
      <c r="B66" t="str">
        <v>Cargo por Alumbrado Publico</v>
      </c>
      <c r="C66">
        <v>29412000</v>
      </c>
      <c r="D66">
        <v>0</v>
      </c>
      <c r="E66">
        <v>0</v>
      </c>
      <c r="F66">
        <f>+C66+D66-E66</f>
        <v>29412000</v>
      </c>
      <c r="G66">
        <v>15494379.45</v>
      </c>
      <c r="H66">
        <f>+F66-G66</f>
        <v>13917620.55</v>
      </c>
      <c r="I66">
        <v>8284345.09</v>
      </c>
    </row>
    <row r="67">
      <c r="A67">
        <v>1321300000</v>
      </c>
      <c r="B67" t="str">
        <v>Producido de Estacionamiento Medido</v>
      </c>
      <c r="C67">
        <v>0</v>
      </c>
      <c r="D67">
        <v>0</v>
      </c>
      <c r="E67">
        <v>0</v>
      </c>
      <c r="F67">
        <f>+C67+D67-E67</f>
        <v>0</v>
      </c>
      <c r="G67">
        <v>1097709.29</v>
      </c>
      <c r="H67">
        <f>+F67-G67</f>
        <v>-1097709.29</v>
      </c>
      <c r="I67">
        <v>1097709.29</v>
      </c>
    </row>
    <row r="68">
      <c r="A68">
        <v>1321700000</v>
      </c>
      <c r="B68" t="str">
        <v>Producido de la actividad Turística</v>
      </c>
      <c r="C68">
        <v>6111000</v>
      </c>
      <c r="D68">
        <v>0</v>
      </c>
      <c r="E68">
        <v>0</v>
      </c>
      <c r="F68">
        <f>+C68+D68-E68</f>
        <v>6111000</v>
      </c>
      <c r="G68">
        <v>0</v>
      </c>
      <c r="H68">
        <f>+F68-G68</f>
        <v>6111000</v>
      </c>
      <c r="I68">
        <v>0</v>
      </c>
    </row>
    <row r="69">
      <c r="A69">
        <v>1321800000</v>
      </c>
      <c r="B69" t="str">
        <v>Ventas de Pliegos, Publicaciones y Otros</v>
      </c>
      <c r="C69">
        <v>0</v>
      </c>
      <c r="D69">
        <v>0</v>
      </c>
      <c r="E69">
        <v>0</v>
      </c>
      <c r="F69">
        <f>+C69+D69-E69</f>
        <v>0</v>
      </c>
      <c r="G69">
        <v>705536.23</v>
      </c>
      <c r="H69">
        <f>+F69-G69</f>
        <v>-705536.23</v>
      </c>
      <c r="I69">
        <v>705536.23</v>
      </c>
    </row>
    <row r="70">
      <c r="A70">
        <v>1321901000</v>
      </c>
      <c r="B70" t="str">
        <v>Actas Viales Municipales</v>
      </c>
      <c r="C70">
        <v>0</v>
      </c>
      <c r="D70">
        <v>0</v>
      </c>
      <c r="E70">
        <v>0</v>
      </c>
      <c r="F70">
        <f>+C70+D70-E70</f>
        <v>0</v>
      </c>
      <c r="G70">
        <v>355946</v>
      </c>
      <c r="H70">
        <f>+F70-G70</f>
        <v>-355946</v>
      </c>
      <c r="I70">
        <v>355946</v>
      </c>
    </row>
    <row r="71">
      <c r="A71">
        <v>1321903000</v>
      </c>
      <c r="B71" t="str">
        <v>Resoluciones Viales Municipales</v>
      </c>
      <c r="C71">
        <v>0</v>
      </c>
      <c r="D71">
        <v>0</v>
      </c>
      <c r="E71">
        <v>0</v>
      </c>
      <c r="F71">
        <f>+C71+D71-E71</f>
        <v>0</v>
      </c>
      <c r="G71">
        <v>206981.68</v>
      </c>
      <c r="H71">
        <f>+F71-G71</f>
        <v>-206981.68</v>
      </c>
      <c r="I71">
        <v>206981.68</v>
      </c>
    </row>
    <row r="72">
      <c r="A72">
        <v>1321905000</v>
      </c>
      <c r="B72" t="str">
        <v>Resoluciones Fotomultas</v>
      </c>
      <c r="C72">
        <v>0</v>
      </c>
      <c r="D72">
        <v>0</v>
      </c>
      <c r="E72">
        <v>0</v>
      </c>
      <c r="F72">
        <f>+C72+D72-E72</f>
        <v>0</v>
      </c>
      <c r="G72">
        <v>61100</v>
      </c>
      <c r="H72">
        <f>+F72-G72</f>
        <v>-61100</v>
      </c>
      <c r="I72">
        <v>61100</v>
      </c>
    </row>
    <row r="73">
      <c r="A73">
        <v>1321906000</v>
      </c>
      <c r="B73" t="str">
        <v>Resoluciones Accidentología</v>
      </c>
      <c r="C73">
        <v>0</v>
      </c>
      <c r="D73">
        <v>0</v>
      </c>
      <c r="E73">
        <v>0</v>
      </c>
      <c r="F73">
        <f>+C73+D73-E73</f>
        <v>0</v>
      </c>
      <c r="G73">
        <v>508437.13</v>
      </c>
      <c r="H73">
        <f>+F73-G73</f>
        <v>-508437.13</v>
      </c>
      <c r="I73">
        <v>508437.13</v>
      </c>
    </row>
    <row r="74">
      <c r="A74">
        <v>1322000000</v>
      </c>
      <c r="B74" t="str">
        <v>Contribución Bomberos Voluntarios</v>
      </c>
      <c r="C74">
        <v>0</v>
      </c>
      <c r="D74">
        <v>0</v>
      </c>
      <c r="E74">
        <v>0</v>
      </c>
      <c r="F74">
        <f>+C74+D74-E74</f>
        <v>0</v>
      </c>
      <c r="G74">
        <v>952287.44</v>
      </c>
      <c r="H74">
        <f>+F74-G74</f>
        <v>-952287.44</v>
      </c>
      <c r="I74">
        <v>952287.44</v>
      </c>
    </row>
    <row r="75">
      <c r="A75">
        <v>1323000000</v>
      </c>
      <c r="B75" t="str">
        <v>Ingresos por Gastos Administrativos</v>
      </c>
      <c r="C75">
        <v>0</v>
      </c>
      <c r="D75">
        <v>0</v>
      </c>
      <c r="E75">
        <v>0</v>
      </c>
      <c r="F75">
        <f>+C75+D75-E75</f>
        <v>0</v>
      </c>
      <c r="G75">
        <v>801762.78</v>
      </c>
      <c r="H75">
        <f>+F75-G75</f>
        <v>-801762.78</v>
      </c>
      <c r="I75">
        <v>801762.78</v>
      </c>
    </row>
    <row r="76">
      <c r="A76">
        <v>1324001000</v>
      </c>
      <c r="B76" t="str">
        <v>Ingresos por Gastos Admin. De Apremio</v>
      </c>
      <c r="C76">
        <v>0</v>
      </c>
      <c r="D76">
        <v>0</v>
      </c>
      <c r="E76">
        <v>0</v>
      </c>
      <c r="F76">
        <f>+C76+D76-E76</f>
        <v>0</v>
      </c>
      <c r="G76">
        <v>2271655.21</v>
      </c>
      <c r="H76">
        <f>+F76-G76</f>
        <v>-2271655.21</v>
      </c>
      <c r="I76">
        <v>2271655.21</v>
      </c>
    </row>
    <row r="77">
      <c r="A77">
        <v>1324002000</v>
      </c>
      <c r="B77" t="str">
        <v>Ingresos por Honorarios de Apremio</v>
      </c>
      <c r="C77">
        <v>0</v>
      </c>
      <c r="D77">
        <v>0</v>
      </c>
      <c r="E77">
        <v>0</v>
      </c>
      <c r="F77">
        <f>+C77+D77-E77</f>
        <v>0</v>
      </c>
      <c r="G77">
        <v>956058.66</v>
      </c>
      <c r="H77">
        <f>+F77-G77</f>
        <v>-956058.66</v>
      </c>
      <c r="I77">
        <v>956058.66</v>
      </c>
    </row>
    <row r="78">
      <c r="A78">
        <v>2210100000</v>
      </c>
      <c r="B78" t="str">
        <v>Reembolsos Pavimento</v>
      </c>
      <c r="C78">
        <v>10000000</v>
      </c>
      <c r="D78">
        <v>0</v>
      </c>
      <c r="E78">
        <v>0</v>
      </c>
      <c r="F78">
        <f>+C78+D78-E78</f>
        <v>10000000</v>
      </c>
      <c r="G78">
        <v>2712947.16</v>
      </c>
      <c r="H78">
        <f>+F78-G78</f>
        <v>7287052.84</v>
      </c>
      <c r="I78">
        <v>956385.34</v>
      </c>
    </row>
    <row r="79">
      <c r="A79">
        <v>2210500000</v>
      </c>
      <c r="B79" t="str">
        <v>Reemolsos Red Dist. Gas</v>
      </c>
      <c r="C79">
        <v>0</v>
      </c>
      <c r="D79">
        <v>0</v>
      </c>
      <c r="E79">
        <v>0</v>
      </c>
      <c r="F79">
        <f>+C79+D79-E79</f>
        <v>0</v>
      </c>
      <c r="G79">
        <v>308.4</v>
      </c>
      <c r="H79">
        <f>+F79-G79</f>
        <v>-308.4</v>
      </c>
      <c r="I79">
        <v>308.4</v>
      </c>
    </row>
    <row r="80">
      <c r="A80">
        <v>2210801000</v>
      </c>
      <c r="B80" t="str">
        <v>Reemb. Ej. Vdos. Pavimento</v>
      </c>
      <c r="C80">
        <v>0</v>
      </c>
      <c r="D80">
        <v>0</v>
      </c>
      <c r="E80">
        <v>0</v>
      </c>
      <c r="F80">
        <f>+C80+D80-E80</f>
        <v>0</v>
      </c>
      <c r="G80">
        <v>3852.79</v>
      </c>
      <c r="H80">
        <f>+F80-G80</f>
        <v>-3852.79</v>
      </c>
      <c r="I80">
        <v>1209.55</v>
      </c>
    </row>
    <row r="81">
      <c r="A81">
        <v>2210802000</v>
      </c>
      <c r="B81" t="str">
        <v>Reemb. Ej. Vdos. Alumbrado Público</v>
      </c>
      <c r="C81">
        <v>0</v>
      </c>
      <c r="D81">
        <v>0</v>
      </c>
      <c r="E81">
        <v>0</v>
      </c>
      <c r="F81">
        <f>+C81+D81-E81</f>
        <v>0</v>
      </c>
      <c r="G81">
        <v>35.99</v>
      </c>
      <c r="H81">
        <f>+F81-G81</f>
        <v>-35.99</v>
      </c>
      <c r="I81">
        <v>35.99</v>
      </c>
    </row>
    <row r="82">
      <c r="A82">
        <v>2210806000</v>
      </c>
      <c r="B82" t="str">
        <v>Reemb. Ej. Vdos. Red Dist. Gas</v>
      </c>
      <c r="C82">
        <v>0</v>
      </c>
      <c r="D82">
        <v>0</v>
      </c>
      <c r="E82">
        <v>0</v>
      </c>
      <c r="F82">
        <f>+C82+D82-E82</f>
        <v>0</v>
      </c>
      <c r="G82">
        <v>912.32</v>
      </c>
      <c r="H82">
        <f>+F82-G82</f>
        <v>-912.32</v>
      </c>
      <c r="I82">
        <v>295.54</v>
      </c>
    </row>
    <row r="83">
      <c r="A83">
        <v>7110601000</v>
      </c>
      <c r="B83" t="str">
        <v>Empréstitos Públicos</v>
      </c>
      <c r="C83">
        <v>300000000</v>
      </c>
      <c r="D83">
        <v>0</v>
      </c>
      <c r="E83">
        <v>0</v>
      </c>
      <c r="F83">
        <f>+C83+D83-E83</f>
        <v>300000000</v>
      </c>
      <c r="G83">
        <v>0</v>
      </c>
      <c r="H83">
        <f>+F83-G83</f>
        <v>300000000</v>
      </c>
      <c r="I83">
        <v>0</v>
      </c>
    </row>
    <row r="84">
      <c r="A84">
        <v>7460000000</v>
      </c>
      <c r="B84" t="str">
        <v>Remanentes ejercicios anteriores (de fdos afectados)</v>
      </c>
      <c r="C84">
        <v>656200094.05</v>
      </c>
      <c r="D84">
        <v>0</v>
      </c>
      <c r="E84">
        <v>0</v>
      </c>
      <c r="F84">
        <f>+C84+D84-E84</f>
        <v>656200094.05</v>
      </c>
      <c r="G84">
        <v>0</v>
      </c>
      <c r="H84">
        <f>+F84-G84</f>
        <v>656200094.05</v>
      </c>
      <c r="I84">
        <v>0</v>
      </c>
    </row>
    <row r="85">
      <c r="A85">
        <v>7460000194</v>
      </c>
      <c r="B85" t="str">
        <v>Remanente Fondos Nacionales</v>
      </c>
      <c r="C85">
        <v>791695</v>
      </c>
      <c r="D85">
        <v>0</v>
      </c>
      <c r="E85">
        <v>0</v>
      </c>
      <c r="F85">
        <f>+C85+D85-E85</f>
        <v>791695</v>
      </c>
      <c r="G85">
        <v>0</v>
      </c>
      <c r="H85">
        <f>+F85-G85</f>
        <v>791695</v>
      </c>
      <c r="I85">
        <v>0</v>
      </c>
    </row>
    <row r="86">
      <c r="A86">
        <v>7460000195</v>
      </c>
      <c r="B86" t="str">
        <v>Remanente Fondos Provinciales</v>
      </c>
      <c r="C86">
        <v>59788949.01</v>
      </c>
      <c r="D86">
        <v>0</v>
      </c>
      <c r="E86">
        <v>0</v>
      </c>
      <c r="F86">
        <f>+C86+D86-E86</f>
        <v>59788949.01</v>
      </c>
      <c r="G86">
        <v>0</v>
      </c>
      <c r="H86">
        <f>+F86-G86</f>
        <v>59788949.01</v>
      </c>
      <c r="I86">
        <v>0</v>
      </c>
    </row>
    <row r="87">
      <c r="A87">
        <v>7460000214</v>
      </c>
      <c r="B87" t="str">
        <v>Remanente Fondos Ley 26075 Financiamiento Educativo.</v>
      </c>
      <c r="C87">
        <v>907080515.31</v>
      </c>
      <c r="D87">
        <v>0</v>
      </c>
      <c r="E87">
        <v>0</v>
      </c>
      <c r="F87">
        <f>+C87+D87-E87</f>
        <v>907080515.31</v>
      </c>
      <c r="G87">
        <v>0</v>
      </c>
      <c r="H87">
        <f>+F87-G87</f>
        <v>907080515.31</v>
      </c>
      <c r="I87">
        <v>0</v>
      </c>
    </row>
    <row r="88">
      <c r="A88" t="str">
        <v>TOTAL</v>
      </c>
      <c r="C88">
        <f>SUM(C13:C87)</f>
        <v>25131798673.369995</v>
      </c>
      <c r="D88">
        <f>SUM(D13:D87)</f>
        <v>0</v>
      </c>
      <c r="E88">
        <f>SUM(E13:E87)</f>
        <v>0</v>
      </c>
      <c r="F88">
        <f>SUM(F13:F87)</f>
        <v>25131798673.369995</v>
      </c>
      <c r="G88">
        <f>SUM(G13:G87)</f>
        <v>13491922705.91</v>
      </c>
      <c r="H88">
        <f>SUM(H13:H87)</f>
        <v>11639875967.460001</v>
      </c>
      <c r="I88">
        <f>SUM(I13:I87)</f>
        <v>8648695551.359999</v>
      </c>
    </row>
  </sheetData>
  <mergeCells count="7">
    <mergeCell ref="A88:B88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2024</v>
      </c>
      <c r="D6" t="str">
        <f>+'ANEXO 1'!G8</f>
        <v>TRIMESTRE: 2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8647737316.54</v>
      </c>
      <c r="D12">
        <v>5799484354.999999</v>
      </c>
      <c r="E12">
        <f>+C12-D12</f>
        <v>2848252961.540002</v>
      </c>
    </row>
    <row r="13">
      <c r="A13" t="str">
        <v>II</v>
      </c>
      <c r="B13" t="str">
        <v>GASTOS CORRIENTES</v>
      </c>
      <c r="C13">
        <v>5117711558.71</v>
      </c>
      <c r="D13">
        <v>4625223105</v>
      </c>
      <c r="E13">
        <f>+C13-D13</f>
        <v>492488453.71000004</v>
      </c>
    </row>
    <row r="14">
      <c r="A14" t="str">
        <v>III</v>
      </c>
      <c r="B14" t="str">
        <v>RDO. ECCO: AHORRO/DESARROLLO (I-II)</v>
      </c>
      <c r="C14">
        <f>+C12-C13</f>
        <v>3530025757.830001</v>
      </c>
      <c r="D14">
        <v>1174261249.999999</v>
      </c>
      <c r="E14">
        <f>+C14-D14</f>
        <v>2355764507.830002</v>
      </c>
    </row>
    <row r="15">
      <c r="A15" t="str">
        <v>IV</v>
      </c>
      <c r="B15" t="str">
        <v>RECURSOS DE CAPITAL</v>
      </c>
      <c r="C15">
        <v>958234.82</v>
      </c>
      <c r="D15">
        <v>2500000</v>
      </c>
      <c r="E15">
        <f>+C15-D15</f>
        <v>-1541765.1800000002</v>
      </c>
    </row>
    <row r="16">
      <c r="A16" t="str">
        <v>V</v>
      </c>
      <c r="B16" t="str">
        <v>GASTOS DE CAPITAL</v>
      </c>
      <c r="C16">
        <v>770262144.89</v>
      </c>
      <c r="D16">
        <v>1233881250</v>
      </c>
      <c r="E16">
        <f>+C16-D16</f>
        <v>-463619105.11</v>
      </c>
    </row>
    <row r="17">
      <c r="A17" t="str">
        <v>VI</v>
      </c>
      <c r="B17" t="str">
        <v>EXCEDENTE ANTES TRANSF. FIGURATIVAS (III+IV-V)</v>
      </c>
      <c r="C17">
        <f>+C14+C15-C16</f>
        <v>2760721847.760001</v>
      </c>
      <c r="D17">
        <v>-57120000</v>
      </c>
      <c r="E17">
        <f>+C17-D17</f>
        <v>2817841847.760001</v>
      </c>
    </row>
    <row r="18">
      <c r="B18" t="str">
        <v>TOTAL RECURSOS (I+IV)</v>
      </c>
      <c r="C18">
        <f>+C12+C15</f>
        <v>8648695551.36</v>
      </c>
      <c r="D18">
        <v>5801984354.999999</v>
      </c>
      <c r="E18">
        <f>+C18-D18</f>
        <v>2846711196.3600016</v>
      </c>
    </row>
    <row r="19">
      <c r="B19" t="str">
        <v>TOTAL GASTOS (II+V)</v>
      </c>
      <c r="C19">
        <f>+C13+C16</f>
        <v>5887973703.6</v>
      </c>
      <c r="D19">
        <v>5859104355</v>
      </c>
      <c r="E19">
        <f>+C19-D19</f>
        <v>28869348.60000038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2760721847.760001</v>
      </c>
      <c r="D22">
        <v>-57120000</v>
      </c>
      <c r="E22">
        <f>+C22-D22</f>
        <v>2817841847.760001</v>
      </c>
    </row>
    <row r="23">
      <c r="A23" t="str">
        <v>X</v>
      </c>
      <c r="B23" t="str">
        <v>FUENTES DE FINANCIAMIENTO</v>
      </c>
      <c r="C23">
        <v>0</v>
      </c>
      <c r="D23">
        <v>212500000</v>
      </c>
      <c r="E23">
        <f>+C23-D23</f>
        <v>-212500000</v>
      </c>
    </row>
    <row r="24">
      <c r="A24" t="str">
        <v>XI</v>
      </c>
      <c r="B24" t="str">
        <v>APLICACIONES FINANCIERAS</v>
      </c>
      <c r="C24">
        <v>8663332.91</v>
      </c>
      <c r="D24">
        <v>155380000</v>
      </c>
      <c r="E24">
        <f>+C24-D24</f>
        <v>-146716667.09</v>
      </c>
    </row>
    <row r="25">
      <c r="A25" t="str">
        <v>XII</v>
      </c>
      <c r="B25" t="str">
        <v>FINANCIAMIENTO NETO (X-XI)</v>
      </c>
      <c r="C25">
        <f>+C23-C24</f>
        <v>-8663332.91</v>
      </c>
      <c r="D25">
        <v>57120000</v>
      </c>
      <c r="E25">
        <f>+C25-D25</f>
        <v>-65783332.91</v>
      </c>
    </row>
    <row r="26">
      <c r="A26" t="str">
        <v>XIII</v>
      </c>
      <c r="B26" t="str">
        <v>RESULTADO FINANCIERO (VI+XII)</v>
      </c>
      <c r="C26">
        <f>+C17+C25</f>
        <v>2752058514.8500013</v>
      </c>
      <c r="D26">
        <v>0</v>
      </c>
      <c r="E26">
        <f>+E17+E25</f>
        <v>2752058514.8500013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38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K41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2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+B16+C16+D16+E16</f>
        <v>-12460.33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+B17+C17+D17+E17</f>
        <v>-112095.73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+B18+C18+D18+E18</f>
        <v>-109018.29</v>
      </c>
    </row>
    <row r="19">
      <c r="A19" t="str">
        <v>Préstamo I.P.V. para Compra de Terreno</v>
      </c>
      <c r="B19">
        <v>-8270234.56</v>
      </c>
      <c r="C19">
        <v>0</v>
      </c>
      <c r="D19">
        <v>0</v>
      </c>
      <c r="E19">
        <v>0</v>
      </c>
      <c r="F19">
        <f>+B19+C19+D19+E19</f>
        <v>-8270234.56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-12046379.83</v>
      </c>
      <c r="C20">
        <v>2355371.07</v>
      </c>
      <c r="D20">
        <v>0</v>
      </c>
      <c r="E20">
        <v>0</v>
      </c>
      <c r="F20">
        <f>+B20+C20+D20+E20</f>
        <v>-9691008.76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-31880458.59</v>
      </c>
      <c r="C21">
        <v>6031839.73</v>
      </c>
      <c r="D21">
        <v>0</v>
      </c>
      <c r="E21">
        <v>0</v>
      </c>
      <c r="F21">
        <f>+B21+C21+D21+E21</f>
        <v>-25848618.86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+B22+C22+D22+E22</f>
        <v>0</v>
      </c>
    </row>
    <row r="23">
      <c r="A23" t="str">
        <v>TOTALES</v>
      </c>
      <c r="B23">
        <f>SUM(B16:B22)</f>
        <v>-52430647.33</v>
      </c>
      <c r="C23">
        <f>SUM(C16:C22)</f>
        <v>8387210.800000001</v>
      </c>
      <c r="D23">
        <f>SUM(D16:D22)</f>
        <v>0</v>
      </c>
      <c r="E23">
        <f>SUM(E16:E22)</f>
        <v>0</v>
      </c>
      <c r="F23">
        <f>SUM(F16:F22)</f>
        <v>-44043436.53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