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Hoja2" sheetId="2" r:id="rId1"/>
    <sheet name="Hoja3" sheetId="3" r:id="rId2"/>
  </sheets>
  <calcPr calcId="144525"/>
</workbook>
</file>

<file path=xl/calcChain.xml><?xml version="1.0" encoding="utf-8"?>
<calcChain xmlns="http://schemas.openxmlformats.org/spreadsheetml/2006/main">
  <c r="G11" i="2" l="1"/>
  <c r="G10" i="2"/>
  <c r="G21" i="2" l="1"/>
  <c r="E21" i="2"/>
  <c r="G16" i="2"/>
  <c r="G14" i="2"/>
  <c r="G17" i="2" s="1"/>
  <c r="F11" i="2"/>
  <c r="F21" i="2"/>
  <c r="D21" i="2"/>
  <c r="F14" i="2"/>
  <c r="E14" i="2"/>
  <c r="D14" i="2"/>
  <c r="C14" i="2"/>
  <c r="F13" i="2"/>
  <c r="E13" i="2"/>
  <c r="D13" i="2"/>
  <c r="C13" i="2"/>
  <c r="G12" i="2"/>
  <c r="G15" i="2" s="1"/>
  <c r="E11" i="2"/>
  <c r="C11" i="2"/>
  <c r="F10" i="2"/>
  <c r="E10" i="2"/>
  <c r="D10" i="2"/>
  <c r="C10" i="2"/>
  <c r="F16" i="2" l="1"/>
  <c r="G20" i="2"/>
  <c r="C21" i="2"/>
  <c r="F17" i="2"/>
  <c r="E17" i="2"/>
  <c r="C17" i="2"/>
  <c r="D11" i="2"/>
  <c r="D17" i="2"/>
  <c r="C16" i="2"/>
  <c r="C12" i="2"/>
  <c r="E12" i="2"/>
  <c r="E16" i="2"/>
  <c r="E15" i="2"/>
  <c r="C15" i="2"/>
  <c r="F15" i="2"/>
  <c r="D15" i="2"/>
  <c r="D12" i="2"/>
  <c r="F12" i="2"/>
  <c r="D16" i="2"/>
  <c r="G22" i="2" l="1"/>
  <c r="G23" i="2" s="1"/>
  <c r="F20" i="2"/>
  <c r="D20" i="2"/>
  <c r="G24" i="2"/>
  <c r="E20" i="2"/>
  <c r="C20" i="2"/>
  <c r="F23" i="2" l="1"/>
  <c r="E23" i="2"/>
  <c r="C23" i="2"/>
  <c r="D23" i="2"/>
  <c r="E22" i="2"/>
  <c r="C22" i="2"/>
  <c r="F22" i="2"/>
  <c r="D22" i="2"/>
  <c r="F24" i="2"/>
  <c r="D24" i="2"/>
  <c r="E24" i="2"/>
  <c r="C24" i="2"/>
</calcChain>
</file>

<file path=xl/sharedStrings.xml><?xml version="1.0" encoding="utf-8"?>
<sst xmlns="http://schemas.openxmlformats.org/spreadsheetml/2006/main" count="39" uniqueCount="39">
  <si>
    <t>ANEXO I: PROGRAMACION FINANCIERA ART. 22 LEY 7314</t>
  </si>
  <si>
    <t>Reparticion/Organismo: Municipalidad de San Carlos</t>
  </si>
  <si>
    <t>Nomenclador: 060213</t>
  </si>
  <si>
    <t>Ejercicio: 2023</t>
  </si>
  <si>
    <t>CONCEPTO</t>
  </si>
  <si>
    <t>2° Trimestre</t>
  </si>
  <si>
    <t>1° Trimestre</t>
  </si>
  <si>
    <t>3° Trimestre</t>
  </si>
  <si>
    <t>4° Trimestre</t>
  </si>
  <si>
    <t xml:space="preserve">Presupuesto votado del ejercicio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</si>
  <si>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</si>
  <si>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</si>
  <si>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</si>
  <si>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</si>
  <si>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</si>
  <si>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</si>
  <si>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</si>
  <si>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</si>
  <si>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</si>
  <si>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</si>
  <si>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</si>
  <si>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</si>
  <si>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</si>
  <si>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RECURSOS CORRIENTES</t>
  </si>
  <si>
    <t>GASTOS CORRIENTES</t>
  </si>
  <si>
    <t>RESULTADO ECONOMICO</t>
  </si>
  <si>
    <t>RESULTADO DE CAPITAL</t>
  </si>
  <si>
    <t>GASTOS DE CAPITAL</t>
  </si>
  <si>
    <t>EXCEDENTE ANTES TRANSFERENCIAS FIGURATIVAS</t>
  </si>
  <si>
    <t>TOTAL RECURSOS</t>
  </si>
  <si>
    <t>TOTAL GASTOS</t>
  </si>
  <si>
    <t>RECURSOS FIGURATIVOS</t>
  </si>
  <si>
    <t>GASTOS FIGURATIVOS</t>
  </si>
  <si>
    <t>NECESITDAD DE FINANCIAMIENTO</t>
  </si>
  <si>
    <t>FUENTES DE FINANCIAMIENTO</t>
  </si>
  <si>
    <t>APLICACIÓN FINANCIERAS</t>
  </si>
  <si>
    <t>FINANCIAMIENTO NETO</t>
  </si>
  <si>
    <t>RESULTADO FINANCIERO</t>
  </si>
  <si>
    <t>CERTIFICO QUE LA INFORMACION PRESENTE SURGE DE REGISTROS CONTABLES LLEVADOS DE ACUERDO A LA NORMATIVA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</si>
</sst>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 applyBorder="1" applyAlignment="1">
      <alignment horizontal="center"/>
    </xf>
    <xf numFmtId="4" fontId="5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1</xdr:row>
      <xdr:rowOff>42332</xdr:rowOff>
    </xdr:from>
    <xdr:to>
      <xdr:col>6</xdr:col>
      <xdr:colOff>1974215</xdr:colOff>
      <xdr:row>5</xdr:row>
      <xdr:rowOff>20107</xdr:rowOff>
    </xdr:to>
    <xdr:pic>
      <xdr:nvPicPr>
        <xdr:cNvPr id="2" name="1 Imagen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8" t="53327" r="77249" b="30361"/>
        <a:stretch/>
      </xdr:blipFill>
      <xdr:spPr bwMode="auto">
        <a:xfrm>
          <a:off x="10085917" y="285749"/>
          <a:ext cx="1497965" cy="7715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zoomScale="90" zoomScaleNormal="90" workbookViewId="0">
      <selection activeCell="I6" sqref="I6"/>
    </sheetView>
  </sheetViews>
  <sheetFormatPr baseColWidth="10" defaultRowHeight="15" x14ac:dyDescent="0.25"/>
  <cols>
    <col min="2" max="2" width="46" customWidth="1"/>
    <col min="3" max="3" width="20.85546875" customWidth="1"/>
    <col min="4" max="4" width="19.85546875" customWidth="1"/>
    <col min="5" max="5" width="24.28515625" customWidth="1"/>
    <col min="6" max="6" width="21.7109375" customWidth="1"/>
    <col min="7" max="7" width="32.28515625" customWidth="1"/>
  </cols>
  <sheetData>
    <row r="1" spans="1:7" ht="18.75" x14ac:dyDescent="0.3">
      <c r="B1" s="4"/>
      <c r="C1" s="7" t="s">
        <v>0</v>
      </c>
    </row>
    <row r="2" spans="1:7" x14ac:dyDescent="0.25">
      <c r="A2" s="4"/>
      <c r="B2" s="4"/>
    </row>
    <row r="3" spans="1:7" ht="15.75" x14ac:dyDescent="0.25">
      <c r="A3" s="6" t="s">
        <v>1</v>
      </c>
      <c r="B3" s="4"/>
    </row>
    <row r="4" spans="1:7" ht="15.75" x14ac:dyDescent="0.25">
      <c r="A4" s="6" t="s">
        <v>2</v>
      </c>
      <c r="B4" s="4"/>
    </row>
    <row r="5" spans="1:7" ht="15.75" x14ac:dyDescent="0.25">
      <c r="A5" s="6" t="s">
        <v>3</v>
      </c>
      <c r="B5" s="4"/>
    </row>
    <row r="6" spans="1:7" ht="15.75" x14ac:dyDescent="0.25">
      <c r="A6" s="6"/>
      <c r="B6" s="4"/>
    </row>
    <row r="7" spans="1:7" x14ac:dyDescent="0.25">
      <c r="C7" s="5"/>
    </row>
    <row r="8" spans="1:7" ht="15.75" thickBot="1" x14ac:dyDescent="0.3"/>
    <row r="9" spans="1:7" ht="15.75" thickBot="1" x14ac:dyDescent="0.3">
      <c r="A9" s="11" t="s">
        <v>4</v>
      </c>
      <c r="B9" s="11"/>
      <c r="C9" s="1" t="s">
        <v>6</v>
      </c>
      <c r="D9" s="1" t="s">
        <v>5</v>
      </c>
      <c r="E9" s="1" t="s">
        <v>7</v>
      </c>
      <c r="F9" s="1" t="s">
        <v>8</v>
      </c>
      <c r="G9" s="1" t="s">
        <v>9</v>
      </c>
    </row>
    <row r="10" spans="1:7" ht="15.75" thickBot="1" x14ac:dyDescent="0.3">
      <c r="A10" s="2" t="s">
        <v>10</v>
      </c>
      <c r="B10" s="3" t="s">
        <v>23</v>
      </c>
      <c r="C10" s="10">
        <f>G10/4</f>
        <v>1425427250</v>
      </c>
      <c r="D10" s="10">
        <f>G10/4</f>
        <v>1425427250</v>
      </c>
      <c r="E10" s="10">
        <f>G10/4</f>
        <v>1425427250</v>
      </c>
      <c r="F10" s="10">
        <f>G10/4</f>
        <v>1425427250</v>
      </c>
      <c r="G10" s="10">
        <f>2961709000+1500000000+1240000000</f>
        <v>5701709000</v>
      </c>
    </row>
    <row r="11" spans="1:7" ht="15.75" thickBot="1" x14ac:dyDescent="0.3">
      <c r="A11" s="2" t="s">
        <v>11</v>
      </c>
      <c r="B11" s="3" t="s">
        <v>24</v>
      </c>
      <c r="C11" s="10">
        <f t="shared" ref="C11:C17" si="0">G11/4</f>
        <v>1237920500</v>
      </c>
      <c r="D11" s="10">
        <f t="shared" ref="D11:D17" si="1">G11/4</f>
        <v>1237920500</v>
      </c>
      <c r="E11" s="10">
        <f t="shared" ref="E11:E17" si="2">G11/4</f>
        <v>1237920500</v>
      </c>
      <c r="F11" s="10">
        <f t="shared" ref="F11:F17" si="3">G11/4</f>
        <v>1237920500</v>
      </c>
      <c r="G11" s="10">
        <f>2511682000+1200000000+1240000000</f>
        <v>4951682000</v>
      </c>
    </row>
    <row r="12" spans="1:7" ht="15.75" thickBot="1" x14ac:dyDescent="0.3">
      <c r="A12" s="2" t="s">
        <v>12</v>
      </c>
      <c r="B12" s="3" t="s">
        <v>25</v>
      </c>
      <c r="C12" s="10">
        <f t="shared" si="0"/>
        <v>187506750</v>
      </c>
      <c r="D12" s="10">
        <f t="shared" si="1"/>
        <v>187506750</v>
      </c>
      <c r="E12" s="10">
        <f t="shared" si="2"/>
        <v>187506750</v>
      </c>
      <c r="F12" s="10">
        <f t="shared" si="3"/>
        <v>187506750</v>
      </c>
      <c r="G12" s="10">
        <f>G10-G11</f>
        <v>750027000</v>
      </c>
    </row>
    <row r="13" spans="1:7" ht="15.75" thickBot="1" x14ac:dyDescent="0.3">
      <c r="A13" s="2" t="s">
        <v>13</v>
      </c>
      <c r="B13" s="3" t="s">
        <v>26</v>
      </c>
      <c r="C13" s="10">
        <f t="shared" si="0"/>
        <v>32680250</v>
      </c>
      <c r="D13" s="10">
        <f t="shared" si="1"/>
        <v>32680250</v>
      </c>
      <c r="E13" s="10">
        <f t="shared" si="2"/>
        <v>32680250</v>
      </c>
      <c r="F13" s="10">
        <f t="shared" si="3"/>
        <v>32680250</v>
      </c>
      <c r="G13" s="10">
        <v>130721000</v>
      </c>
    </row>
    <row r="14" spans="1:7" ht="15.75" thickBot="1" x14ac:dyDescent="0.3">
      <c r="A14" s="2" t="s">
        <v>14</v>
      </c>
      <c r="B14" s="3" t="s">
        <v>27</v>
      </c>
      <c r="C14" s="10">
        <f t="shared" si="0"/>
        <v>431374000</v>
      </c>
      <c r="D14" s="10">
        <f t="shared" si="1"/>
        <v>431374000</v>
      </c>
      <c r="E14" s="10">
        <f t="shared" si="2"/>
        <v>431374000</v>
      </c>
      <c r="F14" s="10">
        <f t="shared" si="3"/>
        <v>431374000</v>
      </c>
      <c r="G14" s="10">
        <f>1425496000+300000000</f>
        <v>1725496000</v>
      </c>
    </row>
    <row r="15" spans="1:7" ht="15.75" thickBot="1" x14ac:dyDescent="0.3">
      <c r="A15" s="2" t="s">
        <v>15</v>
      </c>
      <c r="B15" s="3" t="s">
        <v>28</v>
      </c>
      <c r="C15" s="10">
        <f t="shared" si="0"/>
        <v>-211187000</v>
      </c>
      <c r="D15" s="10">
        <f t="shared" si="1"/>
        <v>-211187000</v>
      </c>
      <c r="E15" s="10">
        <f t="shared" si="2"/>
        <v>-211187000</v>
      </c>
      <c r="F15" s="10">
        <f t="shared" si="3"/>
        <v>-211187000</v>
      </c>
      <c r="G15" s="10">
        <f>G12+G13-G14</f>
        <v>-844748000</v>
      </c>
    </row>
    <row r="16" spans="1:7" ht="15.75" thickBot="1" x14ac:dyDescent="0.3">
      <c r="A16" s="2"/>
      <c r="B16" s="3" t="s">
        <v>29</v>
      </c>
      <c r="C16" s="10">
        <f t="shared" si="0"/>
        <v>1458107500</v>
      </c>
      <c r="D16" s="10">
        <f t="shared" si="1"/>
        <v>1458107500</v>
      </c>
      <c r="E16" s="10">
        <f t="shared" si="2"/>
        <v>1458107500</v>
      </c>
      <c r="F16" s="10">
        <f t="shared" si="3"/>
        <v>1458107500</v>
      </c>
      <c r="G16" s="10">
        <f>G10+G13</f>
        <v>5832430000</v>
      </c>
    </row>
    <row r="17" spans="1:7" ht="15.75" thickBot="1" x14ac:dyDescent="0.3">
      <c r="A17" s="2"/>
      <c r="B17" s="3" t="s">
        <v>30</v>
      </c>
      <c r="C17" s="10">
        <f t="shared" si="0"/>
        <v>1669294500</v>
      </c>
      <c r="D17" s="10">
        <f t="shared" si="1"/>
        <v>1669294500</v>
      </c>
      <c r="E17" s="10">
        <f t="shared" si="2"/>
        <v>1669294500</v>
      </c>
      <c r="F17" s="10">
        <f t="shared" si="3"/>
        <v>1669294500</v>
      </c>
      <c r="G17" s="10">
        <f>G11+G14</f>
        <v>6677178000</v>
      </c>
    </row>
    <row r="18" spans="1:7" ht="15.75" thickBot="1" x14ac:dyDescent="0.3">
      <c r="A18" s="2" t="s">
        <v>16</v>
      </c>
      <c r="B18" s="3" t="s">
        <v>31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5.75" thickBot="1" x14ac:dyDescent="0.3">
      <c r="A19" s="2" t="s">
        <v>17</v>
      </c>
      <c r="B19" s="3" t="s">
        <v>32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</row>
    <row r="20" spans="1:7" ht="15.75" thickBot="1" x14ac:dyDescent="0.3">
      <c r="A20" s="2" t="s">
        <v>18</v>
      </c>
      <c r="B20" s="3" t="s">
        <v>33</v>
      </c>
      <c r="C20" s="10">
        <f>G20/4</f>
        <v>-211187000</v>
      </c>
      <c r="D20" s="10">
        <f>G20/4</f>
        <v>-211187000</v>
      </c>
      <c r="E20" s="10">
        <f>G20/4</f>
        <v>-211187000</v>
      </c>
      <c r="F20" s="10">
        <f>G20/4</f>
        <v>-211187000</v>
      </c>
      <c r="G20" s="10">
        <f>G16-G17</f>
        <v>-844748000</v>
      </c>
    </row>
    <row r="21" spans="1:7" ht="15.75" thickBot="1" x14ac:dyDescent="0.3">
      <c r="A21" s="2" t="s">
        <v>19</v>
      </c>
      <c r="B21" s="3" t="s">
        <v>34</v>
      </c>
      <c r="C21" s="10">
        <f t="shared" ref="C21:C24" si="4">G21/4</f>
        <v>255392500</v>
      </c>
      <c r="D21" s="10">
        <f t="shared" ref="D21:D24" si="5">G21/4</f>
        <v>255392500</v>
      </c>
      <c r="E21" s="10">
        <f t="shared" ref="E21:E24" si="6">G21/4</f>
        <v>255392500</v>
      </c>
      <c r="F21" s="10">
        <f t="shared" ref="F21:F24" si="7">G21/4</f>
        <v>255392500</v>
      </c>
      <c r="G21" s="10">
        <f>1021570000</f>
        <v>1021570000</v>
      </c>
    </row>
    <row r="22" spans="1:7" ht="15.75" thickBot="1" x14ac:dyDescent="0.3">
      <c r="A22" s="2" t="s">
        <v>20</v>
      </c>
      <c r="B22" s="3" t="s">
        <v>35</v>
      </c>
      <c r="C22" s="10">
        <f t="shared" si="4"/>
        <v>44205500</v>
      </c>
      <c r="D22" s="10">
        <f t="shared" si="5"/>
        <v>44205500</v>
      </c>
      <c r="E22" s="10">
        <f t="shared" si="6"/>
        <v>44205500</v>
      </c>
      <c r="F22" s="10">
        <f t="shared" si="7"/>
        <v>44205500</v>
      </c>
      <c r="G22" s="10">
        <f>G20+G21</f>
        <v>176822000</v>
      </c>
    </row>
    <row r="23" spans="1:7" ht="15.75" thickBot="1" x14ac:dyDescent="0.3">
      <c r="A23" s="2" t="s">
        <v>21</v>
      </c>
      <c r="B23" s="3" t="s">
        <v>36</v>
      </c>
      <c r="C23" s="10">
        <f t="shared" si="4"/>
        <v>211187000</v>
      </c>
      <c r="D23" s="10">
        <f t="shared" si="5"/>
        <v>211187000</v>
      </c>
      <c r="E23" s="10">
        <f t="shared" si="6"/>
        <v>211187000</v>
      </c>
      <c r="F23" s="10">
        <f t="shared" si="7"/>
        <v>211187000</v>
      </c>
      <c r="G23" s="10">
        <f>G21-G22</f>
        <v>844748000</v>
      </c>
    </row>
    <row r="24" spans="1:7" ht="15.75" thickBot="1" x14ac:dyDescent="0.3">
      <c r="A24" s="2" t="s">
        <v>22</v>
      </c>
      <c r="B24" s="3" t="s">
        <v>37</v>
      </c>
      <c r="C24" s="10">
        <f t="shared" si="4"/>
        <v>0</v>
      </c>
      <c r="D24" s="10">
        <f t="shared" si="5"/>
        <v>0</v>
      </c>
      <c r="E24" s="10">
        <f t="shared" si="6"/>
        <v>0</v>
      </c>
      <c r="F24" s="10">
        <f t="shared" si="7"/>
        <v>0</v>
      </c>
      <c r="G24" s="10">
        <f>G20+G23</f>
        <v>0</v>
      </c>
    </row>
    <row r="27" spans="1:7" ht="15.75" x14ac:dyDescent="0.25">
      <c r="B27" s="8"/>
      <c r="C27" s="8"/>
      <c r="D27" s="9" t="s">
        <v>38</v>
      </c>
      <c r="E27" s="6"/>
      <c r="F27" s="8"/>
    </row>
  </sheetData>
  <mergeCells count="1">
    <mergeCell ref="A9:B9"/>
  </mergeCells>
  <pageMargins left="0.7" right="0.7" top="0.75" bottom="0.75" header="0.3" footer="0.3"/>
  <pageSetup paperSize="9" scale="7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cp:lastPrinted>2023-11-01T14:05:40Z</cp:lastPrinted>
  <dcterms:created xsi:type="dcterms:W3CDTF">2023-10-06T15:42:59Z</dcterms:created>
  <dcterms:modified xsi:type="dcterms:W3CDTF">2024-02-23T13:34:12Z</dcterms:modified>
</cp:coreProperties>
</file>