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2023</v>
      </c>
      <c r="G8" t="str">
        <v>TRIMESTRE: 2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2395423009.9994993</v>
      </c>
      <c r="E13">
        <v>2395423009.9994993</v>
      </c>
      <c r="F13">
        <v>2395423009.9994993</v>
      </c>
      <c r="G13">
        <v>2395423009.9994993</v>
      </c>
      <c r="H13">
        <v>9581692039.997997</v>
      </c>
    </row>
    <row r="14">
      <c r="B14" t="str">
        <v>II</v>
      </c>
      <c r="C14" t="str">
        <v>GASTOS CORRIENTES</v>
      </c>
      <c r="D14">
        <v>1750803370.25</v>
      </c>
      <c r="E14">
        <v>1750803370.25</v>
      </c>
      <c r="F14">
        <v>1750803370.25</v>
      </c>
      <c r="G14">
        <v>1750803370.25</v>
      </c>
      <c r="H14">
        <v>7003213481</v>
      </c>
    </row>
    <row r="15">
      <c r="B15" t="str">
        <v>III</v>
      </c>
      <c r="C15" t="str">
        <v>RESULTADO ECONOMICO (I-II)</v>
      </c>
      <c r="D15">
        <f>+D13-D14</f>
        <v>644619639.7494993</v>
      </c>
      <c r="E15">
        <f>+E13-E14</f>
        <v>644619639.7494993</v>
      </c>
      <c r="F15">
        <f>+F13-F14</f>
        <v>644619639.7494993</v>
      </c>
      <c r="G15">
        <f>+G13-G14</f>
        <v>644619639.7494993</v>
      </c>
      <c r="H15">
        <f>+H13-H14</f>
        <v>2578478558.9979973</v>
      </c>
    </row>
    <row r="16">
      <c r="B16" t="str">
        <v>IV</v>
      </c>
      <c r="C16" t="str">
        <v>RECURSOS DE CAPITAL</v>
      </c>
      <c r="D16">
        <v>500000</v>
      </c>
      <c r="E16">
        <v>500000</v>
      </c>
      <c r="F16">
        <v>500000</v>
      </c>
      <c r="G16">
        <v>500000</v>
      </c>
      <c r="H16">
        <v>2000000</v>
      </c>
    </row>
    <row r="17">
      <c r="B17" t="str">
        <v>V</v>
      </c>
      <c r="C17" t="str">
        <v>GASTOS DE CAPITAL</v>
      </c>
      <c r="D17">
        <v>773330384.5</v>
      </c>
      <c r="E17">
        <v>773330384.5</v>
      </c>
      <c r="F17">
        <v>773330384.5</v>
      </c>
      <c r="G17">
        <v>773330384.5</v>
      </c>
      <c r="H17">
        <v>3093321538</v>
      </c>
    </row>
    <row r="18">
      <c r="B18" t="str">
        <v>VI</v>
      </c>
      <c r="C18" t="str">
        <v>EXCEDENTES (III+IV-V)</v>
      </c>
      <c r="D18">
        <f>+D15+D16-D17</f>
        <v>-128210744.75050068</v>
      </c>
      <c r="E18">
        <f>+E15+E16-E17</f>
        <v>-128210744.75050068</v>
      </c>
      <c r="F18">
        <f>+F15+F16-F17</f>
        <v>-128210744.75050068</v>
      </c>
      <c r="G18">
        <f>+G15+G16-G17</f>
        <v>-128210744.75050068</v>
      </c>
      <c r="H18">
        <f>+H15+H16-H17</f>
        <v>-512842979.0020027</v>
      </c>
    </row>
    <row r="19">
      <c r="C19" t="str">
        <v>TOTAL RECURSOS (I+IV)</v>
      </c>
      <c r="D19">
        <f>+D13+D16</f>
        <v>2395923009.9994993</v>
      </c>
      <c r="E19">
        <f>+E13+E16</f>
        <v>2395923009.9994993</v>
      </c>
      <c r="F19">
        <f>+F13+F16</f>
        <v>2395923009.9994993</v>
      </c>
      <c r="G19">
        <f>+G13+G16</f>
        <v>2395923009.9994993</v>
      </c>
      <c r="H19">
        <f>+H13+H16</f>
        <v>9583692039.997997</v>
      </c>
    </row>
    <row r="20">
      <c r="C20" t="str">
        <v>TOTAL GASTOS (II+V)</v>
      </c>
      <c r="D20">
        <f>+D14+D17</f>
        <v>2524133754.75</v>
      </c>
      <c r="E20">
        <f>+E14+E17</f>
        <v>2524133754.75</v>
      </c>
      <c r="F20">
        <f>+F14+F17</f>
        <v>2524133754.75</v>
      </c>
      <c r="G20">
        <f>+G14+G17</f>
        <v>2524133754.75</v>
      </c>
      <c r="H20">
        <f>+H14+H17</f>
        <v>10096535019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B23" t="str">
        <v>IX</v>
      </c>
      <c r="C23" t="str">
        <v>NECESIDAD DE FINANCIACION (VI+VII-VIII)</v>
      </c>
      <c r="D23">
        <f>+D18+D21-D22</f>
        <v>-128210744.75050068</v>
      </c>
      <c r="E23">
        <f>+E18+E21-E22</f>
        <v>-128210744.75050068</v>
      </c>
      <c r="F23">
        <f>+F18+F21-F22</f>
        <v>-128210744.75050068</v>
      </c>
      <c r="G23">
        <f>+G18+G21-G22</f>
        <v>-128210744.75050068</v>
      </c>
      <c r="H23">
        <f>+H18+H21-H22</f>
        <v>-512842979.0020027</v>
      </c>
    </row>
    <row r="24">
      <c r="B24" t="str">
        <v>X</v>
      </c>
      <c r="C24" t="str">
        <v>FUENTES DE FINANCIACION</v>
      </c>
      <c r="D24">
        <v>175000000</v>
      </c>
      <c r="E24">
        <v>175000000</v>
      </c>
      <c r="F24">
        <v>175000000</v>
      </c>
      <c r="G24">
        <v>175000000</v>
      </c>
      <c r="H24">
        <v>700000000</v>
      </c>
    </row>
    <row r="25">
      <c r="B25" t="str">
        <v>XI</v>
      </c>
      <c r="C25" t="str">
        <v>APLIC. FINANCIERAS</v>
      </c>
      <c r="D25">
        <v>46789255.25</v>
      </c>
      <c r="E25">
        <v>46789255.25</v>
      </c>
      <c r="F25">
        <v>46789255.25</v>
      </c>
      <c r="G25">
        <v>46789255.25</v>
      </c>
      <c r="H25">
        <v>187157021</v>
      </c>
    </row>
    <row r="26">
      <c r="B26" t="str">
        <v>XII</v>
      </c>
      <c r="C26" t="str">
        <v>FINANCIAMIENTO NETO (X-XI)</v>
      </c>
      <c r="D26">
        <f>+D24-D25</f>
        <v>128210744.75</v>
      </c>
      <c r="E26">
        <f>+E24-E25</f>
        <v>128210744.75</v>
      </c>
      <c r="F26">
        <f>+F24-F25</f>
        <v>128210744.75</v>
      </c>
      <c r="G26">
        <f>+G24-G25</f>
        <v>128210744.75</v>
      </c>
      <c r="H26">
        <f>+H24-H25</f>
        <v>512842979</v>
      </c>
    </row>
    <row r="27">
      <c r="B27" t="str">
        <v>XIII</v>
      </c>
      <c r="C27" t="str">
        <v>RESULTADO FINANCIERO (IX+XII)</v>
      </c>
      <c r="D27">
        <f>+D23+D26</f>
        <v>-0.0005006790161132812</v>
      </c>
      <c r="E27">
        <f>+E23+E26</f>
        <v>-0.0005006790161132812</v>
      </c>
      <c r="F27">
        <f>+F23+F26</f>
        <v>-0.0005006790161132812</v>
      </c>
      <c r="G27">
        <f>+G23+G26</f>
        <v>-0.0005006790161132812</v>
      </c>
      <c r="H27">
        <f>+H23+H26</f>
        <v>-0.002002716064453125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38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2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3624080884</v>
      </c>
      <c r="C14">
        <v>1734466615.62</v>
      </c>
      <c r="D14">
        <v>551360485.89</v>
      </c>
      <c r="E14">
        <f>+B14+C14-D14</f>
        <v>4807187013.73</v>
      </c>
      <c r="F14">
        <v>3374741633.76</v>
      </c>
      <c r="G14">
        <v>2203192306.25</v>
      </c>
      <c r="H14">
        <v>2203192306.25</v>
      </c>
      <c r="I14">
        <v>2157932600.99</v>
      </c>
      <c r="J14">
        <f>+G14-H14</f>
        <v>0</v>
      </c>
      <c r="K14">
        <f>+E14-F14</f>
        <v>1432445379.9699993</v>
      </c>
      <c r="L14">
        <f>+H14-I14</f>
        <v>45259705.26000023</v>
      </c>
    </row>
    <row r="15">
      <c r="A15" t="str">
        <v>41200 BIENES CORRIENTES</v>
      </c>
      <c r="B15">
        <v>901397119</v>
      </c>
      <c r="C15">
        <v>217927727.04</v>
      </c>
      <c r="D15">
        <v>324411660.9</v>
      </c>
      <c r="E15">
        <f>+B15+C15-D15</f>
        <v>794913185.14</v>
      </c>
      <c r="F15">
        <v>243168554.8</v>
      </c>
      <c r="G15">
        <v>171599511.38</v>
      </c>
      <c r="H15">
        <v>171438208.7</v>
      </c>
      <c r="I15">
        <v>154970768.14</v>
      </c>
      <c r="J15">
        <f>+G15-H15</f>
        <v>161302.68000000715</v>
      </c>
      <c r="K15">
        <f>+E15-F15</f>
        <v>551744630.3399999</v>
      </c>
      <c r="L15">
        <f>+H15-I15</f>
        <v>16467440.560000002</v>
      </c>
    </row>
    <row r="16">
      <c r="A16" t="str">
        <v>41300 SERVICIOS CORRIENTES</v>
      </c>
      <c r="B16">
        <v>2402687538</v>
      </c>
      <c r="C16">
        <v>727835293.83</v>
      </c>
      <c r="D16">
        <v>367134846.1</v>
      </c>
      <c r="E16">
        <f>+B16+C16-D16</f>
        <v>2763387985.73</v>
      </c>
      <c r="F16">
        <v>1743480194.33</v>
      </c>
      <c r="G16">
        <v>840744370.35</v>
      </c>
      <c r="H16">
        <v>840744370.35</v>
      </c>
      <c r="I16">
        <v>819289446.16</v>
      </c>
      <c r="J16">
        <f>+G16-H16</f>
        <v>0</v>
      </c>
      <c r="K16">
        <f>+E16-F16</f>
        <v>1019907791.4000001</v>
      </c>
      <c r="L16">
        <f>+H16-I16</f>
        <v>21454924.190000057</v>
      </c>
    </row>
    <row r="17">
      <c r="A17" t="str">
        <v>42100 INTERESES Y GASTOS</v>
      </c>
      <c r="B17">
        <v>24072286</v>
      </c>
      <c r="C17">
        <v>5155739.18</v>
      </c>
      <c r="D17">
        <v>0</v>
      </c>
      <c r="E17">
        <f>+B17+C17-D17</f>
        <v>29228025.18</v>
      </c>
      <c r="F17">
        <v>4926939.33</v>
      </c>
      <c r="G17">
        <v>4926939.33</v>
      </c>
      <c r="H17">
        <v>4926939.33</v>
      </c>
      <c r="I17">
        <v>4926939.33</v>
      </c>
      <c r="J17">
        <f>+G17-H17</f>
        <v>0</v>
      </c>
      <c r="K17">
        <f>+E17-F17</f>
        <v>24301085.85</v>
      </c>
      <c r="L17">
        <f>+H17-I17</f>
        <v>0</v>
      </c>
    </row>
    <row r="18">
      <c r="A18" t="str">
        <v>43100 TRANSFERENCIAS CORRIENTES</v>
      </c>
      <c r="B18">
        <v>50975654</v>
      </c>
      <c r="C18">
        <v>99902832.12</v>
      </c>
      <c r="D18">
        <v>34680000</v>
      </c>
      <c r="E18">
        <f>+B18+C18-D18</f>
        <v>116198486.12</v>
      </c>
      <c r="F18">
        <v>79760514.57</v>
      </c>
      <c r="G18">
        <v>52103747.9</v>
      </c>
      <c r="H18">
        <v>52103747.9</v>
      </c>
      <c r="I18">
        <v>51895397.9</v>
      </c>
      <c r="J18">
        <f>+G18-H18</f>
        <v>0</v>
      </c>
      <c r="K18">
        <f>+E18-F18</f>
        <v>36437971.55000001</v>
      </c>
      <c r="L18">
        <f>+H18-I18</f>
        <v>208350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263189104</v>
      </c>
      <c r="C20">
        <v>215169480.75</v>
      </c>
      <c r="D20">
        <v>196354686</v>
      </c>
      <c r="E20">
        <f>+B20+C20-D20</f>
        <v>282003898.75</v>
      </c>
      <c r="F20">
        <v>160310594.43</v>
      </c>
      <c r="G20">
        <v>150778510.25</v>
      </c>
      <c r="H20">
        <v>146893338.17</v>
      </c>
      <c r="I20">
        <v>138724191.17</v>
      </c>
      <c r="J20">
        <f>+G20-H20</f>
        <v>3885172.080000013</v>
      </c>
      <c r="K20">
        <f>+E20-F20</f>
        <v>121693304.32</v>
      </c>
      <c r="L20">
        <f>+H20-I20</f>
        <v>8169147</v>
      </c>
    </row>
    <row r="21">
      <c r="A21" t="str">
        <v>51200 TRABAJO PUBLICO</v>
      </c>
      <c r="B21">
        <v>2830132434</v>
      </c>
      <c r="C21">
        <v>2133977346.14</v>
      </c>
      <c r="D21">
        <v>534806139</v>
      </c>
      <c r="E21">
        <f>+B21+C21-D21</f>
        <v>4429303641.14</v>
      </c>
      <c r="F21">
        <v>2568402111.58</v>
      </c>
      <c r="G21">
        <v>1172694824.9</v>
      </c>
      <c r="H21">
        <v>1172694824.9</v>
      </c>
      <c r="I21">
        <v>1142637731.49</v>
      </c>
      <c r="J21">
        <f>+G21-H21</f>
        <v>0</v>
      </c>
      <c r="K21">
        <f>+E21-F21</f>
        <v>1860901529.5600004</v>
      </c>
      <c r="L21">
        <f>+H21-I21</f>
        <v>30057093.410000086</v>
      </c>
    </row>
    <row r="22">
      <c r="A22" t="str">
        <v>52100 APORTES DE CAPITAL</v>
      </c>
      <c r="B22">
        <v>0</v>
      </c>
      <c r="C22">
        <v>10000000</v>
      </c>
      <c r="D22">
        <v>0</v>
      </c>
      <c r="E22">
        <f>+B22+C22-D22</f>
        <v>10000000</v>
      </c>
      <c r="F22">
        <v>1000000</v>
      </c>
      <c r="G22">
        <v>1000000</v>
      </c>
      <c r="H22">
        <v>1000000</v>
      </c>
      <c r="I22">
        <v>1000000</v>
      </c>
      <c r="J22">
        <f>+G22-H22</f>
        <v>0</v>
      </c>
      <c r="K22">
        <f>+E22-F22</f>
        <v>9000000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55837021</v>
      </c>
      <c r="C26">
        <v>0</v>
      </c>
      <c r="D26">
        <v>0</v>
      </c>
      <c r="E26">
        <f>+B26+C26-D26</f>
        <v>55837021</v>
      </c>
      <c r="F26">
        <v>26611375.87</v>
      </c>
      <c r="G26">
        <v>26611375.87</v>
      </c>
      <c r="H26">
        <v>26611375.87</v>
      </c>
      <c r="I26">
        <v>26611375.87</v>
      </c>
      <c r="J26">
        <f>+G26-H26</f>
        <v>0</v>
      </c>
      <c r="K26">
        <f>+E26-F26</f>
        <v>29225645.13</v>
      </c>
      <c r="L26">
        <f>+H26-I26</f>
        <v>0</v>
      </c>
    </row>
    <row r="27">
      <c r="A27" t="str">
        <v>74100 AMORTIZACION DE LA DEUDA FLOTANTE</v>
      </c>
      <c r="B27">
        <v>131320000</v>
      </c>
      <c r="C27">
        <v>194498775.09</v>
      </c>
      <c r="D27">
        <v>35886893.62</v>
      </c>
      <c r="E27">
        <f>+B27+C27-D27</f>
        <v>289931881.47</v>
      </c>
      <c r="F27">
        <v>286254388.71</v>
      </c>
      <c r="G27">
        <v>286254388.71</v>
      </c>
      <c r="H27">
        <v>286254388.71</v>
      </c>
      <c r="I27">
        <v>286254388.71</v>
      </c>
      <c r="J27">
        <f>+G27-H27</f>
        <v>0</v>
      </c>
      <c r="K27">
        <f>+E27-F27</f>
        <v>3677492.76000005</v>
      </c>
      <c r="L27">
        <f>+H27-I27</f>
        <v>0</v>
      </c>
    </row>
    <row r="28">
      <c r="A28" t="str">
        <v>TOTALES</v>
      </c>
      <c r="B28">
        <f>SUM(B14:B27)</f>
        <v>10283692040</v>
      </c>
      <c r="C28">
        <f>SUM(C14:C27)</f>
        <v>5338933809.7699995</v>
      </c>
      <c r="D28">
        <f>SUM(D14:D27)</f>
        <v>2044634711.5099998</v>
      </c>
      <c r="E28">
        <f>SUM(E14:E27)</f>
        <v>13577991138.26</v>
      </c>
      <c r="F28">
        <f>SUM(F14:F27)</f>
        <v>8488656307.38</v>
      </c>
      <c r="G28">
        <f>SUM(G14:G27)</f>
        <v>4909905974.940001</v>
      </c>
      <c r="H28">
        <f>SUM(H14:H27)</f>
        <v>4905859500.18</v>
      </c>
      <c r="I28">
        <f>SUM(I14:I27)</f>
        <v>4784242839.759999</v>
      </c>
      <c r="J28">
        <f>SUM(J14:J27)</f>
        <v>4046474.7600000203</v>
      </c>
      <c r="K28">
        <f>SUM(K14:K27)</f>
        <v>5089334830.88</v>
      </c>
      <c r="L28">
        <f>SUM(L14:L27)</f>
        <v>121616660.42000037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L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1'!B8</f>
        <v>EJERCICIO: 2023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19795174.81</v>
      </c>
      <c r="C14">
        <v>1274946050.91</v>
      </c>
      <c r="D14">
        <v>1274946050.91</v>
      </c>
      <c r="E14">
        <v>1245769878.81</v>
      </c>
      <c r="F14">
        <f>+C14-D14</f>
        <v>0</v>
      </c>
      <c r="G14">
        <f>+D14-E14</f>
        <v>29176172.100000143</v>
      </c>
    </row>
    <row r="15">
      <c r="A15" t="str">
        <v>41200 BIENES CORRIENTES</v>
      </c>
      <c r="B15">
        <v>115687781.83</v>
      </c>
      <c r="C15">
        <v>118481806.82</v>
      </c>
      <c r="D15">
        <v>118440409.14</v>
      </c>
      <c r="E15">
        <v>114555468.59</v>
      </c>
      <c r="F15">
        <f>+C15-D15</f>
        <v>41397.67999999225</v>
      </c>
      <c r="G15">
        <f>+D15-E15</f>
        <v>3884940.549999997</v>
      </c>
    </row>
    <row r="16">
      <c r="A16" t="str">
        <v>41300 SERVICIOS CORRIENTES</v>
      </c>
      <c r="B16">
        <v>546445259.8</v>
      </c>
      <c r="C16">
        <v>518929714.44</v>
      </c>
      <c r="D16">
        <v>518929714.44</v>
      </c>
      <c r="E16">
        <v>517938616.29</v>
      </c>
      <c r="F16">
        <f>+C16-D16</f>
        <v>0</v>
      </c>
      <c r="G16">
        <f>+D16-E16</f>
        <v>991098.1499999762</v>
      </c>
    </row>
    <row r="17">
      <c r="A17" t="str">
        <v>42100 INTERESES Y GASTOS</v>
      </c>
      <c r="B17">
        <v>4926939.33</v>
      </c>
      <c r="C17">
        <v>4926939.33</v>
      </c>
      <c r="D17">
        <v>4926939.33</v>
      </c>
      <c r="E17">
        <v>4926939.33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64186875.96</v>
      </c>
      <c r="C18">
        <v>45356109.29</v>
      </c>
      <c r="D18">
        <v>45356109.29</v>
      </c>
      <c r="E18">
        <v>45376259.29</v>
      </c>
      <c r="F18">
        <f>+C18-D18</f>
        <v>0</v>
      </c>
      <c r="G18">
        <f>+D18-E18</f>
        <v>-20150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147407924.82</v>
      </c>
      <c r="C20">
        <v>140412436.12</v>
      </c>
      <c r="D20">
        <v>139484816.35</v>
      </c>
      <c r="E20">
        <v>133740539.39</v>
      </c>
      <c r="F20">
        <f>+C20-D20</f>
        <v>927619.7700000107</v>
      </c>
      <c r="G20">
        <f>+D20-E20</f>
        <v>5744276.959999993</v>
      </c>
    </row>
    <row r="21">
      <c r="A21" t="str">
        <v>51200 TRABAJO PUBLICO</v>
      </c>
      <c r="B21">
        <v>401889111.45</v>
      </c>
      <c r="C21">
        <v>845534669.15</v>
      </c>
      <c r="D21">
        <v>845534669.15</v>
      </c>
      <c r="E21">
        <v>840494200.51</v>
      </c>
      <c r="F21">
        <f>+C21-D21</f>
        <v>0</v>
      </c>
      <c r="G21">
        <f>+D21-E21</f>
        <v>5040468.639999986</v>
      </c>
    </row>
    <row r="22">
      <c r="A22" t="str">
        <v>52100 APORTES DE CAPITAL</v>
      </c>
      <c r="B22">
        <v>1000000</v>
      </c>
      <c r="C22">
        <v>1000000</v>
      </c>
      <c r="D22">
        <v>1000000</v>
      </c>
      <c r="E22">
        <v>1000000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26611375.87</v>
      </c>
      <c r="C26">
        <v>26611375.87</v>
      </c>
      <c r="D26">
        <v>26611375.87</v>
      </c>
      <c r="E26">
        <v>26611375.87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915917.01</v>
      </c>
      <c r="C27">
        <v>915917.01</v>
      </c>
      <c r="D27">
        <v>915917.01</v>
      </c>
      <c r="E27">
        <v>2001933.7</v>
      </c>
      <c r="F27">
        <f>+C27-D27</f>
        <v>0</v>
      </c>
      <c r="G27">
        <f>+D27-E27</f>
        <v>-1086016.69</v>
      </c>
    </row>
    <row r="28">
      <c r="A28" t="str">
        <v>TOTALES</v>
      </c>
      <c r="B28">
        <f>SUM(B14:B27)</f>
        <v>1328866360.8799999</v>
      </c>
      <c r="C28">
        <f>SUM(C14:C27)</f>
        <v>2977115018.94</v>
      </c>
      <c r="D28">
        <f>SUM(D14:D27)</f>
        <v>2976146001.4900002</v>
      </c>
      <c r="E28">
        <f>SUM(E14:E27)</f>
        <v>2932415211.7799997</v>
      </c>
      <c r="F28">
        <f>SUM(F14:F27)</f>
        <v>969017.450000003</v>
      </c>
      <c r="G28">
        <f>SUM(G14:G27)</f>
        <v>43730789.7100001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2023</v>
      </c>
      <c r="F7" t="str">
        <f>+'ANEXO 1'!G8</f>
        <v>TRIMESTRE: 2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2121349277.81</v>
      </c>
      <c r="D13">
        <v>568456599.74</v>
      </c>
      <c r="E13">
        <v>0</v>
      </c>
      <c r="F13">
        <f>+C13+D13-E13</f>
        <v>2689805877.55</v>
      </c>
      <c r="G13">
        <v>0</v>
      </c>
      <c r="H13">
        <f>+F13-G13</f>
        <v>2689805877.55</v>
      </c>
      <c r="I13">
        <v>0</v>
      </c>
    </row>
    <row r="14">
      <c r="A14">
        <v>1110201000</v>
      </c>
      <c r="B14" t="str">
        <v>Impuesto inmobiliario -rentas gener</v>
      </c>
      <c r="C14">
        <v>223469250.8</v>
      </c>
      <c r="D14">
        <v>59882911.22</v>
      </c>
      <c r="E14">
        <v>0</v>
      </c>
      <c r="F14">
        <f>+C14+D14-E14</f>
        <v>283352162.02</v>
      </c>
      <c r="G14">
        <v>0</v>
      </c>
      <c r="H14">
        <f>+F14-G14</f>
        <v>283352162.02</v>
      </c>
      <c r="I14">
        <v>0</v>
      </c>
    </row>
    <row r="15">
      <c r="A15">
        <v>1110202000</v>
      </c>
      <c r="B15" t="str">
        <v>Impuesto a los automotores</v>
      </c>
      <c r="C15">
        <v>618295859.38</v>
      </c>
      <c r="D15">
        <v>165684343.23</v>
      </c>
      <c r="E15">
        <v>0</v>
      </c>
      <c r="F15">
        <f>+C15+D15-E15</f>
        <v>783980202.61</v>
      </c>
      <c r="G15">
        <v>0</v>
      </c>
      <c r="H15">
        <f>+F15-G15</f>
        <v>783980202.61</v>
      </c>
      <c r="I15">
        <v>0</v>
      </c>
    </row>
    <row r="16">
      <c r="A16">
        <v>1110301000</v>
      </c>
      <c r="B16" t="str">
        <v>Impuesto de sellos</v>
      </c>
      <c r="C16">
        <v>90000000</v>
      </c>
      <c r="D16">
        <v>24117242.04</v>
      </c>
      <c r="E16">
        <v>0</v>
      </c>
      <c r="F16">
        <f>+C16+D16-E16</f>
        <v>114117242.03999999</v>
      </c>
      <c r="G16">
        <v>0</v>
      </c>
      <c r="H16">
        <f>+F16-G16</f>
        <v>114117242.03999999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246378882</v>
      </c>
      <c r="H17">
        <f>+F17-G17</f>
        <v>-246378882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2675416954.89</v>
      </c>
      <c r="H18">
        <f>+F18-G18</f>
        <v>-2675416954.89</v>
      </c>
      <c r="I18">
        <v>1779861864.89</v>
      </c>
    </row>
    <row r="19">
      <c r="A19">
        <v>1110609000</v>
      </c>
      <c r="B19" t="str">
        <v>Canon Extraordinario de Produccion</v>
      </c>
      <c r="C19">
        <v>27261691</v>
      </c>
      <c r="D19">
        <v>0</v>
      </c>
      <c r="E19">
        <v>0</v>
      </c>
      <c r="F19">
        <f>+C19+D19-E19</f>
        <v>27261691</v>
      </c>
      <c r="G19">
        <v>12041923.51</v>
      </c>
      <c r="H19">
        <f>+F19-G19</f>
        <v>15219767.49</v>
      </c>
      <c r="I19">
        <v>4570388.33</v>
      </c>
    </row>
    <row r="20">
      <c r="A20">
        <v>1120705195</v>
      </c>
      <c r="B20" t="str">
        <v>Aportes No Reintegrables SEOS - Gob</v>
      </c>
      <c r="C20">
        <v>0</v>
      </c>
      <c r="D20">
        <v>0</v>
      </c>
      <c r="E20">
        <v>0</v>
      </c>
      <c r="F20">
        <f>+C20+D20-E20</f>
        <v>0</v>
      </c>
      <c r="G20">
        <v>0</v>
      </c>
      <c r="H20">
        <f>+F20-G20</f>
        <v>0</v>
      </c>
      <c r="I20">
        <v>0</v>
      </c>
    </row>
    <row r="21">
      <c r="A21">
        <v>1110612000</v>
      </c>
      <c r="B21" t="str">
        <v>Fondos de Promoción Turística</v>
      </c>
      <c r="C21">
        <v>0</v>
      </c>
      <c r="D21">
        <v>0</v>
      </c>
      <c r="E21">
        <v>0</v>
      </c>
      <c r="F21">
        <f>+C21+D21-E21</f>
        <v>0</v>
      </c>
      <c r="G21">
        <v>6538375.79</v>
      </c>
      <c r="H21">
        <f>+F21-G21</f>
        <v>-6538375.79</v>
      </c>
      <c r="I21">
        <v>957188.97</v>
      </c>
    </row>
    <row r="22">
      <c r="A22">
        <v>1120511000</v>
      </c>
      <c r="B22" t="str">
        <v xml:space="preserve">Ingresos Eventuales                                                 </v>
      </c>
      <c r="C22">
        <v>0</v>
      </c>
      <c r="D22">
        <v>0</v>
      </c>
      <c r="E22">
        <v>0</v>
      </c>
      <c r="F22">
        <v>0</v>
      </c>
      <c r="G22">
        <v>36</v>
      </c>
      <c r="H22">
        <f>+F22-G22</f>
        <v>-36</v>
      </c>
      <c r="I22">
        <v>0</v>
      </c>
    </row>
    <row r="23">
      <c r="A23">
        <v>1120705195</v>
      </c>
      <c r="B23" t="str">
        <v xml:space="preserve"> Aportes No Reintegrables Gob. de Mendoza  </v>
      </c>
      <c r="C23">
        <v>198000000</v>
      </c>
      <c r="D23">
        <v>0</v>
      </c>
      <c r="E23">
        <v>0</v>
      </c>
      <c r="F23">
        <f>+C23+D23-E23</f>
        <v>198000000</v>
      </c>
      <c r="G23">
        <v>196414422.24</v>
      </c>
      <c r="H23">
        <f>+F23-G23</f>
        <v>1585577.7599999905</v>
      </c>
      <c r="I23">
        <v>111073650.57</v>
      </c>
    </row>
    <row r="24">
      <c r="A24">
        <v>1120706195</v>
      </c>
      <c r="B24" t="str">
        <v xml:space="preserve"> Aportes No Reintegrables Gob. de Mendoza  </v>
      </c>
      <c r="C24">
        <v>20000000</v>
      </c>
      <c r="D24">
        <v>403820693.43</v>
      </c>
      <c r="E24">
        <v>0</v>
      </c>
      <c r="F24">
        <f>+C24+D24-E24</f>
        <v>423820693.43</v>
      </c>
      <c r="G24">
        <v>97892915.24</v>
      </c>
      <c r="H24">
        <f>+F24-G24</f>
        <v>325927778.19</v>
      </c>
      <c r="I24">
        <v>74786506.29</v>
      </c>
    </row>
    <row r="25">
      <c r="A25">
        <v>1261900214</v>
      </c>
      <c r="B25" t="str">
        <v>Ley 26075 Financiamiento Educativo</v>
      </c>
      <c r="C25">
        <v>879782071</v>
      </c>
      <c r="D25">
        <v>235754634.95</v>
      </c>
      <c r="E25">
        <v>0</v>
      </c>
      <c r="F25">
        <f>+C25+D25-E25</f>
        <v>1115536705.95</v>
      </c>
      <c r="G25">
        <v>402280582.59</v>
      </c>
      <c r="H25">
        <f>+F25-G25</f>
        <v>713256123.3600001</v>
      </c>
      <c r="I25">
        <v>258604919</v>
      </c>
    </row>
    <row r="26">
      <c r="A26">
        <v>1270100000</v>
      </c>
      <c r="B26" t="str">
        <v>del Tesoro Nacional</v>
      </c>
      <c r="C26">
        <v>3530643515</v>
      </c>
      <c r="D26">
        <v>946104268.82</v>
      </c>
      <c r="E26">
        <v>0</v>
      </c>
      <c r="F26">
        <f>+C26+D26-E26</f>
        <v>4476747783.82</v>
      </c>
      <c r="G26">
        <v>0</v>
      </c>
      <c r="H26">
        <f>+F26-G26</f>
        <v>4476747783.82</v>
      </c>
      <c r="I26">
        <v>0</v>
      </c>
    </row>
    <row r="27">
      <c r="A27">
        <v>1270101194</v>
      </c>
      <c r="B27" t="str">
        <v xml:space="preserve">Remesas de la Nación - Aportes No Reintegrables-194          </v>
      </c>
      <c r="C27">
        <v>0</v>
      </c>
      <c r="D27">
        <v>31999300</v>
      </c>
      <c r="E27">
        <v>0</v>
      </c>
      <c r="F27">
        <f>+C27+D27-E27</f>
        <v>31999300</v>
      </c>
      <c r="G27">
        <v>33924220</v>
      </c>
      <c r="H27">
        <f>+F27-G27</f>
        <v>-1924920</v>
      </c>
      <c r="I27">
        <v>1499300</v>
      </c>
    </row>
    <row r="28">
      <c r="A28">
        <v>1310100000</v>
      </c>
      <c r="B28" t="str">
        <v>Derechos Servicios Prop. Raíz</v>
      </c>
      <c r="C28">
        <v>413941396.12</v>
      </c>
      <c r="D28">
        <v>0</v>
      </c>
      <c r="E28">
        <v>0</v>
      </c>
      <c r="F28">
        <f>+C28+D28-E28</f>
        <v>413941396.12</v>
      </c>
      <c r="G28">
        <v>161097075.92</v>
      </c>
      <c r="H28">
        <f>+F28-G28</f>
        <v>252844320.20000002</v>
      </c>
      <c r="I28">
        <v>64608238.71</v>
      </c>
    </row>
    <row r="29">
      <c r="A29">
        <v>1310200000</v>
      </c>
      <c r="B29" t="str">
        <v>Derechos Comercio e Industria</v>
      </c>
      <c r="C29">
        <v>270924179.93</v>
      </c>
      <c r="D29">
        <v>0</v>
      </c>
      <c r="E29">
        <v>0</v>
      </c>
      <c r="F29">
        <f>+C29+D29-E29</f>
        <v>270924179.93</v>
      </c>
      <c r="G29">
        <v>78674481.4</v>
      </c>
      <c r="H29">
        <f>+F29-G29</f>
        <v>192249698.53</v>
      </c>
      <c r="I29">
        <v>36053563.5</v>
      </c>
    </row>
    <row r="30">
      <c r="A30">
        <v>1310300000</v>
      </c>
      <c r="B30" t="str">
        <v>Derechos de Cementerios</v>
      </c>
      <c r="C30">
        <v>108483679.17</v>
      </c>
      <c r="D30">
        <v>0</v>
      </c>
      <c r="E30">
        <v>0</v>
      </c>
      <c r="F30">
        <f>+C30+D30-E30</f>
        <v>108483679.17</v>
      </c>
      <c r="G30">
        <v>20887341.61</v>
      </c>
      <c r="H30">
        <f>+F30-G30</f>
        <v>87596337.56</v>
      </c>
      <c r="I30">
        <v>12244871.72</v>
      </c>
    </row>
    <row r="31">
      <c r="A31">
        <v>1310400000</v>
      </c>
      <c r="B31" t="str">
        <v>Derechos de Actuación Administrativ</v>
      </c>
      <c r="C31">
        <v>19685029.5</v>
      </c>
      <c r="D31">
        <v>0</v>
      </c>
      <c r="E31">
        <v>0</v>
      </c>
      <c r="F31">
        <f>+C31+D31-E31</f>
        <v>19685029.5</v>
      </c>
      <c r="G31">
        <v>6028828.85</v>
      </c>
      <c r="H31">
        <f>+F31-G31</f>
        <v>13656200.65</v>
      </c>
      <c r="I31">
        <v>3402924.52</v>
      </c>
    </row>
    <row r="32">
      <c r="A32">
        <v>1310401000</v>
      </c>
      <c r="B32" t="str">
        <v>Sellados</v>
      </c>
      <c r="C32">
        <v>12800364.04</v>
      </c>
      <c r="D32">
        <v>0</v>
      </c>
      <c r="E32">
        <v>0</v>
      </c>
      <c r="F32">
        <f>+C32+D32-E32</f>
        <v>12800364.04</v>
      </c>
      <c r="G32">
        <v>3207298.17</v>
      </c>
      <c r="H32">
        <f>+F32-G32</f>
        <v>9593065.87</v>
      </c>
      <c r="I32">
        <v>1921130.7</v>
      </c>
    </row>
    <row r="33">
      <c r="A33">
        <v>1310402000</v>
      </c>
      <c r="B33" t="str">
        <v>Gastos Administrativos de Apremio</v>
      </c>
      <c r="C33">
        <v>1139041.55</v>
      </c>
      <c r="D33">
        <v>0</v>
      </c>
      <c r="E33">
        <v>0</v>
      </c>
      <c r="F33">
        <f>+C33+D33-E33</f>
        <v>1139041.55</v>
      </c>
      <c r="G33">
        <v>186258.75</v>
      </c>
      <c r="H33">
        <f>+F33-G33</f>
        <v>952782.8</v>
      </c>
      <c r="I33">
        <v>85879.57</v>
      </c>
    </row>
    <row r="34">
      <c r="A34">
        <v>1310500000</v>
      </c>
      <c r="B34" t="str">
        <v>Derechos de Edificación</v>
      </c>
      <c r="C34">
        <v>10247657.95</v>
      </c>
      <c r="D34">
        <v>0</v>
      </c>
      <c r="E34">
        <v>0</v>
      </c>
      <c r="F34">
        <f>+C34+D34-E34</f>
        <v>10247657.95</v>
      </c>
      <c r="G34">
        <v>1328153.42</v>
      </c>
      <c r="H34">
        <f>+F34-G34</f>
        <v>8919504.53</v>
      </c>
      <c r="I34">
        <v>747826.39</v>
      </c>
    </row>
    <row r="35">
      <c r="A35">
        <v>1310600000</v>
      </c>
      <c r="B35" t="str">
        <v>Derecho de Inspección y Habilitació</v>
      </c>
      <c r="C35">
        <v>2390270.08</v>
      </c>
      <c r="D35">
        <v>0</v>
      </c>
      <c r="E35">
        <v>0</v>
      </c>
      <c r="F35">
        <f>+C35+D35-E35</f>
        <v>2390270.08</v>
      </c>
      <c r="G35">
        <v>266645.65</v>
      </c>
      <c r="H35">
        <f>+F35-G35</f>
        <v>2123624.43</v>
      </c>
      <c r="I35">
        <v>137026.78</v>
      </c>
    </row>
    <row r="36">
      <c r="A36">
        <v>1310700000</v>
      </c>
      <c r="B36" t="str">
        <v>Derecho de Inspección de Espectácul</v>
      </c>
      <c r="C36">
        <v>4036231.1</v>
      </c>
      <c r="D36">
        <v>0</v>
      </c>
      <c r="E36">
        <v>0</v>
      </c>
      <c r="F36">
        <f>+C36+D36-E36</f>
        <v>4036231.1</v>
      </c>
      <c r="G36">
        <v>1282271.6</v>
      </c>
      <c r="H36">
        <f>+F36-G36</f>
        <v>2753959.5</v>
      </c>
      <c r="I36">
        <v>584936</v>
      </c>
    </row>
    <row r="37">
      <c r="A37">
        <v>1310800000</v>
      </c>
      <c r="B37" t="str">
        <v>Derechos de Publicidad y Propaganda</v>
      </c>
      <c r="C37">
        <v>681404.53</v>
      </c>
      <c r="D37">
        <v>0</v>
      </c>
      <c r="E37">
        <v>0</v>
      </c>
      <c r="F37">
        <f>+C37+D37-E37</f>
        <v>681404.53</v>
      </c>
      <c r="G37">
        <v>17129</v>
      </c>
      <c r="H37">
        <f>+F37-G37</f>
        <v>664275.53</v>
      </c>
      <c r="I37">
        <v>0</v>
      </c>
    </row>
    <row r="38">
      <c r="A38">
        <v>1311010000</v>
      </c>
      <c r="B38" t="str">
        <v>Derechos de Concesiones - Locales</v>
      </c>
      <c r="C38">
        <v>14953451.7</v>
      </c>
      <c r="D38">
        <v>0</v>
      </c>
      <c r="E38">
        <v>0</v>
      </c>
      <c r="F38">
        <f>+C38+D38-E38</f>
        <v>14953451.7</v>
      </c>
      <c r="G38">
        <v>3449574.84</v>
      </c>
      <c r="H38">
        <f>+F38-G38</f>
        <v>11503876.86</v>
      </c>
      <c r="I38">
        <v>1816382.63</v>
      </c>
    </row>
    <row r="39">
      <c r="A39">
        <v>1311020000</v>
      </c>
      <c r="B39" t="str">
        <v>Derechos de Concesiones - Frecuenci</v>
      </c>
      <c r="C39">
        <v>499548.35</v>
      </c>
      <c r="D39">
        <v>0</v>
      </c>
      <c r="E39">
        <v>0</v>
      </c>
      <c r="F39">
        <f>+C39+D39-E39</f>
        <v>499548.35</v>
      </c>
      <c r="G39">
        <v>0</v>
      </c>
      <c r="H39">
        <f>+F39-G39</f>
        <v>499548.35</v>
      </c>
      <c r="I39">
        <v>0</v>
      </c>
    </row>
    <row r="40">
      <c r="A40">
        <v>1311100000</v>
      </c>
      <c r="B40" t="str">
        <v>Derechos de Salubridad e Higiene</v>
      </c>
      <c r="C40">
        <v>269381.93</v>
      </c>
      <c r="D40">
        <v>0</v>
      </c>
      <c r="E40">
        <v>0</v>
      </c>
      <c r="F40">
        <f>+C40+D40-E40</f>
        <v>269381.93</v>
      </c>
      <c r="G40">
        <v>70357.05</v>
      </c>
      <c r="H40">
        <f>+F40-G40</f>
        <v>199024.88</v>
      </c>
      <c r="I40">
        <v>34694.45</v>
      </c>
    </row>
    <row r="41">
      <c r="A41">
        <v>1311200000</v>
      </c>
      <c r="B41" t="str">
        <v>Derechos de Ocupación de Espacios P</v>
      </c>
      <c r="C41">
        <v>39356468.43</v>
      </c>
      <c r="D41">
        <v>0</v>
      </c>
      <c r="E41">
        <v>0</v>
      </c>
      <c r="F41">
        <f>+C41+D41-E41</f>
        <v>39356468.43</v>
      </c>
      <c r="G41">
        <v>8764288.62</v>
      </c>
      <c r="H41">
        <f>+F41-G41</f>
        <v>30592179.810000002</v>
      </c>
      <c r="I41">
        <v>5553139.53</v>
      </c>
    </row>
    <row r="42">
      <c r="A42">
        <v>1311201000</v>
      </c>
      <c r="B42" t="str">
        <v xml:space="preserve">Derechos de Ocupación de Espacios Playon </v>
      </c>
      <c r="C42">
        <v>2712837.84</v>
      </c>
      <c r="D42">
        <v>0</v>
      </c>
      <c r="E42">
        <v>0</v>
      </c>
      <c r="F42">
        <f>+C42+D42-E42</f>
        <v>2712837.84</v>
      </c>
      <c r="G42">
        <v>334967.27</v>
      </c>
      <c r="H42">
        <f>+F42-G42</f>
        <v>2377870.57</v>
      </c>
      <c r="I42">
        <v>176247.27</v>
      </c>
    </row>
    <row r="43">
      <c r="A43">
        <v>1311301000</v>
      </c>
      <c r="B43" t="str">
        <v>Servicios Prop. Raíz Ej. Vencidos</v>
      </c>
      <c r="C43">
        <v>120247377.27</v>
      </c>
      <c r="D43">
        <v>0</v>
      </c>
      <c r="E43">
        <v>0</v>
      </c>
      <c r="F43">
        <f>+C43+D43-E43</f>
        <v>120247377.27</v>
      </c>
      <c r="G43">
        <v>0</v>
      </c>
      <c r="H43">
        <f>+F43-G43</f>
        <v>120247377.27</v>
      </c>
      <c r="I43">
        <v>-323351.94</v>
      </c>
    </row>
    <row r="44">
      <c r="A44">
        <v>1311302000</v>
      </c>
      <c r="B44" t="str">
        <v>Comercio e Industria Ej. Vencidos</v>
      </c>
      <c r="C44">
        <v>119565689.76</v>
      </c>
      <c r="D44">
        <v>0</v>
      </c>
      <c r="E44">
        <v>0</v>
      </c>
      <c r="F44">
        <f>+C44+D44-E44</f>
        <v>119565689.76</v>
      </c>
      <c r="G44">
        <v>0.04</v>
      </c>
      <c r="H44">
        <f>+F44-G44</f>
        <v>119565689.72</v>
      </c>
      <c r="I44">
        <v>-110073.25</v>
      </c>
    </row>
    <row r="45">
      <c r="A45">
        <v>1311303000</v>
      </c>
      <c r="B45" t="str">
        <v>Cementerio Vencidos</v>
      </c>
      <c r="C45">
        <v>982728.03</v>
      </c>
      <c r="D45">
        <v>0</v>
      </c>
      <c r="E45">
        <v>0</v>
      </c>
      <c r="F45">
        <f>+C45+D45-E45</f>
        <v>982728.03</v>
      </c>
      <c r="G45">
        <v>0</v>
      </c>
      <c r="H45">
        <f>+F45-G45</f>
        <v>982728.03</v>
      </c>
      <c r="I45">
        <v>-32446.31</v>
      </c>
    </row>
    <row r="46">
      <c r="A46">
        <v>1311500000</v>
      </c>
      <c r="B46" t="str">
        <v xml:space="preserve">Derechos de Verificación y Habilitación de Estructura de Antenas    </v>
      </c>
      <c r="C46">
        <v>11034752.41</v>
      </c>
      <c r="D46">
        <v>0</v>
      </c>
      <c r="E46">
        <v>0</v>
      </c>
      <c r="F46">
        <f>+C46+D46-E46</f>
        <v>11034752.41</v>
      </c>
      <c r="G46">
        <v>11673701.5</v>
      </c>
      <c r="H46">
        <f>+F46-G46</f>
        <v>-638949.0899999999</v>
      </c>
      <c r="I46">
        <v>11673701.5</v>
      </c>
    </row>
    <row r="47">
      <c r="A47">
        <v>1320100000</v>
      </c>
      <c r="B47" t="str">
        <v>Multas Generales</v>
      </c>
      <c r="C47">
        <v>12946369.44</v>
      </c>
      <c r="D47">
        <v>0</v>
      </c>
      <c r="E47">
        <v>0</v>
      </c>
      <c r="F47">
        <f>+C47+D47-E47</f>
        <v>12946369.44</v>
      </c>
      <c r="G47">
        <v>5573043.35</v>
      </c>
      <c r="H47">
        <f>+F47-G47</f>
        <v>7373326.09</v>
      </c>
      <c r="I47">
        <v>2072546.03</v>
      </c>
    </row>
    <row r="48">
      <c r="A48">
        <v>1320100001</v>
      </c>
      <c r="B48" t="str">
        <v>Multas Juzgado Vial</v>
      </c>
      <c r="C48">
        <v>0</v>
      </c>
      <c r="D48">
        <v>0</v>
      </c>
      <c r="E48">
        <v>0</v>
      </c>
      <c r="F48">
        <f>+C48+D48-E48</f>
        <v>0</v>
      </c>
      <c r="G48">
        <v>3221841.31</v>
      </c>
      <c r="H48">
        <f>+F48-G48</f>
        <v>-3221841.31</v>
      </c>
      <c r="I48">
        <v>1728785.89</v>
      </c>
    </row>
    <row r="49">
      <c r="A49">
        <v>1320100002</v>
      </c>
      <c r="B49" t="str">
        <v>Ingreso por Servicios de Control de Velocidad</v>
      </c>
      <c r="C49">
        <v>0</v>
      </c>
      <c r="D49">
        <v>0</v>
      </c>
      <c r="E49">
        <v>0</v>
      </c>
      <c r="F49">
        <f>+C49+D49-E49</f>
        <v>0</v>
      </c>
      <c r="G49">
        <v>14156276.7</v>
      </c>
      <c r="H49">
        <f>+F49-G49</f>
        <v>-14156276.7</v>
      </c>
      <c r="I49">
        <v>8351218.8</v>
      </c>
    </row>
    <row r="50">
      <c r="A50">
        <v>1320100003</v>
      </c>
      <c r="B50" t="str">
        <v>Ingreso Servicios de Control de Velocidad con Resolucion</v>
      </c>
      <c r="C50">
        <v>0</v>
      </c>
      <c r="D50">
        <v>0</v>
      </c>
      <c r="E50">
        <v>0</v>
      </c>
      <c r="F50">
        <f>+C50+D50-E50</f>
        <v>0</v>
      </c>
      <c r="G50">
        <v>990550</v>
      </c>
      <c r="H50">
        <f>+F50-G50</f>
        <v>-990550</v>
      </c>
      <c r="I50">
        <v>202000</v>
      </c>
    </row>
    <row r="51">
      <c r="A51">
        <v>1320200000</v>
      </c>
      <c r="B51" t="str">
        <v>Intereses y Recargos</v>
      </c>
      <c r="C51">
        <v>126802242.69</v>
      </c>
      <c r="D51">
        <v>0</v>
      </c>
      <c r="E51">
        <v>0</v>
      </c>
      <c r="F51">
        <f>+C51+D51-E51</f>
        <v>126802242.69</v>
      </c>
      <c r="G51">
        <v>24719904.15</v>
      </c>
      <c r="H51">
        <f>+F51-G51</f>
        <v>102082338.53999999</v>
      </c>
      <c r="I51">
        <v>12246721.79</v>
      </c>
    </row>
    <row r="52">
      <c r="A52">
        <v>1320201000</v>
      </c>
      <c r="B52" t="str">
        <v xml:space="preserve">Intereses Ganados Plazo Fijo                                        </v>
      </c>
      <c r="C52">
        <v>482207690.71</v>
      </c>
      <c r="D52">
        <v>0</v>
      </c>
      <c r="E52">
        <v>0</v>
      </c>
      <c r="F52">
        <f>+C52+D52-E52</f>
        <v>482207690.71</v>
      </c>
      <c r="G52">
        <v>384284499.82</v>
      </c>
      <c r="H52">
        <f>+F52-G52</f>
        <v>97923190.88999999</v>
      </c>
      <c r="I52">
        <v>211876589.21</v>
      </c>
    </row>
    <row r="53">
      <c r="A53">
        <v>1320202000</v>
      </c>
      <c r="B53" t="str">
        <v>ingresos Eventuales Municipales</v>
      </c>
      <c r="C53">
        <v>5627543.53</v>
      </c>
      <c r="D53">
        <v>0</v>
      </c>
      <c r="E53">
        <v>0</v>
      </c>
      <c r="F53">
        <f>+C53+D53-E53</f>
        <v>5627543.53</v>
      </c>
      <c r="G53">
        <v>0</v>
      </c>
      <c r="H53">
        <f>+F53-G53</f>
        <v>5627543.53</v>
      </c>
      <c r="I53">
        <v>0</v>
      </c>
    </row>
    <row r="54">
      <c r="A54">
        <v>1320300000</v>
      </c>
      <c r="B54" t="str">
        <v>Concesion Servicio de emision Lic de Conducir</v>
      </c>
      <c r="C54">
        <v>77498499.83</v>
      </c>
      <c r="D54">
        <v>0</v>
      </c>
      <c r="E54">
        <v>0</v>
      </c>
      <c r="F54">
        <f>+C54+D54-E54</f>
        <v>77498499.83</v>
      </c>
      <c r="G54">
        <v>18984200</v>
      </c>
      <c r="H54">
        <f>+F54-G54</f>
        <v>58514299.83</v>
      </c>
      <c r="I54">
        <v>8334800</v>
      </c>
    </row>
    <row r="55">
      <c r="A55">
        <v>1320401000</v>
      </c>
      <c r="B55" t="str">
        <v>Cultura y Educación</v>
      </c>
      <c r="C55">
        <v>1089091.89</v>
      </c>
      <c r="D55">
        <v>0</v>
      </c>
      <c r="E55">
        <v>0</v>
      </c>
      <c r="F55">
        <f>+C55+D55-E55</f>
        <v>1089091.89</v>
      </c>
      <c r="G55">
        <v>153748</v>
      </c>
      <c r="H55">
        <f>+F55-G55</f>
        <v>935343.8899999999</v>
      </c>
      <c r="I55">
        <v>68204</v>
      </c>
    </row>
    <row r="56">
      <c r="A56">
        <v>1320600000</v>
      </c>
      <c r="B56" t="str">
        <v xml:space="preserve">Producido de actividades gestión de cobranza                        </v>
      </c>
      <c r="C56">
        <v>0</v>
      </c>
      <c r="D56">
        <v>0</v>
      </c>
      <c r="E56">
        <v>0</v>
      </c>
      <c r="F56">
        <f>+C56+D56-E56</f>
        <v>0</v>
      </c>
      <c r="G56">
        <v>520799.75</v>
      </c>
      <c r="H56">
        <f>+F56-G56</f>
        <v>-520799.75</v>
      </c>
      <c r="I56">
        <v>337215.74</v>
      </c>
    </row>
    <row r="57">
      <c r="A57">
        <v>1320700000</v>
      </c>
      <c r="B57" t="str">
        <v>Producido de actividades especiales</v>
      </c>
      <c r="C57">
        <v>6538358.79</v>
      </c>
      <c r="D57">
        <v>0</v>
      </c>
      <c r="E57">
        <v>0</v>
      </c>
      <c r="F57">
        <f>+C57+D57-E57</f>
        <v>6538358.79</v>
      </c>
      <c r="G57">
        <v>2651258.84</v>
      </c>
      <c r="H57">
        <f>+F57-G57</f>
        <v>3887099.95</v>
      </c>
      <c r="I57">
        <v>1252050.35</v>
      </c>
    </row>
    <row r="58">
      <c r="A58">
        <v>1320701000</v>
      </c>
      <c r="B58" t="str">
        <v>Atmosférico</v>
      </c>
      <c r="C58">
        <v>1786944.76</v>
      </c>
      <c r="D58">
        <v>0</v>
      </c>
      <c r="E58">
        <v>0</v>
      </c>
      <c r="F58">
        <f>+C58+D58-E58</f>
        <v>1786944.76</v>
      </c>
      <c r="G58">
        <v>500881.47</v>
      </c>
      <c r="H58">
        <f>+F58-G58</f>
        <v>1286063.29</v>
      </c>
      <c r="I58">
        <v>270629.7</v>
      </c>
    </row>
    <row r="59">
      <c r="A59">
        <v>1320704000</v>
      </c>
      <c r="B59" t="str">
        <v xml:space="preserve">Sistema de Alarma Comunitaria                                       </v>
      </c>
      <c r="C59">
        <v>0</v>
      </c>
      <c r="D59">
        <v>0</v>
      </c>
      <c r="E59">
        <v>0</v>
      </c>
      <c r="F59">
        <v>0</v>
      </c>
      <c r="G59">
        <v>191160</v>
      </c>
      <c r="H59">
        <f>+F59-G59</f>
        <v>-191160</v>
      </c>
      <c r="I59">
        <v>191160</v>
      </c>
    </row>
    <row r="60">
      <c r="A60">
        <v>1320800000</v>
      </c>
      <c r="B60" t="str">
        <v>Reintegro ART x Incapacidad Laboral</v>
      </c>
      <c r="C60">
        <v>4442143.68</v>
      </c>
      <c r="D60">
        <v>0</v>
      </c>
      <c r="E60">
        <v>0</v>
      </c>
      <c r="F60">
        <f>+C60+D60-E60</f>
        <v>4442143.68</v>
      </c>
      <c r="G60">
        <v>0</v>
      </c>
      <c r="H60">
        <f>+F60-G60</f>
        <v>4442143.68</v>
      </c>
      <c r="I60">
        <v>-4668893.95</v>
      </c>
    </row>
    <row r="61">
      <c r="A61">
        <v>1321100000</v>
      </c>
      <c r="B61" t="str">
        <v>Ingresos Agentes Financieros</v>
      </c>
      <c r="C61">
        <v>0</v>
      </c>
      <c r="D61">
        <v>0</v>
      </c>
      <c r="E61">
        <v>0</v>
      </c>
      <c r="F61">
        <f>+C61+D61-E61</f>
        <v>0</v>
      </c>
      <c r="G61">
        <v>43508698.01</v>
      </c>
      <c r="H61">
        <f>+F61-G61</f>
        <v>-43508698.01</v>
      </c>
      <c r="I61">
        <v>17307504.01</v>
      </c>
    </row>
    <row r="62">
      <c r="A62">
        <v>1321200000</v>
      </c>
      <c r="B62" t="str">
        <v xml:space="preserve">Cargo por Alumbrado Publico                                         </v>
      </c>
      <c r="C62">
        <v>0</v>
      </c>
      <c r="D62">
        <v>0</v>
      </c>
      <c r="E62">
        <v>0</v>
      </c>
      <c r="F62">
        <f>+C62+D62-E62</f>
        <v>0</v>
      </c>
      <c r="G62">
        <v>11642156.96</v>
      </c>
      <c r="H62">
        <f>+F62-G62</f>
        <v>-11642156.96</v>
      </c>
      <c r="I62">
        <v>5414728.08</v>
      </c>
    </row>
    <row r="63">
      <c r="A63">
        <v>1321700000</v>
      </c>
      <c r="B63" t="str">
        <v xml:space="preserve">Producido de la actividad Turística                                 </v>
      </c>
      <c r="C63">
        <v>0</v>
      </c>
      <c r="D63">
        <v>0</v>
      </c>
      <c r="E63">
        <v>0</v>
      </c>
      <c r="F63">
        <v>0</v>
      </c>
      <c r="G63">
        <v>2215000</v>
      </c>
      <c r="H63">
        <f>+F63-G63</f>
        <v>-2215000</v>
      </c>
      <c r="I63">
        <v>0</v>
      </c>
    </row>
    <row r="64">
      <c r="A64">
        <v>2210100000</v>
      </c>
      <c r="B64" t="str">
        <v>Reembolsos Pavimento</v>
      </c>
      <c r="C64">
        <v>0</v>
      </c>
      <c r="D64">
        <v>0</v>
      </c>
      <c r="E64">
        <v>0</v>
      </c>
      <c r="F64">
        <f>+C64+D64-E64</f>
        <v>0</v>
      </c>
      <c r="G64">
        <v>624391.03</v>
      </c>
      <c r="H64">
        <f>+F64-G64</f>
        <v>-624391.03</v>
      </c>
      <c r="I64">
        <v>270367.77</v>
      </c>
    </row>
    <row r="65">
      <c r="A65">
        <v>2210101000</v>
      </c>
      <c r="B65" t="str">
        <v>Reembolso Obras de Asfalto</v>
      </c>
      <c r="C65">
        <v>2000000</v>
      </c>
      <c r="D65">
        <v>0</v>
      </c>
      <c r="E65">
        <v>0</v>
      </c>
      <c r="F65">
        <f>+C65+D65-E65</f>
        <v>2000000</v>
      </c>
      <c r="G65">
        <v>0</v>
      </c>
      <c r="H65">
        <f>+F65-G65</f>
        <v>2000000</v>
      </c>
      <c r="I65">
        <v>0</v>
      </c>
    </row>
    <row r="66">
      <c r="A66">
        <v>2210801000</v>
      </c>
      <c r="B66" t="str">
        <v>Reemb. Ej. Vdos. Pavimento</v>
      </c>
      <c r="C66">
        <v>0</v>
      </c>
      <c r="D66">
        <v>0</v>
      </c>
      <c r="E66">
        <v>0</v>
      </c>
      <c r="F66">
        <f>+C66+D66-E66</f>
        <v>0</v>
      </c>
      <c r="G66">
        <v>3768.49</v>
      </c>
      <c r="H66">
        <f>+F66-G66</f>
        <v>-3768.49</v>
      </c>
      <c r="I66">
        <v>230.18</v>
      </c>
    </row>
    <row r="67">
      <c r="A67">
        <v>2210806000</v>
      </c>
      <c r="B67" t="str">
        <v>Reemb. Ej. Vdos. Red Dist. Gas</v>
      </c>
      <c r="C67">
        <v>0</v>
      </c>
      <c r="D67">
        <v>0</v>
      </c>
      <c r="E67">
        <v>0</v>
      </c>
      <c r="F67">
        <f>+C67+D67-E67</f>
        <v>0</v>
      </c>
      <c r="G67">
        <v>0</v>
      </c>
      <c r="H67">
        <f>+F67-G67</f>
        <v>0</v>
      </c>
      <c r="I67">
        <v>0</v>
      </c>
    </row>
    <row r="68">
      <c r="A68">
        <v>2210802000</v>
      </c>
      <c r="B68" t="str">
        <v xml:space="preserve">Reemb. Ej. Vdos. Alumbrado Público                                  </v>
      </c>
      <c r="C68">
        <v>0</v>
      </c>
      <c r="D68">
        <v>0</v>
      </c>
      <c r="E68">
        <v>0</v>
      </c>
      <c r="F68">
        <f>+C68+D68-E68</f>
        <v>0</v>
      </c>
      <c r="G68">
        <v>52.5</v>
      </c>
      <c r="H68">
        <f>+F68-G68</f>
        <v>-52.5</v>
      </c>
      <c r="I68">
        <v>0</v>
      </c>
    </row>
    <row r="69">
      <c r="A69">
        <v>2210803000</v>
      </c>
      <c r="B69" t="str">
        <v xml:space="preserve">Reemb. Ej. Vdos. Red Cloacal                                        </v>
      </c>
      <c r="C69">
        <v>0</v>
      </c>
      <c r="D69">
        <v>0</v>
      </c>
      <c r="E69">
        <v>0</v>
      </c>
      <c r="F69">
        <f>+C69+D69-E69</f>
        <v>0</v>
      </c>
      <c r="G69">
        <v>33.34</v>
      </c>
      <c r="H69">
        <f>+F69-G69</f>
        <v>-33.34</v>
      </c>
      <c r="I69">
        <v>0</v>
      </c>
    </row>
    <row r="70">
      <c r="A70">
        <v>2210805000</v>
      </c>
      <c r="B70" t="str">
        <v xml:space="preserve">Reemb. Ej. Vdos. Obras Varias                                       </v>
      </c>
      <c r="C70">
        <v>0</v>
      </c>
      <c r="D70">
        <v>0</v>
      </c>
      <c r="E70">
        <v>0</v>
      </c>
      <c r="F70">
        <f>+C70+D70-E70</f>
        <v>0</v>
      </c>
      <c r="G70">
        <v>1160.58</v>
      </c>
      <c r="H70">
        <f>+F70-G70</f>
        <v>-1160.58</v>
      </c>
      <c r="I70">
        <v>0</v>
      </c>
    </row>
    <row r="71">
      <c r="A71">
        <v>2210806000</v>
      </c>
      <c r="B71" t="str">
        <v xml:space="preserve">Reemb. Ej. Vdos. Red Dist. Gas                                      </v>
      </c>
      <c r="C71">
        <v>0</v>
      </c>
      <c r="D71">
        <v>0</v>
      </c>
      <c r="E71">
        <v>0</v>
      </c>
      <c r="F71">
        <f>+C67+D67-E67</f>
        <v>0</v>
      </c>
      <c r="G71">
        <v>1154.01</v>
      </c>
      <c r="H71">
        <f>+F71-G71</f>
        <v>-1154.01</v>
      </c>
      <c r="I71">
        <v>0</v>
      </c>
    </row>
    <row r="72">
      <c r="A72">
        <v>7110601000</v>
      </c>
      <c r="B72" t="str">
        <v>Emprestitos Publicos</v>
      </c>
      <c r="C72">
        <v>300000000</v>
      </c>
      <c r="D72">
        <v>0</v>
      </c>
      <c r="E72">
        <v>0</v>
      </c>
      <c r="F72">
        <f>+C72+D72-E72</f>
        <v>300000000</v>
      </c>
      <c r="G72">
        <v>2267150</v>
      </c>
      <c r="H72">
        <f>+F72-G72</f>
        <v>297732850</v>
      </c>
      <c r="I72">
        <v>2267150</v>
      </c>
    </row>
    <row r="73">
      <c r="A73">
        <v>7290400000</v>
      </c>
      <c r="B73" t="str">
        <v>Aporte no Reintegrable Provincial para Obra Pública</v>
      </c>
      <c r="C73">
        <v>0</v>
      </c>
      <c r="D73">
        <v>0</v>
      </c>
      <c r="E73">
        <v>0</v>
      </c>
      <c r="F73">
        <f>+C73+D73-E73</f>
        <v>0</v>
      </c>
      <c r="G73">
        <v>0</v>
      </c>
      <c r="H73">
        <f>+F73-G73</f>
        <v>0</v>
      </c>
      <c r="I73">
        <v>0</v>
      </c>
    </row>
    <row r="74">
      <c r="A74">
        <v>7290500000</v>
      </c>
      <c r="B74" t="str">
        <v>Aportes no Reintegrables Nacion p/obra publica</v>
      </c>
      <c r="C74">
        <v>0</v>
      </c>
      <c r="D74">
        <v>0</v>
      </c>
      <c r="E74">
        <v>0</v>
      </c>
      <c r="F74">
        <f>+C74+D74-E74</f>
        <v>0</v>
      </c>
      <c r="G74">
        <v>0</v>
      </c>
      <c r="H74">
        <f>+F74-G74</f>
        <v>0</v>
      </c>
      <c r="I74">
        <v>0</v>
      </c>
    </row>
    <row r="75">
      <c r="A75">
        <v>7460000000</v>
      </c>
      <c r="B75" t="str">
        <v>Remanente ejec anterior</v>
      </c>
      <c r="C75">
        <v>400000000</v>
      </c>
      <c r="D75">
        <v>525842662.59</v>
      </c>
      <c r="E75">
        <v>0</v>
      </c>
      <c r="F75">
        <f>+C75+D75-E75</f>
        <v>925842662.5899999</v>
      </c>
      <c r="G75">
        <v>0</v>
      </c>
      <c r="H75">
        <f>+F75-G75</f>
        <v>925842662.5899999</v>
      </c>
      <c r="I75">
        <v>0</v>
      </c>
    </row>
    <row r="76">
      <c r="A76">
        <v>7460000194</v>
      </c>
      <c r="B76" t="str">
        <v xml:space="preserve">Remanente Fondos Nacionales </v>
      </c>
      <c r="C76">
        <v>0</v>
      </c>
      <c r="D76">
        <v>2666661</v>
      </c>
      <c r="E76">
        <v>0</v>
      </c>
      <c r="F76">
        <f>+C76+D76-E76</f>
        <v>2666661</v>
      </c>
      <c r="G76">
        <v>0</v>
      </c>
      <c r="H76">
        <f>+F76-G76</f>
        <v>2666661</v>
      </c>
      <c r="I76">
        <v>0</v>
      </c>
    </row>
    <row r="77">
      <c r="A77">
        <v>7460000195</v>
      </c>
      <c r="B77" t="str">
        <v>Remanente Fondos Provinciales</v>
      </c>
      <c r="C77">
        <v>0</v>
      </c>
      <c r="D77">
        <v>55400698.56</v>
      </c>
      <c r="E77">
        <v>0</v>
      </c>
      <c r="F77">
        <f>+C77+D77-E77</f>
        <v>55400698.56</v>
      </c>
      <c r="G77">
        <v>0</v>
      </c>
      <c r="H77">
        <f>+F77-G77</f>
        <v>55400698.56</v>
      </c>
      <c r="I77">
        <v>0</v>
      </c>
    </row>
    <row r="78">
      <c r="A78">
        <v>7460000214</v>
      </c>
      <c r="B78" t="str">
        <v xml:space="preserve">Remanente Fondos Ley 26075 Financiamiento Educativo.                </v>
      </c>
      <c r="C78">
        <v>0</v>
      </c>
      <c r="D78">
        <v>274569082.68</v>
      </c>
      <c r="E78">
        <v>0</v>
      </c>
      <c r="F78">
        <f>+C78+D78-E78</f>
        <v>274569082.68</v>
      </c>
      <c r="G78">
        <v>0</v>
      </c>
      <c r="H78">
        <f>+F78-G78</f>
        <v>274569082.68</v>
      </c>
      <c r="I78">
        <v>0</v>
      </c>
    </row>
    <row r="79">
      <c r="A79" t="str">
        <v>TOTAL</v>
      </c>
      <c r="C79">
        <f>SUM(C13:C78)</f>
        <v>10283692040.000004</v>
      </c>
      <c r="D79">
        <f>SUM(D13:D78)</f>
        <v>3294299098.26</v>
      </c>
      <c r="E79">
        <f>SUM(E13:E78)</f>
        <v>0</v>
      </c>
      <c r="F79">
        <f>SUM(F13:F78)</f>
        <v>13577991138.260008</v>
      </c>
      <c r="G79">
        <f>SUM(G13:G78)</f>
        <v>4484368414.260001</v>
      </c>
      <c r="H79">
        <f>SUM(H13:H78)</f>
        <v>9093622724</v>
      </c>
      <c r="I79">
        <f>SUM(I13:I78)</f>
        <v>2637451517.42</v>
      </c>
    </row>
  </sheetData>
  <mergeCells count="7">
    <mergeCell ref="A79:B79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2023</v>
      </c>
      <c r="D6" t="str">
        <f>+'ANEXO 1'!G8</f>
        <v>TRIMESTRE: 2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2634913769.47</v>
      </c>
      <c r="D12">
        <v>2395423009.9994993</v>
      </c>
      <c r="E12">
        <f>+C12-D12</f>
        <v>239490759.47050047</v>
      </c>
    </row>
    <row r="13">
      <c r="A13" t="str">
        <v>II</v>
      </c>
      <c r="B13" t="str">
        <v>GASTOS CORRIENTES</v>
      </c>
      <c r="C13">
        <v>1962640620.79</v>
      </c>
      <c r="D13">
        <v>1750803370.25</v>
      </c>
      <c r="E13">
        <f>+C13-D13</f>
        <v>211837250.53999996</v>
      </c>
    </row>
    <row r="14">
      <c r="A14" t="str">
        <v>III</v>
      </c>
      <c r="B14" t="str">
        <v>RDO. ECCO: AHORRO/DESARROLLO (I-II)</v>
      </c>
      <c r="C14">
        <f>+C12-C13</f>
        <v>672273148.6799998</v>
      </c>
      <c r="D14">
        <f>+D12-D13</f>
        <v>644619639.7494993</v>
      </c>
      <c r="E14">
        <f>+E12-E13</f>
        <v>27653508.930500507</v>
      </c>
    </row>
    <row r="15">
      <c r="A15" t="str">
        <v>IV</v>
      </c>
      <c r="B15" t="str">
        <v>RECURSOS DE CAPITAL</v>
      </c>
      <c r="C15">
        <v>270597.95</v>
      </c>
      <c r="D15">
        <v>500000</v>
      </c>
      <c r="E15">
        <f>+C15-D15</f>
        <v>-229402.05</v>
      </c>
    </row>
    <row r="16">
      <c r="A16" t="str">
        <v>V</v>
      </c>
      <c r="B16" t="str">
        <v>GASTOS DE CAPITAL</v>
      </c>
      <c r="C16">
        <v>986947105.27</v>
      </c>
      <c r="D16">
        <v>773330384.5</v>
      </c>
      <c r="E16">
        <f>+C16-D16</f>
        <v>213616720.76999998</v>
      </c>
    </row>
    <row r="17">
      <c r="A17" t="str">
        <v>VI</v>
      </c>
      <c r="B17" t="str">
        <v>EXCEDENTE ANTES TRANSF. FIGURATIVAS (III+IV-V)</v>
      </c>
      <c r="C17">
        <f>+C14+C15-C16</f>
        <v>-314403358.6400001</v>
      </c>
      <c r="D17">
        <f>+D14+D15-D16</f>
        <v>-128210744.75050068</v>
      </c>
      <c r="E17">
        <f>+E14+E15-E16</f>
        <v>-186192613.8894995</v>
      </c>
    </row>
    <row r="18">
      <c r="B18" t="str">
        <v>TOTAL RECURSOS (I+IV)</v>
      </c>
      <c r="C18">
        <f>+C12+C15</f>
        <v>2635184367.4199996</v>
      </c>
      <c r="D18">
        <f>+D12+D15</f>
        <v>2395923009.9994993</v>
      </c>
      <c r="E18">
        <f>+E12+E15</f>
        <v>239261357.42050046</v>
      </c>
    </row>
    <row r="19">
      <c r="B19" t="str">
        <v>TOTAL GASTOS (II+V)</v>
      </c>
      <c r="C19">
        <f>+C13+C16</f>
        <v>2949587726.06</v>
      </c>
      <c r="D19">
        <f>+D13+D16</f>
        <v>2524133754.75</v>
      </c>
      <c r="E19">
        <f>+E13+E16</f>
        <v>425453971.30999994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-314403358.6400001</v>
      </c>
      <c r="D22">
        <f>+D17+D20-D21</f>
        <v>-128210744.75050068</v>
      </c>
      <c r="E22">
        <f>+E17+E20-E21</f>
        <v>-186192613.8894995</v>
      </c>
    </row>
    <row r="23">
      <c r="A23" t="str">
        <v>X</v>
      </c>
      <c r="B23" t="str">
        <v>FUENTES DE FINANCIAMIENTO</v>
      </c>
      <c r="C23">
        <v>2267150</v>
      </c>
      <c r="D23">
        <v>175000000</v>
      </c>
      <c r="E23">
        <f>+C23-D23</f>
        <v>-172732850</v>
      </c>
    </row>
    <row r="24">
      <c r="A24" t="str">
        <v>XI</v>
      </c>
      <c r="B24" t="str">
        <v>APLICACIONES FINANCIERAS</v>
      </c>
      <c r="C24">
        <v>27527292.88</v>
      </c>
      <c r="D24">
        <v>46789255.25</v>
      </c>
      <c r="E24">
        <f>+C24-D24</f>
        <v>-19261962.37</v>
      </c>
    </row>
    <row r="25">
      <c r="A25" t="str">
        <v>XII</v>
      </c>
      <c r="B25" t="str">
        <v>FINANCIAMIENTO NETO (X-XI)</v>
      </c>
      <c r="C25">
        <f>+C23-C24</f>
        <v>-25260142.88</v>
      </c>
      <c r="D25">
        <f>+D23-D24</f>
        <v>128210744.75</v>
      </c>
      <c r="E25">
        <f>+E23-E24</f>
        <v>-153470887.63</v>
      </c>
    </row>
    <row r="26">
      <c r="A26" t="str">
        <v>XIII</v>
      </c>
      <c r="B26" t="str">
        <v>RESULTADO FINANCIERO (VI+XII)</v>
      </c>
      <c r="C26">
        <f>+C17+C25</f>
        <v>-339663501.5200001</v>
      </c>
      <c r="D26">
        <f>+D17+D25</f>
        <v>-0.0005006790161132812</v>
      </c>
      <c r="E26">
        <f>+E17+E25</f>
        <v>-339663501.5194995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4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28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2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-B16-C16+D16-E16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-B17-C17+D17-E17</f>
        <v>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-B18-C18+D18-E18</f>
        <v>109018.29</v>
      </c>
    </row>
    <row r="19">
      <c r="A19" t="str">
        <v>Préstamo BID.BIRF (1)</v>
      </c>
      <c r="B19">
        <v>0</v>
      </c>
      <c r="C19">
        <v>0</v>
      </c>
      <c r="D19">
        <v>0</v>
      </c>
      <c r="E19">
        <v>0</v>
      </c>
      <c r="F19">
        <f>-B19-C19+D19-E19</f>
        <v>0</v>
      </c>
    </row>
    <row r="20">
      <c r="A20" t="str">
        <v>Préstamo I.P.V. para Compra de Terreno</v>
      </c>
      <c r="B20">
        <v>-8571869.74</v>
      </c>
      <c r="C20">
        <v>301635.18</v>
      </c>
      <c r="D20">
        <v>0</v>
      </c>
      <c r="E20">
        <v>0</v>
      </c>
      <c r="F20">
        <f>-B20-C20+D20-E20</f>
        <v>8270234.5600000005</v>
      </c>
      <c r="G20" t="str">
        <v>RESOLUCIÓN</v>
      </c>
      <c r="H20" t="str">
        <v>198/2013</v>
      </c>
    </row>
    <row r="21">
      <c r="A21" t="str">
        <v>Conv.Dpto.Gral.Irrig-Aguas Subt.y Superf.</v>
      </c>
      <c r="B21">
        <v>0</v>
      </c>
      <c r="C21">
        <v>0</v>
      </c>
      <c r="D21">
        <v>0</v>
      </c>
      <c r="E21">
        <v>0</v>
      </c>
      <c r="F21">
        <f>-B21-C21+D21-E21</f>
        <v>0</v>
      </c>
    </row>
    <row r="22">
      <c r="A22" t="str">
        <v>Préstamo Ley Nº8873/2016 Fondos Anses</v>
      </c>
      <c r="B22">
        <v>-22560501.56</v>
      </c>
      <c r="C22">
        <v>22560501.56</v>
      </c>
      <c r="D22">
        <v>0</v>
      </c>
      <c r="E22">
        <v>0</v>
      </c>
      <c r="F22">
        <f>-B22-C22+D22-E22</f>
        <v>0</v>
      </c>
      <c r="G22" t="str">
        <v>LEY</v>
      </c>
      <c r="H22" t="str">
        <v>8873/2016</v>
      </c>
    </row>
    <row r="23">
      <c r="A23" t="str">
        <v>Prest. Ley 8930 Art.42 Inc.d  Equipamiento Vial</v>
      </c>
      <c r="B23">
        <v>-1393868.06</v>
      </c>
      <c r="C23">
        <v>1393868.06</v>
      </c>
      <c r="D23">
        <v>0</v>
      </c>
      <c r="E23">
        <v>0</v>
      </c>
      <c r="F23">
        <f>-B23-C23+D23-E23</f>
        <v>0</v>
      </c>
      <c r="G23" t="str">
        <v>LEY</v>
      </c>
      <c r="H23" t="str">
        <v>8930/2016</v>
      </c>
    </row>
    <row r="24">
      <c r="A24" t="str">
        <v>Prest. Ley 9033 Art.44 Mejoram. Alumbrado Pco.</v>
      </c>
      <c r="B24">
        <v>-16757121.97</v>
      </c>
      <c r="C24">
        <v>2355371.07</v>
      </c>
      <c r="D24">
        <v>0</v>
      </c>
      <c r="E24">
        <v>0</v>
      </c>
      <c r="F24">
        <f>-B24-C24+D24-E24</f>
        <v>14401750.9</v>
      </c>
      <c r="G24" t="str">
        <v>LEY</v>
      </c>
      <c r="H24" t="str">
        <v>9033/2017</v>
      </c>
    </row>
    <row r="25">
      <c r="A25" t="str">
        <v xml:space="preserve">Prestamo Proyecto Ciclovia Camino Rural Urbano         </v>
      </c>
      <c r="B25">
        <v>0</v>
      </c>
      <c r="C25">
        <v>0</v>
      </c>
      <c r="D25">
        <v>754300</v>
      </c>
      <c r="E25">
        <v>0</v>
      </c>
      <c r="F25">
        <f>-B25-C25+D25-E25</f>
        <v>754300</v>
      </c>
    </row>
    <row r="26">
      <c r="A26" t="str">
        <v>Préstamo Banco Supervielle</v>
      </c>
      <c r="B26">
        <v>0</v>
      </c>
      <c r="C26">
        <v>0</v>
      </c>
      <c r="D26">
        <v>0</v>
      </c>
      <c r="E26">
        <v>0</v>
      </c>
      <c r="F26">
        <f>-B26-C26+D26-E26</f>
        <v>0</v>
      </c>
      <c r="G26" t="str">
        <v>DECRETO</v>
      </c>
      <c r="H26" t="str">
        <v>2861/2010</v>
      </c>
    </row>
    <row r="27">
      <c r="A27" t="str">
        <v>Moneda Extranjera</v>
      </c>
      <c r="B27">
        <v>0</v>
      </c>
      <c r="C27">
        <v>0</v>
      </c>
      <c r="D27">
        <v>0</v>
      </c>
      <c r="E27">
        <v>0</v>
      </c>
      <c r="F27">
        <f>-B27-C27+D27-E27</f>
        <v>0</v>
      </c>
    </row>
    <row r="28">
      <c r="A28" t="str">
        <v>TOTALES</v>
      </c>
      <c r="B28">
        <f>SUM(B16:B27)</f>
        <v>-49516935.68</v>
      </c>
      <c r="C28">
        <f>SUM(C16:C27)</f>
        <v>26611375.869999997</v>
      </c>
      <c r="D28">
        <f>SUM(D16:D27)</f>
        <v>754300</v>
      </c>
      <c r="E28">
        <f>SUM(E16:E27)</f>
        <v>0</v>
      </c>
      <c r="F28">
        <f>SUM(F16:F27)</f>
        <v>23659859.810000002</v>
      </c>
    </row>
  </sheetData>
  <mergeCells count="4">
    <mergeCell ref="A3:I3"/>
    <mergeCell ref="A5:I5"/>
    <mergeCell ref="G10:H10"/>
    <mergeCell ref="G14:H14"/>
  </mergeCells>
  <pageMargins left="0.2" right="0.17" top="1" bottom="1" header="0" footer="0"/>
  <ignoredErrors>
    <ignoredError numberStoredAsText="1" sqref="A2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