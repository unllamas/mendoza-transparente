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" sheetId="1" r:id="rId1"/>
    <sheet name="ANEXO 2" sheetId="2" r:id="rId2"/>
    <sheet name="ANEXO 2 BIS" sheetId="3" r:id="rId3"/>
    <sheet name="ANEXO 3" sheetId="4" r:id="rId4"/>
    <sheet name="ANEXO 4" sheetId="5" r:id="rId5"/>
    <sheet name="ANEXO 5" sheetId="6" r:id="rId6"/>
  </sheets>
</workbook>
</file>

<file path=xl/comments5.xml><?xml version="1.0" encoding="utf-8"?>
<comments xmlns="http://schemas.openxmlformats.org/spreadsheetml/2006/main">
  <authors>
    <author>*</author>
  </authors>
  <commentList>
    <comment ref="F12" authorId="0">
      <text>
        <t xml:space="preserve">*:
Debe coincidir con la columna 8 INGRESADO del ANEXO 3.</t>
      </text>
    </comment>
    <comment ref="F13" authorId="0">
      <text>
        <t xml:space="preserve">*:
Debe coincidir con la columna 3 DEVENGADO del ANEXO 2 BIS.</t>
      </text>
    </comment>
    <comment ref="F15" authorId="0">
      <text>
        <t xml:space="preserve">*:
Debe coincidir con la columna 8 INGRESADO del ANEXO 3.</t>
      </text>
    </comment>
    <comment ref="F16" authorId="0">
      <text>
        <t xml:space="preserve">*:
Debe coincidir con la columna 3 DEVENGADO del ANEXO 2 BIS.</t>
      </text>
    </comment>
    <comment ref="F20" authorId="0">
      <text>
        <t xml:space="preserve">*:
Debe coincidir con la columna 8 INGRESADO del ANEXO 3.</t>
      </text>
    </comment>
    <comment ref="F21" authorId="0">
      <text>
        <t xml:space="preserve">*:
Debe coincidir con la columna 3 DEVENGADO del ANEXO 2 BIS.</t>
      </text>
    </comment>
    <comment ref="F24" authorId="0">
      <text>
        <t xml:space="preserve">*:
Se concidera como APLICACIÓN FINANCIERA, la cifra devengada en concepto de EROGACIONES PARA ATENDER LA AMORTIZACION DE DEUDAS y EROGACIONES PARA ATENDER ADELANTOS A PROVEEDORES Y CONTRATISTAS.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6">
    <numFmt numFmtId="56" formatCode="&quot;上午/下午 &quot;hh&quot;時&quot;mm&quot;分&quot;ss&quot;秒 &quot;"/>
    <numFmt numFmtId="164" formatCode="_-&quot;$&quot;\ * #,##0.00_-;\-&quot;$&quot;\ * #,##0.00_-;_-&quot;$&quot;\ * &quot;-&quot;??_-;_-@_-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[$$-2C0A]\ #,##0.00"/>
    <numFmt numFmtId="168" formatCode="00000"/>
    <numFmt numFmtId="169" formatCode="_ [$$-2C0A]\ * #,##0.00_ ;_ [$$-2C0A]\ * \-#,##0.00_ ;_ [$$-2C0A]\ * &quot;-&quot;??_ ;_ @_ "/>
    <numFmt numFmtId="170" formatCode="dd\-mm\-yyyy;@"/>
    <numFmt numFmtId="171" formatCode="d\-m\-yy;@"/>
    <numFmt numFmtId="172" formatCode="&quot;$&quot;\ #,##0.00"/>
    <numFmt numFmtId="173" formatCode="_-[$$-2C0A]\ * #,##0.00_-;\-[$$-2C0A]\ * #,##0.00_-;_-[$$-2C0A]\ * &quot;-&quot;??_-;_-@_-"/>
    <numFmt numFmtId="174" formatCode="d\-m\-yyyy;@"/>
    <numFmt numFmtId="175" formatCode="&quot;$&quot;\ #,##0.00;[Red]&quot;$&quot;\ #,##0.00"/>
    <numFmt numFmtId="176" formatCode="dd/mm/yy;@"/>
    <numFmt numFmtId="177" formatCode="dd\-mm\-yy;@"/>
    <numFmt numFmtId="178" formatCode="###,###,###,#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O76"/>
  <sheetViews>
    <sheetView workbookViewId="0"/>
  </sheetViews>
  <sheetData>
    <row r="3">
      <c r="B3" t="str">
        <v>ACUERDO Nº 3949</v>
      </c>
    </row>
    <row r="5">
      <c r="B5" t="str">
        <v>ANEXO 1: PROGRAMACION FINANCIERA  ART. 22  LEY 7314</v>
      </c>
    </row>
    <row r="7">
      <c r="B7" t="str">
        <v>REPARTICION / ORGANISMO: MUNICIPALIDAD DE GRAL SAN MARTIN</v>
      </c>
      <c r="G7" t="str">
        <v>NOMENCLADOR: 060214</v>
      </c>
    </row>
    <row r="8">
      <c r="B8" t="str">
        <v>EJERCICIO: 2024</v>
      </c>
      <c r="G8" t="str">
        <v>TRIMESTRE: 3</v>
      </c>
    </row>
    <row r="10">
      <c r="C10" t="str">
        <v>CONCEPTO</v>
      </c>
      <c r="D10" t="str">
        <v xml:space="preserve">1º </v>
      </c>
      <c r="E10" t="str">
        <v>2º</v>
      </c>
      <c r="F10" t="str">
        <v>3º</v>
      </c>
      <c r="G10" t="str">
        <v>4º</v>
      </c>
      <c r="H10" t="str">
        <v>VOTADO</v>
      </c>
    </row>
    <row r="11">
      <c r="D11" t="str">
        <v>TRIMESTRE</v>
      </c>
      <c r="E11" t="str">
        <v>TRIMESTRE</v>
      </c>
      <c r="F11" t="str">
        <v>TRIMESTRE</v>
      </c>
      <c r="G11" t="str">
        <v>TRIMESTRE</v>
      </c>
      <c r="H11" t="str">
        <v>EJERCICIO</v>
      </c>
    </row>
    <row r="12">
      <c r="C12">
        <v>1</v>
      </c>
      <c r="D12">
        <v>2</v>
      </c>
      <c r="E12">
        <v>3</v>
      </c>
      <c r="F12">
        <v>4</v>
      </c>
      <c r="G12">
        <v>5</v>
      </c>
      <c r="H12">
        <v>6</v>
      </c>
    </row>
    <row r="13">
      <c r="B13" t="str">
        <v>I</v>
      </c>
      <c r="C13" t="str">
        <v>RECURSOS CORRIENTES</v>
      </c>
      <c r="D13">
        <v>5799484354.999999</v>
      </c>
      <c r="E13">
        <v>5799484354.999999</v>
      </c>
      <c r="F13">
        <v>5799484354.999999</v>
      </c>
      <c r="G13">
        <v>5799484354.999999</v>
      </c>
      <c r="H13">
        <f>+D13+E13+F13+G13</f>
        <v>23197937419.999996</v>
      </c>
    </row>
    <row r="14">
      <c r="B14" t="str">
        <v>II</v>
      </c>
      <c r="C14" t="str">
        <v>GASTOS CORRIENTES</v>
      </c>
      <c r="D14">
        <v>4625223105</v>
      </c>
      <c r="E14">
        <v>4625223105</v>
      </c>
      <c r="F14">
        <v>4625223105</v>
      </c>
      <c r="G14">
        <v>4625223105</v>
      </c>
      <c r="H14">
        <f>+D14+E14+F14+G14</f>
        <v>18500892420</v>
      </c>
    </row>
    <row r="15">
      <c r="B15" t="str">
        <v>III</v>
      </c>
      <c r="C15" t="str">
        <v>RESULTADO ECONOMICO (I-II)</v>
      </c>
      <c r="D15">
        <f>+D13-D14</f>
        <v>1174261249.999999</v>
      </c>
      <c r="E15">
        <f>+E13-E14</f>
        <v>1174261249.999999</v>
      </c>
      <c r="F15">
        <f>+F13-F14</f>
        <v>1174261249.999999</v>
      </c>
      <c r="G15">
        <f>+G13-G14</f>
        <v>1174261249.999999</v>
      </c>
      <c r="H15">
        <f>+D15+E15+F15+G15</f>
        <v>4697044999.999996</v>
      </c>
    </row>
    <row r="16">
      <c r="B16" t="str">
        <v>IV</v>
      </c>
      <c r="C16" t="str">
        <v>RECURSOS DE CAPITAL</v>
      </c>
      <c r="D16">
        <v>2500000</v>
      </c>
      <c r="E16">
        <v>2500000</v>
      </c>
      <c r="F16">
        <v>2500000</v>
      </c>
      <c r="G16">
        <v>2500000</v>
      </c>
      <c r="H16">
        <f>+D16+E16+F16+G16</f>
        <v>10000000</v>
      </c>
    </row>
    <row r="17">
      <c r="B17" t="str">
        <v>V</v>
      </c>
      <c r="C17" t="str">
        <v>GASTOS DE CAPITAL</v>
      </c>
      <c r="D17">
        <v>1233881250</v>
      </c>
      <c r="E17">
        <v>1233881250</v>
      </c>
      <c r="F17">
        <v>1233881250</v>
      </c>
      <c r="G17">
        <v>1233881250</v>
      </c>
      <c r="H17">
        <f>+D17+E17+F17+G17</f>
        <v>4935525000</v>
      </c>
    </row>
    <row r="18">
      <c r="B18" t="str">
        <v>VI</v>
      </c>
      <c r="C18" t="str">
        <v>EXCEDENTES (III+IV-V)</v>
      </c>
      <c r="D18">
        <f>+D15+D16-D17</f>
        <v>-57120000.00000095</v>
      </c>
      <c r="E18">
        <f>+E15+E16-E17</f>
        <v>-57120000.00000095</v>
      </c>
      <c r="F18">
        <f>+F15+F16-F17</f>
        <v>-57120000.00000095</v>
      </c>
      <c r="G18">
        <f>+G15+G16-G17</f>
        <v>-57120000.00000095</v>
      </c>
      <c r="H18">
        <f>+D18+E18+F18+G18</f>
        <v>-228480000.0000038</v>
      </c>
    </row>
    <row r="19">
      <c r="C19" t="str">
        <v>TOTAL RECURSOS (I+IV)</v>
      </c>
      <c r="D19">
        <f>+D13+D16</f>
        <v>5801984354.999999</v>
      </c>
      <c r="E19">
        <f>+E13+E16</f>
        <v>5801984354.999999</v>
      </c>
      <c r="F19">
        <f>+F13+F16</f>
        <v>5801984354.999999</v>
      </c>
      <c r="G19">
        <f>+G13+G16</f>
        <v>5801984354.999999</v>
      </c>
      <c r="H19">
        <f>+D19+E19+F19+G19</f>
        <v>23207937419.999996</v>
      </c>
    </row>
    <row r="20">
      <c r="C20" t="str">
        <v>TOTAL GASTOS (II+V)</v>
      </c>
      <c r="D20">
        <f>+D14+D17</f>
        <v>5859104355</v>
      </c>
      <c r="E20">
        <f>+E14+E17</f>
        <v>5859104355</v>
      </c>
      <c r="F20">
        <f>+F14+F17</f>
        <v>5859104355</v>
      </c>
      <c r="G20">
        <f>+G14+G17</f>
        <v>5859104355</v>
      </c>
      <c r="H20">
        <f>+D20+E20+F20+G20</f>
        <v>23436417420</v>
      </c>
    </row>
    <row r="21">
      <c r="B21" t="str">
        <v>VII</v>
      </c>
      <c r="C21" t="str">
        <v>RECURSOS FIGURATIVOS</v>
      </c>
      <c r="D21">
        <v>0</v>
      </c>
      <c r="E21">
        <v>0</v>
      </c>
      <c r="F21">
        <v>0</v>
      </c>
      <c r="G21">
        <v>0</v>
      </c>
      <c r="H21">
        <f>+D21+E21+F21+G21</f>
        <v>0</v>
      </c>
    </row>
    <row r="22">
      <c r="B22" t="str">
        <v>VIII</v>
      </c>
      <c r="C22" t="str">
        <v>GASTOS FIGURATIVOS</v>
      </c>
      <c r="D22">
        <v>0</v>
      </c>
      <c r="E22">
        <v>0</v>
      </c>
      <c r="F22">
        <v>0</v>
      </c>
      <c r="G22">
        <v>0</v>
      </c>
      <c r="H22">
        <f>+D22+E22+F22+G22</f>
        <v>0</v>
      </c>
    </row>
    <row r="23">
      <c r="B23" t="str">
        <v>IX</v>
      </c>
      <c r="C23" t="str">
        <v>NECESIDAD DE FINANCIACION (VI+VII-VIII)</v>
      </c>
      <c r="D23">
        <f>+D18+D21-D22</f>
        <v>-57120000.00000095</v>
      </c>
      <c r="E23">
        <f>+E18+E21-E22</f>
        <v>-57120000.00000095</v>
      </c>
      <c r="F23">
        <f>+F18+F21-F22</f>
        <v>-57120000.00000095</v>
      </c>
      <c r="G23">
        <f>+G18+G21-G22</f>
        <v>-57120000.00000095</v>
      </c>
      <c r="H23">
        <f>+D23+E23+F23+G23</f>
        <v>-228480000.0000038</v>
      </c>
    </row>
    <row r="24">
      <c r="B24" t="str">
        <v>X</v>
      </c>
      <c r="C24" t="str">
        <v>FUENTES DE FINANCIACION</v>
      </c>
      <c r="D24">
        <v>212500000</v>
      </c>
      <c r="E24">
        <v>212500000</v>
      </c>
      <c r="F24">
        <v>212500000</v>
      </c>
      <c r="G24">
        <v>212500000</v>
      </c>
      <c r="H24">
        <f>+D24+E24+F24+G24</f>
        <v>850000000</v>
      </c>
    </row>
    <row r="25">
      <c r="B25" t="str">
        <v>XI</v>
      </c>
      <c r="C25" t="str">
        <v>APLIC. FINANCIERAS</v>
      </c>
      <c r="D25">
        <v>155380000</v>
      </c>
      <c r="E25">
        <v>155380000</v>
      </c>
      <c r="F25">
        <v>155380000</v>
      </c>
      <c r="G25">
        <v>155380000</v>
      </c>
      <c r="H25">
        <f>+D25+E25+F25+G25</f>
        <v>621520000</v>
      </c>
    </row>
    <row r="26">
      <c r="B26" t="str">
        <v>XII</v>
      </c>
      <c r="C26" t="str">
        <v>FINANCIAMIENTO NETO (X-XI)</v>
      </c>
      <c r="D26">
        <f>+D24-D25</f>
        <v>57120000</v>
      </c>
      <c r="E26">
        <f>+E24-E25</f>
        <v>57120000</v>
      </c>
      <c r="F26">
        <f>+F24-F25</f>
        <v>57120000</v>
      </c>
      <c r="G26">
        <f>+G24-G25</f>
        <v>57120000</v>
      </c>
      <c r="H26">
        <f>+D26+E26+F26+G26</f>
        <v>228480000</v>
      </c>
    </row>
    <row r="27">
      <c r="B27" t="str">
        <v>XIII</v>
      </c>
      <c r="C27" t="str">
        <v>RESULTADO FINANCIERO (IX+XII)</v>
      </c>
      <c r="D27">
        <f>+D23+D26</f>
        <v>-9.5367431640625e-7</v>
      </c>
      <c r="E27">
        <f>+E23+E26</f>
        <v>-9.5367431640625e-7</v>
      </c>
      <c r="F27">
        <f>+F23+F26</f>
        <v>-9.5367431640625e-7</v>
      </c>
      <c r="G27">
        <f>+G23+G26</f>
        <v>-9.5367431640625e-7</v>
      </c>
      <c r="H27">
        <f>+D27+E27+F27+G27</f>
        <v>-0.000003814697265625</v>
      </c>
    </row>
  </sheetData>
  <mergeCells count="2">
    <mergeCell ref="B3:H3"/>
    <mergeCell ref="B5:H5"/>
  </mergeCells>
  <pageMargins left="0" right="0" top="0.5905511811023623" bottom="0.5905511811023623" header="0" footer="0"/>
  <ignoredErrors>
    <ignoredError numberStoredAsText="1" sqref="B2:O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M43"/>
  <sheetViews>
    <sheetView workbookViewId="0"/>
  </sheetViews>
  <sheetData>
    <row r="3">
      <c r="A3" t="str">
        <v>ACUERDO Nº 3949</v>
      </c>
    </row>
    <row r="5">
      <c r="A5" t="str">
        <v>ANEXO 2: DE LA EJECUCION DEL PRESUPUESTO CON RELACION A LOS CREDITOS ACUMULADA AL FIN DEL TRIMESTRE</v>
      </c>
    </row>
    <row r="7">
      <c r="A7" t="str">
        <v>REPARTICION / ORGANISMO: MUNICIPALIDAD DE GRAL SAN MARTIN</v>
      </c>
      <c r="E7" t="str">
        <v>NOMENCLADOR: 060214</v>
      </c>
    </row>
    <row r="8">
      <c r="A8" t="str">
        <f>+'ANEXO 1'!B8</f>
        <v>EJERCICIO: 2024</v>
      </c>
      <c r="E8" t="str">
        <f>+'ANEXO 1'!G8</f>
        <v>TRIMESTRE: 3</v>
      </c>
    </row>
    <row r="10">
      <c r="A10" t="str">
        <v>PARTIDAS</v>
      </c>
      <c r="B10" t="str">
        <v>CREDITO</v>
      </c>
      <c r="C10" t="str">
        <v>MODIFICACIONES ACUMULADAS AL</v>
      </c>
      <c r="E10" t="str">
        <v>CREDITO AUT. DEF.</v>
      </c>
      <c r="F10" t="str">
        <v>COMPROMISOS</v>
      </c>
      <c r="G10" t="str">
        <v>DEVENGADO</v>
      </c>
      <c r="H10" t="str">
        <v xml:space="preserve">MANDAD A </v>
      </c>
      <c r="I10" t="str">
        <v>PAGADO</v>
      </c>
      <c r="J10" t="str">
        <v xml:space="preserve">RESIDUOS </v>
      </c>
      <c r="K10" t="str">
        <v xml:space="preserve">SALDO NO </v>
      </c>
      <c r="L10" t="str">
        <v>DEUDA</v>
      </c>
    </row>
    <row r="11">
      <c r="B11" t="str">
        <v>AUTORIZADO</v>
      </c>
      <c r="C11" t="str">
        <v>FIN DE CADA TRIMESTRE</v>
      </c>
      <c r="E11" t="str">
        <v>AL FIN DE CADA</v>
      </c>
      <c r="F11" t="str">
        <v>CONTRAIDOS</v>
      </c>
      <c r="H11" t="str">
        <v>PAGAR</v>
      </c>
      <c r="J11" t="str">
        <v>PASIVOS</v>
      </c>
      <c r="K11" t="str">
        <v>UTILIZADO</v>
      </c>
      <c r="L11" t="str">
        <v>EXIGIBLE</v>
      </c>
    </row>
    <row r="12">
      <c r="B12" t="str">
        <v>ORIGINAL</v>
      </c>
      <c r="C12" t="str">
        <v>AUMENTOS</v>
      </c>
      <c r="D12" t="str">
        <v>DISMINUCIONES</v>
      </c>
      <c r="E12" t="str">
        <v>TRIMESTRE</v>
      </c>
    </row>
    <row r="13">
      <c r="A13">
        <v>1</v>
      </c>
      <c r="B13">
        <v>2</v>
      </c>
      <c r="C13">
        <v>3</v>
      </c>
      <c r="D13">
        <v>4</v>
      </c>
      <c r="E13" t="str">
        <v>5= 2+3-4</v>
      </c>
      <c r="F13">
        <v>6</v>
      </c>
      <c r="G13">
        <v>7</v>
      </c>
      <c r="H13">
        <v>8</v>
      </c>
      <c r="I13">
        <v>9</v>
      </c>
      <c r="J13" t="str">
        <v>10=7-8</v>
      </c>
      <c r="K13" t="str">
        <v>11=5-6</v>
      </c>
      <c r="L13" t="str">
        <v>12=8-9</v>
      </c>
    </row>
    <row r="14">
      <c r="A14" t="str">
        <v>41100 PERSONAL</v>
      </c>
      <c r="B14">
        <v>10439522338</v>
      </c>
      <c r="C14">
        <v>4328873239.56</v>
      </c>
      <c r="D14">
        <v>1269264169.15</v>
      </c>
      <c r="E14">
        <f>+B14+C14-D14</f>
        <v>13499131408.410002</v>
      </c>
      <c r="F14">
        <v>8672402421.48</v>
      </c>
      <c r="G14">
        <v>9077159883.16</v>
      </c>
      <c r="H14">
        <v>9077159883.16</v>
      </c>
      <c r="I14">
        <v>9008069852.02</v>
      </c>
      <c r="J14">
        <f>+G14-H14</f>
        <v>0</v>
      </c>
      <c r="K14">
        <f>+E14-F14</f>
        <v>4826728986.930002</v>
      </c>
      <c r="L14">
        <f>+H14-I14</f>
        <v>69090031.13999939</v>
      </c>
    </row>
    <row r="15">
      <c r="A15" t="str">
        <v>41200 BIENES CORRIENTES</v>
      </c>
      <c r="B15">
        <v>1940838000</v>
      </c>
      <c r="C15">
        <v>1828496069.99</v>
      </c>
      <c r="D15">
        <v>675447380.84</v>
      </c>
      <c r="E15">
        <f>+B15+C15-D15</f>
        <v>3093886689.1499996</v>
      </c>
      <c r="F15">
        <v>1639935528.18</v>
      </c>
      <c r="G15">
        <v>1252652746.81</v>
      </c>
      <c r="H15">
        <v>1252335029.81</v>
      </c>
      <c r="I15">
        <v>1196057627.69</v>
      </c>
      <c r="J15">
        <f>+G15-H15</f>
        <v>317717</v>
      </c>
      <c r="K15">
        <f>+E15-F15</f>
        <v>1453951160.9699996</v>
      </c>
      <c r="L15">
        <f>+H15-I15</f>
        <v>56277402.119999886</v>
      </c>
    </row>
    <row r="16">
      <c r="A16" t="str">
        <v>41300 SERVICIOS CORRIENTES</v>
      </c>
      <c r="B16">
        <v>6017344116</v>
      </c>
      <c r="C16">
        <v>4843567366.66</v>
      </c>
      <c r="D16">
        <v>2048469611.72</v>
      </c>
      <c r="E16">
        <f>+B16+C16-D16</f>
        <v>8812441870.94</v>
      </c>
      <c r="F16">
        <v>5889222510.26</v>
      </c>
      <c r="G16">
        <v>3733170451.42</v>
      </c>
      <c r="H16">
        <v>3733170451.42</v>
      </c>
      <c r="I16">
        <v>3677921904.01</v>
      </c>
      <c r="J16">
        <f>+G16-H16</f>
        <v>0</v>
      </c>
      <c r="K16">
        <f>+E16-F16</f>
        <v>2923219360.6800003</v>
      </c>
      <c r="L16">
        <f>+H16-I16</f>
        <v>55248547.40999985</v>
      </c>
    </row>
    <row r="17">
      <c r="A17" t="str">
        <v>42100 INTERESES Y GASTOS</v>
      </c>
      <c r="B17">
        <v>9877966</v>
      </c>
      <c r="C17">
        <v>4477035.48</v>
      </c>
      <c r="D17">
        <v>0</v>
      </c>
      <c r="E17">
        <f>+B17+C17-D17</f>
        <v>14355001.48</v>
      </c>
      <c r="F17">
        <v>2405184.46</v>
      </c>
      <c r="G17">
        <v>2405184.45</v>
      </c>
      <c r="H17">
        <v>2405184.45</v>
      </c>
      <c r="I17">
        <v>2405184.45</v>
      </c>
      <c r="J17">
        <f>+G17-H17</f>
        <v>0</v>
      </c>
      <c r="K17">
        <f>+E17-F17</f>
        <v>11949817.02</v>
      </c>
      <c r="L17">
        <f>+H17-I17</f>
        <v>0</v>
      </c>
    </row>
    <row r="18">
      <c r="A18" t="str">
        <v>43100 TRANSFERENCIAS CORRIENTES</v>
      </c>
      <c r="B18">
        <v>93310000</v>
      </c>
      <c r="C18">
        <v>235752345.64</v>
      </c>
      <c r="D18">
        <v>16250000</v>
      </c>
      <c r="E18">
        <f>+B18+C18-D18</f>
        <v>312812345.64</v>
      </c>
      <c r="F18">
        <v>124504424.65</v>
      </c>
      <c r="G18">
        <v>122324424.65</v>
      </c>
      <c r="H18">
        <v>122324424.65</v>
      </c>
      <c r="I18">
        <v>120282053.95</v>
      </c>
      <c r="J18">
        <f>+G18-H18</f>
        <v>0</v>
      </c>
      <c r="K18">
        <f>+E18-F18</f>
        <v>188307920.98999998</v>
      </c>
      <c r="L18">
        <f>+H18-I18</f>
        <v>2042370.700000003</v>
      </c>
    </row>
    <row r="19">
      <c r="A19" t="str">
        <v>44100 CREDITO SDIC.P/FINAN.EROG.CO</v>
      </c>
      <c r="B19">
        <v>0</v>
      </c>
      <c r="C19">
        <v>74721863.87</v>
      </c>
      <c r="D19">
        <v>73921200</v>
      </c>
      <c r="E19">
        <f>+B19+C19-D19</f>
        <v>800663.8700000048</v>
      </c>
      <c r="F19">
        <v>0</v>
      </c>
      <c r="G19">
        <v>0</v>
      </c>
      <c r="H19">
        <v>0</v>
      </c>
      <c r="I19">
        <v>0</v>
      </c>
      <c r="J19">
        <f>+G19-H19</f>
        <v>0</v>
      </c>
      <c r="K19">
        <f>+E19-F19</f>
        <v>800663.8700000048</v>
      </c>
      <c r="L19">
        <f>+H19-I19</f>
        <v>0</v>
      </c>
    </row>
    <row r="20">
      <c r="A20" t="str">
        <v>51100 BIENES DE CAPITAL</v>
      </c>
      <c r="B20">
        <v>344000000</v>
      </c>
      <c r="C20">
        <v>613422251.44</v>
      </c>
      <c r="D20">
        <v>158457152.74</v>
      </c>
      <c r="E20">
        <f>+B20+C20-D20</f>
        <v>798965098.7</v>
      </c>
      <c r="F20">
        <v>89532656.01</v>
      </c>
      <c r="G20">
        <v>57980408.7</v>
      </c>
      <c r="H20">
        <v>50904615.15</v>
      </c>
      <c r="I20">
        <v>50904615.15</v>
      </c>
      <c r="J20">
        <f>+G20-H20</f>
        <v>7075793.5500000045</v>
      </c>
      <c r="K20">
        <f>+E20-F20</f>
        <v>709432442.69</v>
      </c>
      <c r="L20">
        <f>+H20-I20</f>
        <v>0</v>
      </c>
    </row>
    <row r="21">
      <c r="A21" t="str">
        <v>51200 TRABAJO PUBLICO</v>
      </c>
      <c r="B21">
        <v>4591525000</v>
      </c>
      <c r="C21">
        <v>2383997081.88</v>
      </c>
      <c r="D21">
        <v>627753330.53</v>
      </c>
      <c r="E21">
        <f>+B21+C21-D21</f>
        <v>6347768751.35</v>
      </c>
      <c r="F21">
        <v>3097255068.67</v>
      </c>
      <c r="G21">
        <v>2085176727.6</v>
      </c>
      <c r="H21">
        <v>2085176727.6</v>
      </c>
      <c r="I21">
        <v>2060735709.86</v>
      </c>
      <c r="J21">
        <f>+G21-H21</f>
        <v>0</v>
      </c>
      <c r="K21">
        <f>+E21-F21</f>
        <v>3250513682.6800003</v>
      </c>
      <c r="L21">
        <f>+H21-I21</f>
        <v>24441017.74000001</v>
      </c>
    </row>
    <row r="22">
      <c r="A22" t="str">
        <v>52100 APORTES DE CAPITAL</v>
      </c>
      <c r="B22">
        <v>0</v>
      </c>
      <c r="C22">
        <v>29064690.99</v>
      </c>
      <c r="D22">
        <v>0</v>
      </c>
      <c r="E22">
        <f>+B22+C22-D22</f>
        <v>29064690.99</v>
      </c>
      <c r="F22">
        <v>20000000</v>
      </c>
      <c r="G22">
        <v>20000000</v>
      </c>
      <c r="H22">
        <v>20000000</v>
      </c>
      <c r="I22">
        <v>20000000</v>
      </c>
      <c r="J22">
        <f>+G22-H22</f>
        <v>0</v>
      </c>
      <c r="K22">
        <f>+E22-F22</f>
        <v>9064690.989999998</v>
      </c>
      <c r="L22">
        <f>+H22-I22</f>
        <v>0</v>
      </c>
    </row>
    <row r="23">
      <c r="A23" t="str">
        <v>52200 PRESTAMOS</v>
      </c>
      <c r="B23">
        <v>0</v>
      </c>
      <c r="C23">
        <v>0</v>
      </c>
      <c r="D23">
        <v>0</v>
      </c>
      <c r="E23">
        <f>+B23+C23-D23</f>
        <v>0</v>
      </c>
      <c r="F23">
        <v>0</v>
      </c>
      <c r="G23">
        <v>0</v>
      </c>
      <c r="H23">
        <v>0</v>
      </c>
      <c r="I23">
        <v>0</v>
      </c>
      <c r="J23">
        <f>+G23-H23</f>
        <v>0</v>
      </c>
      <c r="K23">
        <f>+E23-F23</f>
        <v>0</v>
      </c>
      <c r="L23">
        <f>+H23-I23</f>
        <v>0</v>
      </c>
    </row>
    <row r="24">
      <c r="A24" t="str">
        <v>52400 OTROS TITULOS</v>
      </c>
      <c r="B24">
        <v>0</v>
      </c>
      <c r="C24">
        <v>0</v>
      </c>
      <c r="D24">
        <v>0</v>
      </c>
      <c r="E24">
        <f>+B24+C24-D24</f>
        <v>0</v>
      </c>
      <c r="F24">
        <v>0</v>
      </c>
      <c r="G24">
        <v>0</v>
      </c>
      <c r="H24">
        <v>0</v>
      </c>
      <c r="I24">
        <v>0</v>
      </c>
      <c r="J24">
        <f>+G24-H24</f>
        <v>0</v>
      </c>
      <c r="K24">
        <f>+E24-F24</f>
        <v>0</v>
      </c>
      <c r="L24">
        <f>+H24-I24</f>
        <v>0</v>
      </c>
    </row>
    <row r="25">
      <c r="A25" t="str">
        <v>53100 BIENES PREEXISTENTES</v>
      </c>
      <c r="B25">
        <v>0</v>
      </c>
      <c r="C25">
        <v>0</v>
      </c>
      <c r="D25">
        <v>0</v>
      </c>
      <c r="E25">
        <f>+B25+C25-D25</f>
        <v>0</v>
      </c>
      <c r="F25">
        <v>0</v>
      </c>
      <c r="G25">
        <v>0</v>
      </c>
      <c r="H25">
        <v>0</v>
      </c>
      <c r="I25">
        <v>0</v>
      </c>
      <c r="J25">
        <f>+G25-H25</f>
        <v>0</v>
      </c>
      <c r="K25">
        <f>+E25-F25</f>
        <v>0</v>
      </c>
      <c r="L25">
        <f>+H25-I25</f>
        <v>0</v>
      </c>
    </row>
    <row r="26">
      <c r="A26" t="str">
        <v>72100 AMORTIZACION  DE CAPITAL</v>
      </c>
      <c r="B26">
        <v>37712000</v>
      </c>
      <c r="C26">
        <v>17092381.35</v>
      </c>
      <c r="D26">
        <v>0</v>
      </c>
      <c r="E26">
        <f>+B26+C26-D26</f>
        <v>54804381.35</v>
      </c>
      <c r="F26">
        <v>8663332.92</v>
      </c>
      <c r="G26">
        <v>8663332.91</v>
      </c>
      <c r="H26">
        <v>8663332.91</v>
      </c>
      <c r="I26">
        <v>8663332.91</v>
      </c>
      <c r="J26">
        <f>+G26-H26</f>
        <v>0</v>
      </c>
      <c r="K26">
        <f>+E26-F26</f>
        <v>46141048.43</v>
      </c>
      <c r="L26">
        <f>+H26-I26</f>
        <v>0</v>
      </c>
    </row>
    <row r="27">
      <c r="A27" t="str">
        <v>74100 AMORTIZACION DE LA DEUDA FLOTANTE</v>
      </c>
      <c r="B27">
        <v>583808000</v>
      </c>
      <c r="C27">
        <v>285013514.72</v>
      </c>
      <c r="D27">
        <v>184729743.23</v>
      </c>
      <c r="E27">
        <f>+B27+C27-D27</f>
        <v>684091771.49</v>
      </c>
      <c r="F27">
        <v>377849653.73</v>
      </c>
      <c r="G27">
        <v>377849653.73</v>
      </c>
      <c r="H27">
        <v>377849653.73</v>
      </c>
      <c r="I27">
        <v>377849653.73</v>
      </c>
      <c r="J27">
        <f>+G27-H27</f>
        <v>0</v>
      </c>
      <c r="K27">
        <f>+E27-F27</f>
        <v>306242117.76</v>
      </c>
      <c r="L27">
        <f>+H27-I27</f>
        <v>0</v>
      </c>
    </row>
    <row r="28">
      <c r="A28" t="str">
        <v>TOTALES</v>
      </c>
      <c r="B28">
        <f>SUM(B14:B27)</f>
        <v>24057937420</v>
      </c>
      <c r="C28">
        <f>SUM(C14:C27)</f>
        <v>14644477841.58</v>
      </c>
      <c r="D28">
        <f>SUM(D14:D27)</f>
        <v>5054292588.209999</v>
      </c>
      <c r="E28">
        <f>SUM(E14:E27)</f>
        <v>33648122673.370003</v>
      </c>
      <c r="F28">
        <f>SUM(F14:F27)</f>
        <v>19921770780.359997</v>
      </c>
      <c r="G28">
        <f>SUM(G14:G27)</f>
        <v>16737382813.43</v>
      </c>
      <c r="H28">
        <f>SUM(H14:H27)</f>
        <v>16729989302.88</v>
      </c>
      <c r="I28">
        <f>SUM(I14:I27)</f>
        <v>16522889933.770002</v>
      </c>
      <c r="J28">
        <f>SUM(J14:J27)</f>
        <v>7393510.5500000045</v>
      </c>
      <c r="K28">
        <f>SUM(K14:K27)</f>
        <v>13726351893.010004</v>
      </c>
      <c r="L28">
        <f>SUM(L14:L27)</f>
        <v>207099369.10999912</v>
      </c>
    </row>
  </sheetData>
  <mergeCells count="4">
    <mergeCell ref="A3:L3"/>
    <mergeCell ref="A5:L5"/>
    <mergeCell ref="C10:D10"/>
    <mergeCell ref="C11:D11"/>
  </mergeCells>
  <pageMargins left="0" right="0" top="0.984251968503937" bottom="0.984251968503937" header="0" footer="0"/>
  <ignoredErrors>
    <ignoredError numberStoredAsText="1" sqref="A2:M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ACUERDO Nº 3949</v>
      </c>
    </row>
    <row r="5">
      <c r="A5" t="str">
        <v>ANEXO 2 BIS: DE LA EJECUCION DEL PRESUPUESTO CON RELACION A LOS CREDITOS CORRESPONDIENTE AL TRIMESTRE</v>
      </c>
    </row>
    <row r="7">
      <c r="A7" t="str">
        <v>REPARTICION / ORGANISMO:MUNICIPALIDAD DE GRAL SAN MARTIN</v>
      </c>
      <c r="E7" t="str">
        <v>NOMENCLADOR: 060214</v>
      </c>
    </row>
    <row r="8">
      <c r="A8" t="str">
        <f>+'ANEXO 1'!B8</f>
        <v>EJERCICIO: 2024</v>
      </c>
      <c r="E8" t="str">
        <f>+'ANEXO 2'!E8</f>
        <v>TRIMESTRE: 3</v>
      </c>
    </row>
    <row r="10">
      <c r="A10" t="str">
        <v>PARTIDAS</v>
      </c>
      <c r="B10" t="str">
        <v>COMPROMISOS</v>
      </c>
      <c r="C10" t="str">
        <v>DEVENGADO EN</v>
      </c>
      <c r="D10" t="str">
        <v xml:space="preserve">MANDADO A </v>
      </c>
      <c r="E10" t="str">
        <v xml:space="preserve">PAGADO EN EL </v>
      </c>
      <c r="F10" t="str">
        <v>VARIACION</v>
      </c>
      <c r="G10" t="str">
        <v>VARIACION DEUDA</v>
      </c>
    </row>
    <row r="11">
      <c r="B11" t="str">
        <v>CONTRAIDOS EN</v>
      </c>
      <c r="C11" t="str">
        <v>EL TRIMESTRE</v>
      </c>
      <c r="D11" t="str">
        <v xml:space="preserve">PAGAR EN EL </v>
      </c>
      <c r="E11" t="str">
        <v>TRIMESTRE</v>
      </c>
      <c r="F11" t="str">
        <v xml:space="preserve">RESIDUOS EN EL </v>
      </c>
      <c r="G11" t="str">
        <v xml:space="preserve">EXIGIBLE EN EL </v>
      </c>
    </row>
    <row r="12">
      <c r="B12" t="str">
        <v>EL TRIMESTRE</v>
      </c>
      <c r="D12" t="str">
        <v>TRIMESTRE</v>
      </c>
      <c r="F12" t="str">
        <v>TRIMESTRE</v>
      </c>
      <c r="G12" t="str">
        <v>TRIMESTRE</v>
      </c>
    </row>
    <row r="13">
      <c r="A13">
        <v>1</v>
      </c>
      <c r="B13">
        <v>2</v>
      </c>
      <c r="C13">
        <v>3</v>
      </c>
      <c r="D13">
        <v>4</v>
      </c>
      <c r="E13">
        <v>5</v>
      </c>
      <c r="F13" t="str">
        <v>6=3-4</v>
      </c>
      <c r="G13" t="str">
        <v>7=4-5</v>
      </c>
    </row>
    <row r="14">
      <c r="A14" t="str">
        <v>41100 PERSONAL</v>
      </c>
      <c r="B14">
        <v>723617907</v>
      </c>
      <c r="C14">
        <v>3390494992.38</v>
      </c>
      <c r="D14">
        <v>3390494992.38</v>
      </c>
      <c r="E14">
        <v>3811906925.04</v>
      </c>
      <c r="F14">
        <f>+C14-D14</f>
        <v>0</v>
      </c>
      <c r="G14">
        <f>+D14-E14</f>
        <v>-421411932.65999985</v>
      </c>
    </row>
    <row r="15">
      <c r="A15" t="str">
        <v>41200 BIENES CORRIENTES</v>
      </c>
      <c r="B15">
        <v>660675190.81</v>
      </c>
      <c r="C15">
        <v>703929486.69</v>
      </c>
      <c r="D15">
        <v>703795451.84</v>
      </c>
      <c r="E15">
        <v>659532383.41</v>
      </c>
      <c r="F15">
        <f>+C15-D15</f>
        <v>134034.85000002384</v>
      </c>
      <c r="G15">
        <f>+D15-E15</f>
        <v>44263068.43000007</v>
      </c>
    </row>
    <row r="16">
      <c r="A16" t="str">
        <v>41300 SERVICIOS CORRIENTES</v>
      </c>
      <c r="B16">
        <v>890239122.13</v>
      </c>
      <c r="C16">
        <v>1748387098.3</v>
      </c>
      <c r="D16">
        <v>1748387098.3</v>
      </c>
      <c r="E16">
        <v>1843588001.08</v>
      </c>
      <c r="F16">
        <f>+C16-D16</f>
        <v>0</v>
      </c>
      <c r="G16">
        <f>+D16-E16</f>
        <v>-95200902.77999997</v>
      </c>
    </row>
    <row r="17">
      <c r="A17" t="str">
        <v>42100 INTERESES Y GASTOS</v>
      </c>
      <c r="B17">
        <v>0</v>
      </c>
      <c r="F17">
        <f>+C17-D17</f>
        <v>0</v>
      </c>
      <c r="G17">
        <f>+D17-E17</f>
        <v>0</v>
      </c>
    </row>
    <row r="18">
      <c r="A18" t="str">
        <v>43100 TRANSFERENCIAS CORRIENTES</v>
      </c>
      <c r="B18">
        <v>54497439.35</v>
      </c>
      <c r="C18">
        <v>60135440.88</v>
      </c>
      <c r="D18">
        <v>60135440.88</v>
      </c>
      <c r="E18">
        <v>58912170.18</v>
      </c>
      <c r="F18">
        <f>+C18-D18</f>
        <v>0</v>
      </c>
      <c r="G18">
        <f>+D18-E18</f>
        <v>1223270.700000003</v>
      </c>
    </row>
    <row r="19">
      <c r="A19" t="str">
        <v>43200 TRANSFERENCIAS DE CAPITAL</v>
      </c>
      <c r="B19">
        <v>0</v>
      </c>
      <c r="F19">
        <f>+C19-D19</f>
        <v>0</v>
      </c>
      <c r="G19">
        <f>+D19-E19</f>
        <v>0</v>
      </c>
    </row>
    <row r="20">
      <c r="A20" t="str">
        <v>51100 BIENES DE CAPITAL</v>
      </c>
      <c r="B20">
        <v>64236572.46</v>
      </c>
      <c r="C20">
        <v>36579153.86</v>
      </c>
      <c r="D20">
        <v>35065287.26</v>
      </c>
      <c r="E20">
        <v>35065287.26</v>
      </c>
      <c r="F20">
        <f>+C20-D20</f>
        <v>1513866.6000000015</v>
      </c>
      <c r="G20">
        <f>+D20-E20</f>
        <v>0</v>
      </c>
    </row>
    <row r="21">
      <c r="A21" t="str">
        <v>51200 TRABAJO PUBLICO</v>
      </c>
      <c r="B21">
        <v>495858546.2</v>
      </c>
      <c r="C21">
        <v>712518223</v>
      </c>
      <c r="D21">
        <v>712518223</v>
      </c>
      <c r="E21">
        <v>728556561.4</v>
      </c>
      <c r="F21">
        <f>+C21-D21</f>
        <v>0</v>
      </c>
      <c r="G21">
        <f>+D21-E21</f>
        <v>-16038338.399999976</v>
      </c>
    </row>
    <row r="22">
      <c r="A22" t="str">
        <v>52100 APORTES DE CAPITAL</v>
      </c>
      <c r="B22">
        <v>10000000</v>
      </c>
      <c r="C22">
        <v>10000000</v>
      </c>
      <c r="D22">
        <v>10000000</v>
      </c>
      <c r="E22">
        <v>10000000</v>
      </c>
      <c r="F22">
        <f>+C22-D22</f>
        <v>0</v>
      </c>
      <c r="G22">
        <f>+D22-E22</f>
        <v>0</v>
      </c>
    </row>
    <row r="23">
      <c r="A23" t="str">
        <v>52200 PRESTAMOS</v>
      </c>
      <c r="B23">
        <v>0</v>
      </c>
      <c r="F23">
        <f>+C23-D23</f>
        <v>0</v>
      </c>
      <c r="G23">
        <f>+D23-E23</f>
        <v>0</v>
      </c>
    </row>
    <row r="24">
      <c r="A24" t="str">
        <v>52400 OTROS TITULOS</v>
      </c>
      <c r="B24">
        <v>0</v>
      </c>
      <c r="F24">
        <f>+C24-D24</f>
        <v>0</v>
      </c>
      <c r="G24">
        <f>+D24-E24</f>
        <v>0</v>
      </c>
    </row>
    <row r="25">
      <c r="A25" t="str">
        <v>53100 BIENES PREEXISTENTES</v>
      </c>
      <c r="B25">
        <v>0</v>
      </c>
      <c r="F25">
        <f>+C25-D25</f>
        <v>0</v>
      </c>
      <c r="G25">
        <f>+D25-E25</f>
        <v>0</v>
      </c>
    </row>
    <row r="26">
      <c r="A26" t="str">
        <v>72100 AMORTIZACION  DE CAPITAL</v>
      </c>
      <c r="B26">
        <v>0</v>
      </c>
      <c r="F26">
        <f>+C26-D26</f>
        <v>0</v>
      </c>
      <c r="G26">
        <f>+D26-E26</f>
        <v>0</v>
      </c>
    </row>
    <row r="27">
      <c r="A27" t="str">
        <v>74100 AMORTIZACION DE LA DEUDA FLOTANTE</v>
      </c>
      <c r="B27">
        <v>552473</v>
      </c>
      <c r="C27">
        <v>552473</v>
      </c>
      <c r="D27">
        <v>552473</v>
      </c>
      <c r="E27">
        <v>552473</v>
      </c>
      <c r="F27">
        <f>+C27-D27</f>
        <v>0</v>
      </c>
      <c r="G27">
        <f>+D27-E27</f>
        <v>0</v>
      </c>
    </row>
    <row r="28">
      <c r="A28" t="str">
        <v>TOTALES</v>
      </c>
      <c r="B28">
        <f>SUM(B14:B27)</f>
        <v>2899677250.95</v>
      </c>
      <c r="C28">
        <f>SUM(C14:C27)</f>
        <v>6662596868.11</v>
      </c>
      <c r="D28">
        <f>SUM(D14:D27)</f>
        <v>6660948966.660001</v>
      </c>
      <c r="E28">
        <f>SUM(E14:E27)</f>
        <v>7148113801.37</v>
      </c>
      <c r="F28">
        <f>SUM(F14:F27)</f>
        <v>1647901.4500000253</v>
      </c>
      <c r="G28">
        <f>SUM(G14:G27)</f>
        <v>-487164834.70999974</v>
      </c>
    </row>
  </sheetData>
  <mergeCells count="2">
    <mergeCell ref="A1:G1"/>
    <mergeCell ref="A5:G5"/>
  </mergeCells>
  <pageMargins left="0" right="0" top="0.984251968503937" bottom="0.984251968503937" header="0" footer="0"/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Data>
    <row r="1">
      <c r="A1" t="str">
        <v>ACUERDO Nº 3949</v>
      </c>
    </row>
    <row r="3">
      <c r="A3" t="str">
        <v>ANEXO 3: DE LA EJECUCION DEL PRESUPUESTO CON RELACION AL CALCULO DE RECURSOS Y FINANCIAMIENTO ACUMULADO AL FIN DEL TRIMESTRE</v>
      </c>
    </row>
    <row r="4">
      <c r="A4" t="str">
        <v>E INGRESADO EN EL TRIMESTRE</v>
      </c>
    </row>
    <row r="6">
      <c r="A6" t="str">
        <v>REPARTICION / ORGANISMO: MUNICIPALIDAD DE GRAL SAN MARTIN</v>
      </c>
      <c r="F6" t="str">
        <v>NOMENCLADOR: 060214</v>
      </c>
    </row>
    <row r="7">
      <c r="A7" t="str">
        <f>+'ANEXO 1'!B8</f>
        <v>EJERCICIO: 2024</v>
      </c>
      <c r="F7" t="str">
        <f>+'ANEXO 1'!G8</f>
        <v>TRIMESTRE: 3</v>
      </c>
    </row>
    <row r="9">
      <c r="A9" t="str">
        <v>PARTIDAS</v>
      </c>
      <c r="C9" t="str">
        <v>CALCULO</v>
      </c>
      <c r="D9" t="str">
        <v>MODIFICACIONES ACUMULADAS AL</v>
      </c>
      <c r="F9" t="str">
        <v>CALCULO</v>
      </c>
      <c r="G9" t="str">
        <v>INGRESADO</v>
      </c>
      <c r="H9" t="str">
        <v>DIFERENCIA</v>
      </c>
      <c r="I9" t="str">
        <v>INGRESADO EN</v>
      </c>
    </row>
    <row r="10">
      <c r="C10" t="str">
        <v>ORIGINAL</v>
      </c>
      <c r="D10" t="str">
        <v>FIN DE CADA TRIMESTRE</v>
      </c>
      <c r="F10" t="str">
        <v>DEFINITIVO</v>
      </c>
      <c r="G10" t="str">
        <v>ACUMULADO AL</v>
      </c>
      <c r="I10" t="str">
        <v>EL TRIMESTRE</v>
      </c>
    </row>
    <row r="11">
      <c r="D11" t="str">
        <v>AUMENTOS</v>
      </c>
      <c r="E11" t="str">
        <v>DISMINUCIONES</v>
      </c>
      <c r="G11" t="str">
        <v>FIN DE CADA TRIM.</v>
      </c>
    </row>
    <row r="12">
      <c r="A12">
        <v>1</v>
      </c>
      <c r="C12">
        <v>2</v>
      </c>
      <c r="D12">
        <v>3</v>
      </c>
      <c r="E12">
        <v>4</v>
      </c>
      <c r="F12" t="str">
        <v>5=2+3-4</v>
      </c>
      <c r="G12">
        <v>6</v>
      </c>
      <c r="H12" t="str">
        <v>7=5-6</v>
      </c>
      <c r="I12">
        <v>8</v>
      </c>
    </row>
    <row r="13">
      <c r="A13">
        <v>1110101000</v>
      </c>
      <c r="B13" t="str">
        <v>Impuesto sobre los ingresos brutos</v>
      </c>
      <c r="C13">
        <v>4845920119.97</v>
      </c>
      <c r="D13">
        <v>2572427977.36</v>
      </c>
      <c r="E13">
        <v>0</v>
      </c>
      <c r="F13">
        <f>+C13+D13+E13</f>
        <v>7418348097.33</v>
      </c>
      <c r="G13">
        <v>0</v>
      </c>
      <c r="H13">
        <f>+F13-G13</f>
        <v>7418348097.33</v>
      </c>
      <c r="I13">
        <v>0</v>
      </c>
    </row>
    <row r="14">
      <c r="A14">
        <v>1110201000</v>
      </c>
      <c r="B14" t="str">
        <v>Impuesto inmobiliario -rentas generales-</v>
      </c>
      <c r="C14">
        <v>510483657.74</v>
      </c>
      <c r="D14">
        <v>373083955.99</v>
      </c>
      <c r="E14">
        <v>0</v>
      </c>
      <c r="F14">
        <f>+C14+D14+E14</f>
        <v>883567613.73</v>
      </c>
      <c r="G14">
        <v>0</v>
      </c>
      <c r="H14">
        <f>+F14-G14</f>
        <v>883567613.73</v>
      </c>
      <c r="I14">
        <v>0</v>
      </c>
    </row>
    <row r="15">
      <c r="A15">
        <v>1110202000</v>
      </c>
      <c r="B15" t="str">
        <v>Impuesto a los automotores</v>
      </c>
      <c r="C15">
        <v>1412408779.83</v>
      </c>
      <c r="D15">
        <v>1058028838.89</v>
      </c>
      <c r="E15">
        <v>0</v>
      </c>
      <c r="F15">
        <f>+C15+D15+E15</f>
        <v>2470437618.72</v>
      </c>
      <c r="G15">
        <v>0</v>
      </c>
      <c r="H15">
        <f>+F15-G15</f>
        <v>2470437618.72</v>
      </c>
      <c r="I15">
        <v>0</v>
      </c>
    </row>
    <row r="16">
      <c r="A16">
        <v>1110301000</v>
      </c>
      <c r="B16" t="str">
        <v>Impuesto de sellos</v>
      </c>
      <c r="C16">
        <v>205592174.45</v>
      </c>
      <c r="D16">
        <v>150255822.3</v>
      </c>
      <c r="E16">
        <v>0</v>
      </c>
      <c r="F16">
        <f>+C16+D16+E16</f>
        <v>355847996.75</v>
      </c>
      <c r="G16">
        <v>0</v>
      </c>
      <c r="H16">
        <f>+F16-G16</f>
        <v>355847996.75</v>
      </c>
      <c r="I16">
        <v>0</v>
      </c>
    </row>
    <row r="17">
      <c r="A17">
        <v>1110606000</v>
      </c>
      <c r="B17" t="str">
        <v>Coparticipación a Clasificar</v>
      </c>
      <c r="C17">
        <v>0</v>
      </c>
      <c r="D17">
        <v>0</v>
      </c>
      <c r="E17">
        <v>0</v>
      </c>
      <c r="F17">
        <f>+C17+D17+E17</f>
        <v>0</v>
      </c>
      <c r="G17">
        <v>17278515120.27</v>
      </c>
      <c r="H17">
        <f>+F17-G17</f>
        <v>-17278515120.27</v>
      </c>
      <c r="I17">
        <v>7044539133.21</v>
      </c>
    </row>
    <row r="18">
      <c r="A18">
        <v>1110609000</v>
      </c>
      <c r="B18" t="str">
        <v>Canon Extraordinario de Producción</v>
      </c>
      <c r="C18">
        <v>75014513</v>
      </c>
      <c r="D18">
        <v>0</v>
      </c>
      <c r="E18">
        <v>0</v>
      </c>
      <c r="F18">
        <f>+C18+D18+E18</f>
        <v>75014513</v>
      </c>
      <c r="G18">
        <v>78802377.41</v>
      </c>
      <c r="H18">
        <f>+F18-G18</f>
        <v>-3787864.4099999964</v>
      </c>
      <c r="I18">
        <v>48052056.31</v>
      </c>
    </row>
    <row r="19">
      <c r="A19">
        <v>1110612000</v>
      </c>
      <c r="B19" t="str">
        <v>Fondos de Promoción Turística</v>
      </c>
      <c r="C19">
        <v>0</v>
      </c>
      <c r="D19">
        <v>0</v>
      </c>
      <c r="E19">
        <v>0</v>
      </c>
      <c r="F19">
        <f>+C19+D19+E19</f>
        <v>0</v>
      </c>
      <c r="G19">
        <v>33082930.45</v>
      </c>
      <c r="H19">
        <f>+F19-G19</f>
        <v>-33082930.45</v>
      </c>
      <c r="I19">
        <v>13874353.98</v>
      </c>
    </row>
    <row r="20">
      <c r="A20">
        <v>1120511000</v>
      </c>
      <c r="B20" t="str">
        <v>Ingresos Eventuales</v>
      </c>
      <c r="C20">
        <v>0</v>
      </c>
      <c r="D20">
        <v>0</v>
      </c>
      <c r="E20">
        <v>0</v>
      </c>
      <c r="F20">
        <f>+C20+D20+E20</f>
        <v>0</v>
      </c>
      <c r="G20">
        <v>1881897.21</v>
      </c>
      <c r="H20">
        <f>+F20-G20</f>
        <v>-1881897.21</v>
      </c>
      <c r="I20">
        <v>1881897.21</v>
      </c>
    </row>
    <row r="21">
      <c r="A21">
        <v>1120705195</v>
      </c>
      <c r="B21" t="str">
        <v>Aportes No Reintegrables SEOS - Gob.de Mendoza</v>
      </c>
      <c r="C21">
        <v>1003433000</v>
      </c>
      <c r="D21">
        <v>0</v>
      </c>
      <c r="E21">
        <v>0</v>
      </c>
      <c r="F21">
        <f>+C21+D21+E21</f>
        <v>1003433000</v>
      </c>
      <c r="G21">
        <v>895129217.94</v>
      </c>
      <c r="H21">
        <f>+F21-G21</f>
        <v>108303782.05999994</v>
      </c>
      <c r="I21">
        <v>341794384.92</v>
      </c>
    </row>
    <row r="22">
      <c r="A22">
        <v>1120706195</v>
      </c>
      <c r="B22" t="str">
        <v>Aportes No Reintegrables Gob. de Mendoza</v>
      </c>
      <c r="C22">
        <v>1680000000</v>
      </c>
      <c r="D22">
        <v>16324000</v>
      </c>
      <c r="E22">
        <v>0</v>
      </c>
      <c r="F22">
        <f>+C22+D22+E22</f>
        <v>1696324000</v>
      </c>
      <c r="G22">
        <v>155676869.4</v>
      </c>
      <c r="H22">
        <f>+F22-G22</f>
        <v>1540647130.6</v>
      </c>
      <c r="I22">
        <v>23000000</v>
      </c>
    </row>
    <row r="23">
      <c r="A23">
        <v>1261900214</v>
      </c>
      <c r="B23" t="str">
        <v>Ley 26075 Financiamiento Educativo</v>
      </c>
      <c r="C23">
        <v>2048541707</v>
      </c>
      <c r="D23">
        <v>0</v>
      </c>
      <c r="E23">
        <v>0</v>
      </c>
      <c r="F23">
        <f>+C23+D23+E23</f>
        <v>2048541707</v>
      </c>
      <c r="G23">
        <v>1449662144</v>
      </c>
      <c r="H23">
        <f>+F23-G23</f>
        <v>598879563</v>
      </c>
      <c r="I23">
        <v>750672203</v>
      </c>
    </row>
    <row r="24">
      <c r="A24">
        <v>1270100000</v>
      </c>
      <c r="B24" t="str">
        <v>Del Tesoro Nacional</v>
      </c>
      <c r="C24">
        <v>8187344685</v>
      </c>
      <c r="D24">
        <v>4346203405.46</v>
      </c>
      <c r="E24">
        <v>0</v>
      </c>
      <c r="F24">
        <f>+C24+D24+E24</f>
        <v>12533548090.46</v>
      </c>
      <c r="G24">
        <v>0</v>
      </c>
      <c r="H24">
        <f>+F24-G24</f>
        <v>12533548090.46</v>
      </c>
      <c r="I24">
        <v>0</v>
      </c>
    </row>
    <row r="25">
      <c r="A25">
        <v>1270101194</v>
      </c>
      <c r="B25" t="str">
        <v>Remesas de la Nación - Aportes No Reintegrables-194</v>
      </c>
      <c r="C25">
        <v>10000000</v>
      </c>
      <c r="D25">
        <v>0</v>
      </c>
      <c r="E25">
        <v>0</v>
      </c>
      <c r="F25">
        <f>+C25+D25+E25</f>
        <v>10000000</v>
      </c>
      <c r="G25">
        <v>0</v>
      </c>
      <c r="H25">
        <f>+F25-G25</f>
        <v>10000000</v>
      </c>
      <c r="I25">
        <v>0</v>
      </c>
    </row>
    <row r="26">
      <c r="A26">
        <v>1310100000</v>
      </c>
      <c r="B26" t="str">
        <v>Derechos Servicios Prop. Raíz</v>
      </c>
      <c r="C26">
        <v>903991717.33</v>
      </c>
      <c r="D26">
        <v>0</v>
      </c>
      <c r="E26">
        <v>0</v>
      </c>
      <c r="F26">
        <f>+C26+D26+E26</f>
        <v>903991717.33</v>
      </c>
      <c r="G26">
        <v>453164151.47</v>
      </c>
      <c r="H26">
        <f>+F26-G26</f>
        <v>450827565.86</v>
      </c>
      <c r="I26">
        <v>112913542.58</v>
      </c>
    </row>
    <row r="27">
      <c r="A27">
        <v>1310200000</v>
      </c>
      <c r="B27" t="str">
        <v>Derechos Comercio e Industria</v>
      </c>
      <c r="C27">
        <v>439702262.96</v>
      </c>
      <c r="D27">
        <v>0</v>
      </c>
      <c r="E27">
        <v>0</v>
      </c>
      <c r="F27">
        <f>+C27+D27+E27</f>
        <v>439702262.96</v>
      </c>
      <c r="G27">
        <v>356039769.97</v>
      </c>
      <c r="H27">
        <f>+F27-G27</f>
        <v>83662492.98999995</v>
      </c>
      <c r="I27">
        <v>92718352.3</v>
      </c>
    </row>
    <row r="28">
      <c r="A28">
        <v>1310300000</v>
      </c>
      <c r="B28" t="str">
        <v>Derechos de Cementerios</v>
      </c>
      <c r="C28">
        <v>186068611.59</v>
      </c>
      <c r="D28">
        <v>0</v>
      </c>
      <c r="E28">
        <v>0</v>
      </c>
      <c r="F28">
        <f>+C28+D28+E28</f>
        <v>186068611.59</v>
      </c>
      <c r="G28">
        <v>22962553.83</v>
      </c>
      <c r="H28">
        <f>+F28-G28</f>
        <v>163106057.76</v>
      </c>
      <c r="I28">
        <v>0</v>
      </c>
    </row>
    <row r="29">
      <c r="A29">
        <v>1310301000</v>
      </c>
      <c r="B29" t="str">
        <v>Derecho de Cementerio  Gral.</v>
      </c>
      <c r="C29">
        <v>0</v>
      </c>
      <c r="D29">
        <v>0</v>
      </c>
      <c r="E29">
        <v>0</v>
      </c>
      <c r="F29">
        <f>+C29+D29+E29</f>
        <v>0</v>
      </c>
      <c r="G29">
        <v>33398398.89</v>
      </c>
      <c r="H29">
        <f>+F29-G29</f>
        <v>-33398398.89</v>
      </c>
      <c r="I29">
        <v>28686227.92</v>
      </c>
    </row>
    <row r="30">
      <c r="A30">
        <v>1310302000</v>
      </c>
      <c r="B30" t="str">
        <v>Sellado De Cementerio</v>
      </c>
      <c r="C30">
        <v>0</v>
      </c>
      <c r="D30">
        <v>0</v>
      </c>
      <c r="E30">
        <v>0</v>
      </c>
      <c r="F30">
        <f>+C30+D30+E30</f>
        <v>0</v>
      </c>
      <c r="G30">
        <v>2622761.7</v>
      </c>
      <c r="H30">
        <f>+F30-G30</f>
        <v>-2622761.7</v>
      </c>
      <c r="I30">
        <v>2290411.7</v>
      </c>
    </row>
    <row r="31">
      <c r="A31">
        <v>1310400000</v>
      </c>
      <c r="B31" t="str">
        <v>Derechos de Actuación Administrativa</v>
      </c>
      <c r="C31">
        <v>37144477.34</v>
      </c>
      <c r="D31">
        <v>0</v>
      </c>
      <c r="E31">
        <v>0</v>
      </c>
      <c r="F31">
        <f>+C31+D31+E31</f>
        <v>37144477.34</v>
      </c>
      <c r="G31">
        <v>17699214.57</v>
      </c>
      <c r="H31">
        <f>+F31-G31</f>
        <v>19445262.770000003</v>
      </c>
      <c r="I31">
        <v>2192444.15</v>
      </c>
    </row>
    <row r="32">
      <c r="A32">
        <v>1310401000</v>
      </c>
      <c r="B32" t="str">
        <v>Sellados</v>
      </c>
      <c r="C32">
        <v>24293465.28</v>
      </c>
      <c r="D32">
        <v>0</v>
      </c>
      <c r="E32">
        <v>0</v>
      </c>
      <c r="F32">
        <f>+C32+D32+E32</f>
        <v>24293465.28</v>
      </c>
      <c r="G32">
        <v>5009725.86</v>
      </c>
      <c r="H32">
        <f>+F32-G32</f>
        <v>19283739.42</v>
      </c>
      <c r="I32">
        <v>0</v>
      </c>
    </row>
    <row r="33">
      <c r="A33">
        <v>1310402000</v>
      </c>
      <c r="B33" t="str">
        <v>Gastos Administrativos de Apremio</v>
      </c>
      <c r="C33">
        <v>1052590.57</v>
      </c>
      <c r="D33">
        <v>0</v>
      </c>
      <c r="E33">
        <v>0</v>
      </c>
      <c r="F33">
        <f>+C33+D33+E33</f>
        <v>1052590.57</v>
      </c>
      <c r="G33">
        <v>339941.59</v>
      </c>
      <c r="H33">
        <f>+F33-G33</f>
        <v>712648.98</v>
      </c>
      <c r="I33">
        <v>0</v>
      </c>
    </row>
    <row r="34">
      <c r="A34">
        <v>1310500000</v>
      </c>
      <c r="B34" t="str">
        <v>Derechos de Edificación</v>
      </c>
      <c r="C34">
        <v>10846064.76</v>
      </c>
      <c r="D34">
        <v>0</v>
      </c>
      <c r="E34">
        <v>0</v>
      </c>
      <c r="F34">
        <f>+C34+D34+E34</f>
        <v>10846064.76</v>
      </c>
      <c r="G34">
        <v>11869314.84</v>
      </c>
      <c r="H34">
        <f>+F34-G34</f>
        <v>-1023250.0800000001</v>
      </c>
      <c r="I34">
        <v>5243413.09</v>
      </c>
    </row>
    <row r="35">
      <c r="A35">
        <v>1310600000</v>
      </c>
      <c r="B35" t="str">
        <v>Derecho de Inspección y Habilitación Eléctrica</v>
      </c>
      <c r="C35">
        <v>1633459.38</v>
      </c>
      <c r="D35">
        <v>0</v>
      </c>
      <c r="E35">
        <v>0</v>
      </c>
      <c r="F35">
        <f>+C35+D35+E35</f>
        <v>1633459.38</v>
      </c>
      <c r="G35">
        <v>334295.89</v>
      </c>
      <c r="H35">
        <f>+F35-G35</f>
        <v>1299163.4899999998</v>
      </c>
      <c r="I35">
        <v>157735.22</v>
      </c>
    </row>
    <row r="36">
      <c r="A36">
        <v>1310700000</v>
      </c>
      <c r="B36" t="str">
        <v>Derecho de Inspección de Espectáculas Públicos</v>
      </c>
      <c r="C36">
        <v>9272708.9</v>
      </c>
      <c r="D36">
        <v>0</v>
      </c>
      <c r="E36">
        <v>0</v>
      </c>
      <c r="F36">
        <f>+C36+D36+E36</f>
        <v>9272708.9</v>
      </c>
      <c r="G36">
        <v>2298022.6</v>
      </c>
      <c r="H36">
        <f>+F36-G36</f>
        <v>6974686.300000001</v>
      </c>
      <c r="I36">
        <v>0</v>
      </c>
    </row>
    <row r="37">
      <c r="A37">
        <v>1310800000</v>
      </c>
      <c r="B37" t="str">
        <v>Derechos de Publicidad y Propaganda</v>
      </c>
      <c r="C37">
        <v>64909.63</v>
      </c>
      <c r="D37">
        <v>0</v>
      </c>
      <c r="E37">
        <v>0</v>
      </c>
      <c r="F37">
        <f>+C37+D37+E37</f>
        <v>64909.63</v>
      </c>
      <c r="G37">
        <v>124952</v>
      </c>
      <c r="H37">
        <f>+F37-G37</f>
        <v>-60042.37</v>
      </c>
      <c r="I37">
        <v>52020</v>
      </c>
    </row>
    <row r="38">
      <c r="A38">
        <v>1311010000</v>
      </c>
      <c r="B38" t="str">
        <v>Derechos de Concesiones - Locales</v>
      </c>
      <c r="C38">
        <v>21844070.82</v>
      </c>
      <c r="D38">
        <v>0</v>
      </c>
      <c r="E38">
        <v>0</v>
      </c>
      <c r="F38">
        <f>+C38+D38+E38</f>
        <v>21844070.82</v>
      </c>
      <c r="G38">
        <v>13253706.94</v>
      </c>
      <c r="H38">
        <f>+F38-G38</f>
        <v>8590363.88</v>
      </c>
      <c r="I38">
        <v>4845071.82</v>
      </c>
    </row>
    <row r="39">
      <c r="A39">
        <v>1311100000</v>
      </c>
      <c r="B39" t="str">
        <v>Derechos de Salubridad e Higiene</v>
      </c>
      <c r="C39">
        <v>403401.14</v>
      </c>
      <c r="D39">
        <v>0</v>
      </c>
      <c r="E39">
        <v>0</v>
      </c>
      <c r="F39">
        <f>+C39+D39+E39</f>
        <v>403401.14</v>
      </c>
      <c r="G39">
        <v>224524.1</v>
      </c>
      <c r="H39">
        <f>+F39-G39</f>
        <v>178877.04</v>
      </c>
      <c r="I39">
        <v>0</v>
      </c>
    </row>
    <row r="40">
      <c r="A40">
        <v>1311102000</v>
      </c>
      <c r="B40" t="str">
        <v>Derecho de Inspección, Higiene Urbana y Saneamiento Ambiental Gral.</v>
      </c>
      <c r="C40">
        <v>0</v>
      </c>
      <c r="D40">
        <v>0</v>
      </c>
      <c r="E40">
        <v>0</v>
      </c>
      <c r="F40">
        <f>+C40+D40+E40</f>
        <v>0</v>
      </c>
      <c r="G40">
        <v>1363068.5</v>
      </c>
      <c r="H40">
        <f>+F40-G40</f>
        <v>-1363068.5</v>
      </c>
      <c r="I40">
        <v>1075513.5</v>
      </c>
    </row>
    <row r="41">
      <c r="A41">
        <v>1311200000</v>
      </c>
      <c r="B41" t="str">
        <v>Derechos de Ocupación de Espacios Públicos</v>
      </c>
      <c r="C41">
        <v>59151576.16</v>
      </c>
      <c r="D41">
        <v>0</v>
      </c>
      <c r="E41">
        <v>0</v>
      </c>
      <c r="F41">
        <f>+C41+D41+E41</f>
        <v>59151576.16</v>
      </c>
      <c r="G41">
        <v>8266749.38</v>
      </c>
      <c r="H41">
        <f>+F41-G41</f>
        <v>50884826.779999994</v>
      </c>
      <c r="I41">
        <v>0</v>
      </c>
    </row>
    <row r="42">
      <c r="A42">
        <v>1311201000</v>
      </c>
      <c r="B42" t="str">
        <v>Derechos de Ocupación de Espacios Públicos- Playón Municipal</v>
      </c>
      <c r="C42">
        <v>2038612.6</v>
      </c>
      <c r="D42">
        <v>0</v>
      </c>
      <c r="E42">
        <v>0</v>
      </c>
      <c r="F42">
        <f>+C42+D42+E42</f>
        <v>2038612.6</v>
      </c>
      <c r="G42">
        <v>846200</v>
      </c>
      <c r="H42">
        <f>+F42-G42</f>
        <v>1192412.6</v>
      </c>
      <c r="I42">
        <v>0</v>
      </c>
    </row>
    <row r="43">
      <c r="A43">
        <v>1311203000</v>
      </c>
      <c r="B43" t="str">
        <v>Sellado de Ocupación de Espacio Público Gral.</v>
      </c>
      <c r="C43">
        <v>0</v>
      </c>
      <c r="D43">
        <v>0</v>
      </c>
      <c r="E43">
        <v>0</v>
      </c>
      <c r="F43">
        <f>+C43+D43+E43</f>
        <v>0</v>
      </c>
      <c r="G43">
        <v>2123625.11</v>
      </c>
      <c r="H43">
        <f>+F43-G43</f>
        <v>-2123625.11</v>
      </c>
      <c r="I43">
        <v>1582166.88</v>
      </c>
    </row>
    <row r="44">
      <c r="A44">
        <v>1311204000</v>
      </c>
      <c r="B44" t="str">
        <v>Derecho de O.E.P. Frente a Comercio</v>
      </c>
      <c r="C44">
        <v>0</v>
      </c>
      <c r="D44">
        <v>0</v>
      </c>
      <c r="E44">
        <v>0</v>
      </c>
      <c r="F44">
        <f>+C44+D44+E44</f>
        <v>0</v>
      </c>
      <c r="G44">
        <v>816718.43</v>
      </c>
      <c r="H44">
        <f>+F44-G44</f>
        <v>-816718.43</v>
      </c>
      <c r="I44">
        <v>809359.77</v>
      </c>
    </row>
    <row r="45">
      <c r="A45">
        <v>1311302000</v>
      </c>
      <c r="B45" t="str">
        <v>Comercio e Industria Ej. Vencidos</v>
      </c>
      <c r="C45">
        <v>0.05</v>
      </c>
      <c r="D45">
        <v>0</v>
      </c>
      <c r="E45">
        <v>0</v>
      </c>
      <c r="F45">
        <f>+C45+D45+E45</f>
        <v>0.05</v>
      </c>
      <c r="G45">
        <v>0</v>
      </c>
      <c r="H45">
        <f>+F45-G45</f>
        <v>0.05</v>
      </c>
      <c r="I45">
        <v>0</v>
      </c>
    </row>
    <row r="46">
      <c r="A46">
        <v>1311500000</v>
      </c>
      <c r="B46" t="str">
        <v>Derechos de Verificación y Habilitación de Estructura de Antenas</v>
      </c>
      <c r="C46">
        <v>35237854.5</v>
      </c>
      <c r="D46">
        <v>0</v>
      </c>
      <c r="E46">
        <v>0</v>
      </c>
      <c r="F46">
        <f>+C46+D46+E46</f>
        <v>35237854.5</v>
      </c>
      <c r="G46">
        <v>16386300</v>
      </c>
      <c r="H46">
        <f>+F46-G46</f>
        <v>18851554.5</v>
      </c>
      <c r="I46">
        <v>0</v>
      </c>
    </row>
    <row r="47">
      <c r="A47">
        <v>1311600000</v>
      </c>
      <c r="B47" t="str">
        <v>Derechos de Transferencia</v>
      </c>
      <c r="C47">
        <v>0</v>
      </c>
      <c r="D47">
        <v>0</v>
      </c>
      <c r="E47">
        <v>0</v>
      </c>
      <c r="F47">
        <f>+C47+D47+E47</f>
        <v>0</v>
      </c>
      <c r="G47">
        <v>1141622.25</v>
      </c>
      <c r="H47">
        <f>+F47-G47</f>
        <v>-1141622.25</v>
      </c>
      <c r="I47">
        <v>1015907.25</v>
      </c>
    </row>
    <row r="48">
      <c r="A48">
        <v>1320100000</v>
      </c>
      <c r="B48" t="str">
        <v>Multas Generales</v>
      </c>
      <c r="C48">
        <v>24309000</v>
      </c>
      <c r="D48">
        <v>0</v>
      </c>
      <c r="E48">
        <v>0</v>
      </c>
      <c r="F48">
        <f>+C48+D48+E48</f>
        <v>24309000</v>
      </c>
      <c r="G48">
        <v>29230435.97</v>
      </c>
      <c r="H48">
        <f>+F48-G48</f>
        <v>-4921435.969999999</v>
      </c>
      <c r="I48">
        <v>17646638.68</v>
      </c>
    </row>
    <row r="49">
      <c r="A49">
        <v>1320100001</v>
      </c>
      <c r="B49" t="str">
        <v>Multas juzgado vial</v>
      </c>
      <c r="C49">
        <v>15872000</v>
      </c>
      <c r="D49">
        <v>0</v>
      </c>
      <c r="E49">
        <v>0</v>
      </c>
      <c r="F49">
        <f>+C49+D49+E49</f>
        <v>15872000</v>
      </c>
      <c r="G49">
        <v>4284874.8</v>
      </c>
      <c r="H49">
        <f>+F49-G49</f>
        <v>11587125.2</v>
      </c>
      <c r="I49">
        <v>0</v>
      </c>
    </row>
    <row r="50">
      <c r="A50">
        <v>1320100002</v>
      </c>
      <c r="B50" t="str">
        <v>Ingreso por Servicios de Control de Velocidad</v>
      </c>
      <c r="C50">
        <v>52493000</v>
      </c>
      <c r="D50">
        <v>0</v>
      </c>
      <c r="E50">
        <v>0</v>
      </c>
      <c r="F50">
        <f>+C50+D50+E50</f>
        <v>52493000</v>
      </c>
      <c r="G50">
        <v>5095939.76</v>
      </c>
      <c r="H50">
        <f>+F50-G50</f>
        <v>47397060.24</v>
      </c>
      <c r="I50">
        <v>0</v>
      </c>
    </row>
    <row r="51">
      <c r="A51">
        <v>1320100003</v>
      </c>
      <c r="B51" t="str">
        <v>Ingreso Serv. Control de Velocidad con Resolución</v>
      </c>
      <c r="C51">
        <v>3141000</v>
      </c>
      <c r="D51">
        <v>0</v>
      </c>
      <c r="E51">
        <v>0</v>
      </c>
      <c r="F51">
        <f>+C51+D51+E51</f>
        <v>3141000</v>
      </c>
      <c r="G51">
        <v>100550</v>
      </c>
      <c r="H51">
        <f>+F51-G51</f>
        <v>3040450</v>
      </c>
      <c r="I51">
        <v>0</v>
      </c>
    </row>
    <row r="52">
      <c r="A52">
        <v>1320200000</v>
      </c>
      <c r="B52" t="str">
        <v>Intereses y Recargos</v>
      </c>
      <c r="C52">
        <v>107575000</v>
      </c>
      <c r="D52">
        <v>0</v>
      </c>
      <c r="E52">
        <v>0</v>
      </c>
      <c r="F52">
        <f>+C52+D52+E52</f>
        <v>107575000</v>
      </c>
      <c r="G52">
        <v>45483115.28</v>
      </c>
      <c r="H52">
        <f>+F52-G52</f>
        <v>62091884.72</v>
      </c>
      <c r="I52">
        <v>0</v>
      </c>
    </row>
    <row r="53">
      <c r="A53">
        <v>1320201000</v>
      </c>
      <c r="B53" t="str">
        <v>Intereses Ganados Plazo Fijo</v>
      </c>
      <c r="C53">
        <v>1000000000</v>
      </c>
      <c r="D53">
        <v>0</v>
      </c>
      <c r="E53">
        <v>0</v>
      </c>
      <c r="F53">
        <f>+C53+D53+E53</f>
        <v>1000000000</v>
      </c>
      <c r="G53">
        <v>816665480.06</v>
      </c>
      <c r="H53">
        <f>+F53-G53</f>
        <v>183334519.94000006</v>
      </c>
      <c r="I53">
        <v>0</v>
      </c>
    </row>
    <row r="54">
      <c r="A54">
        <v>1320203000</v>
      </c>
      <c r="B54" t="str">
        <v>Intereses ganados inversiones corrientes</v>
      </c>
      <c r="C54">
        <v>0</v>
      </c>
      <c r="D54">
        <v>0</v>
      </c>
      <c r="E54">
        <v>0</v>
      </c>
      <c r="F54">
        <f>+C54+D54+E54</f>
        <v>0</v>
      </c>
      <c r="G54">
        <v>1476255180.8</v>
      </c>
      <c r="H54">
        <f>+F54-G54</f>
        <v>-1476255180.8</v>
      </c>
      <c r="I54">
        <v>1348887070.2</v>
      </c>
    </row>
    <row r="55">
      <c r="A55">
        <v>1320205000</v>
      </c>
      <c r="B55" t="str">
        <v>Intereses Resarcitorios</v>
      </c>
      <c r="C55">
        <v>0</v>
      </c>
      <c r="D55">
        <v>0</v>
      </c>
      <c r="E55">
        <v>0</v>
      </c>
      <c r="F55">
        <f>+C55+D55+E55</f>
        <v>0</v>
      </c>
      <c r="G55">
        <v>31553844.61</v>
      </c>
      <c r="H55">
        <f>+F55-G55</f>
        <v>-31553844.61</v>
      </c>
      <c r="I55">
        <v>27999660.1</v>
      </c>
    </row>
    <row r="56">
      <c r="A56">
        <v>1320300000</v>
      </c>
      <c r="B56" t="str">
        <v>Concesión Servicio de emisión licencias de conducir</v>
      </c>
      <c r="C56">
        <v>79303000</v>
      </c>
      <c r="D56">
        <v>0</v>
      </c>
      <c r="E56">
        <v>0</v>
      </c>
      <c r="F56">
        <f>+C56+D56+E56</f>
        <v>79303000</v>
      </c>
      <c r="G56">
        <v>47375668</v>
      </c>
      <c r="H56">
        <f>+F56-G56</f>
        <v>31927332</v>
      </c>
      <c r="I56">
        <v>19427668</v>
      </c>
    </row>
    <row r="57">
      <c r="A57">
        <v>1320400000</v>
      </c>
      <c r="B57" t="str">
        <v>Producido de Actividades Culturales</v>
      </c>
      <c r="C57">
        <v>265000</v>
      </c>
      <c r="D57">
        <v>0</v>
      </c>
      <c r="E57">
        <v>0</v>
      </c>
      <c r="F57">
        <f>+C57+D57+E57</f>
        <v>265000</v>
      </c>
      <c r="G57">
        <v>123800</v>
      </c>
      <c r="H57">
        <f>+F57-G57</f>
        <v>141200</v>
      </c>
      <c r="I57">
        <v>0</v>
      </c>
    </row>
    <row r="58">
      <c r="A58">
        <v>1320401000</v>
      </c>
      <c r="B58" t="str">
        <v>Cultura y Educación</v>
      </c>
      <c r="C58">
        <v>635000</v>
      </c>
      <c r="D58">
        <v>0</v>
      </c>
      <c r="E58">
        <v>0</v>
      </c>
      <c r="F58">
        <f>+C58+D58+E58</f>
        <v>635000</v>
      </c>
      <c r="G58">
        <v>263568</v>
      </c>
      <c r="H58">
        <f>+F58-G58</f>
        <v>371432</v>
      </c>
      <c r="I58">
        <v>0</v>
      </c>
    </row>
    <row r="59">
      <c r="A59">
        <v>1320600000</v>
      </c>
      <c r="B59" t="str">
        <v>Producido de actividades gestión de cobranza</v>
      </c>
      <c r="C59">
        <v>2739000</v>
      </c>
      <c r="D59">
        <v>0</v>
      </c>
      <c r="E59">
        <v>0</v>
      </c>
      <c r="F59">
        <f>+C59+D59+E59</f>
        <v>2739000</v>
      </c>
      <c r="G59">
        <v>2148238.77</v>
      </c>
      <c r="H59">
        <f>+F59-G59</f>
        <v>590761.23</v>
      </c>
      <c r="I59">
        <v>884042.14</v>
      </c>
    </row>
    <row r="60">
      <c r="A60">
        <v>1320700000</v>
      </c>
      <c r="B60" t="str">
        <v>Producido de actividades especiales</v>
      </c>
      <c r="C60">
        <v>10730000</v>
      </c>
      <c r="D60">
        <v>0</v>
      </c>
      <c r="E60">
        <v>0</v>
      </c>
      <c r="F60">
        <f>+C60+D60+E60</f>
        <v>10730000</v>
      </c>
      <c r="G60">
        <v>4571571.79</v>
      </c>
      <c r="H60">
        <f>+F60-G60</f>
        <v>6158428.21</v>
      </c>
      <c r="I60">
        <v>0</v>
      </c>
    </row>
    <row r="61">
      <c r="A61">
        <v>1320701000</v>
      </c>
      <c r="B61" t="str">
        <v>Atmosférico</v>
      </c>
      <c r="C61">
        <v>2318000</v>
      </c>
      <c r="D61">
        <v>0</v>
      </c>
      <c r="E61">
        <v>0</v>
      </c>
      <c r="F61">
        <f>+C61+D61+E61</f>
        <v>2318000</v>
      </c>
      <c r="G61">
        <v>1856046.38</v>
      </c>
      <c r="H61">
        <f>+F61-G61</f>
        <v>461953.6200000001</v>
      </c>
      <c r="I61">
        <v>595426.7</v>
      </c>
    </row>
    <row r="62">
      <c r="A62">
        <v>1320703000</v>
      </c>
      <c r="B62" t="str">
        <v>Educación</v>
      </c>
      <c r="C62">
        <v>0</v>
      </c>
      <c r="D62">
        <v>0</v>
      </c>
      <c r="E62">
        <v>0</v>
      </c>
      <c r="F62">
        <f>+C62+D62+E62</f>
        <v>0</v>
      </c>
      <c r="G62">
        <v>252008</v>
      </c>
      <c r="H62">
        <f>+F62-G62</f>
        <v>-252008</v>
      </c>
      <c r="I62">
        <v>198832</v>
      </c>
    </row>
    <row r="63">
      <c r="A63">
        <v>1320704000</v>
      </c>
      <c r="B63" t="str">
        <v>Sistema de Alarma Comunitaria</v>
      </c>
      <c r="C63">
        <v>1550000</v>
      </c>
      <c r="D63">
        <v>0</v>
      </c>
      <c r="E63">
        <v>0</v>
      </c>
      <c r="F63">
        <f>+C63+D63+E63</f>
        <v>1550000</v>
      </c>
      <c r="G63">
        <v>864645.96</v>
      </c>
      <c r="H63">
        <f>+F63-G63</f>
        <v>685354.04</v>
      </c>
      <c r="I63">
        <v>625000</v>
      </c>
    </row>
    <row r="64">
      <c r="A64">
        <v>1320705000</v>
      </c>
      <c r="B64" t="str">
        <v>Provisión de Agua</v>
      </c>
      <c r="C64">
        <v>0</v>
      </c>
      <c r="D64">
        <v>0</v>
      </c>
      <c r="E64">
        <v>0</v>
      </c>
      <c r="F64">
        <f>+C64+D64+E64</f>
        <v>0</v>
      </c>
      <c r="G64">
        <v>769769.06</v>
      </c>
      <c r="H64">
        <f>+F64-G64</f>
        <v>-769769.06</v>
      </c>
      <c r="I64">
        <v>482175.06</v>
      </c>
    </row>
    <row r="65">
      <c r="A65">
        <v>1321100000</v>
      </c>
      <c r="B65" t="str">
        <v>Ingresos Agentes Financieros</v>
      </c>
      <c r="C65">
        <v>150000000</v>
      </c>
      <c r="D65">
        <v>0</v>
      </c>
      <c r="E65">
        <v>0</v>
      </c>
      <c r="F65">
        <f>+C65+D65+E65</f>
        <v>150000000</v>
      </c>
      <c r="G65">
        <v>87807679.63</v>
      </c>
      <c r="H65">
        <f>+F65-G65</f>
        <v>62192320.370000005</v>
      </c>
      <c r="I65">
        <v>37803088.4</v>
      </c>
    </row>
    <row r="66">
      <c r="A66">
        <v>1321200000</v>
      </c>
      <c r="B66" t="str">
        <v>Cargo por Alumbrado Publico</v>
      </c>
      <c r="C66">
        <v>29412000</v>
      </c>
      <c r="D66">
        <v>0</v>
      </c>
      <c r="E66">
        <v>0</v>
      </c>
      <c r="F66">
        <f>+C66+D66+E66</f>
        <v>29412000</v>
      </c>
      <c r="G66">
        <v>27392839.27</v>
      </c>
      <c r="H66">
        <f>+F66-G66</f>
        <v>2019160.7300000004</v>
      </c>
      <c r="I66">
        <v>11898459.82</v>
      </c>
    </row>
    <row r="67">
      <c r="A67">
        <v>1321300000</v>
      </c>
      <c r="B67" t="str">
        <v>Producido de Estacionamiento Medido</v>
      </c>
      <c r="C67">
        <v>0</v>
      </c>
      <c r="D67">
        <v>0</v>
      </c>
      <c r="E67">
        <v>0</v>
      </c>
      <c r="F67">
        <f>+C67+D67+E67</f>
        <v>0</v>
      </c>
      <c r="G67">
        <v>10736317.07</v>
      </c>
      <c r="H67">
        <f>+F67-G67</f>
        <v>-10736317.07</v>
      </c>
      <c r="I67">
        <v>9638607.78</v>
      </c>
    </row>
    <row r="68">
      <c r="A68">
        <v>1321600000</v>
      </c>
      <c r="B68" t="str">
        <v>Recursos Eventuales</v>
      </c>
      <c r="C68">
        <v>0</v>
      </c>
      <c r="D68">
        <v>0</v>
      </c>
      <c r="E68">
        <v>0</v>
      </c>
      <c r="F68">
        <f>+C68+D68+E68</f>
        <v>0</v>
      </c>
      <c r="G68">
        <v>1881897.21</v>
      </c>
      <c r="H68">
        <f>+F68-G68</f>
        <v>-1881897.21</v>
      </c>
      <c r="I68">
        <v>1881897.21</v>
      </c>
    </row>
    <row r="69">
      <c r="A69">
        <v>1321700000</v>
      </c>
      <c r="B69" t="str">
        <v>Producido de la actividad Turística</v>
      </c>
      <c r="C69">
        <v>6111000</v>
      </c>
      <c r="D69">
        <v>0</v>
      </c>
      <c r="E69">
        <v>0</v>
      </c>
      <c r="F69">
        <f>+C69+D69+E69</f>
        <v>6111000</v>
      </c>
      <c r="G69">
        <v>0</v>
      </c>
      <c r="H69">
        <f>+F69-G69</f>
        <v>6111000</v>
      </c>
      <c r="I69">
        <v>0</v>
      </c>
    </row>
    <row r="70">
      <c r="A70">
        <v>1321800000</v>
      </c>
      <c r="B70" t="str">
        <v>Ventas de Pliegos, Publicaciones y Otros</v>
      </c>
      <c r="C70">
        <v>0</v>
      </c>
      <c r="D70">
        <v>0</v>
      </c>
      <c r="E70">
        <v>0</v>
      </c>
      <c r="F70">
        <f>+C70+D70+E70</f>
        <v>0</v>
      </c>
      <c r="G70">
        <v>3019438.86</v>
      </c>
      <c r="H70">
        <f>+F70-G70</f>
        <v>-3019438.86</v>
      </c>
      <c r="I70">
        <v>2313902.63</v>
      </c>
    </row>
    <row r="71">
      <c r="A71">
        <v>1321901000</v>
      </c>
      <c r="B71" t="str">
        <v>Actas Viales Municipales</v>
      </c>
      <c r="C71">
        <v>0</v>
      </c>
      <c r="D71">
        <v>0</v>
      </c>
      <c r="E71">
        <v>0</v>
      </c>
      <c r="F71">
        <f>+C71+D71+E71</f>
        <v>0</v>
      </c>
      <c r="G71">
        <v>3591242.67</v>
      </c>
      <c r="H71">
        <f>+F71-G71</f>
        <v>-3591242.67</v>
      </c>
      <c r="I71">
        <v>3235296.67</v>
      </c>
    </row>
    <row r="72">
      <c r="A72">
        <v>1321903000</v>
      </c>
      <c r="B72" t="str">
        <v>Resoluciones Viales Municipales</v>
      </c>
      <c r="C72">
        <v>0</v>
      </c>
      <c r="D72">
        <v>0</v>
      </c>
      <c r="E72">
        <v>0</v>
      </c>
      <c r="F72">
        <f>+C72+D72+E72</f>
        <v>0</v>
      </c>
      <c r="G72">
        <v>1250096.69</v>
      </c>
      <c r="H72">
        <f>+F72-G72</f>
        <v>-1250096.69</v>
      </c>
      <c r="I72">
        <v>1043115.01</v>
      </c>
    </row>
    <row r="73">
      <c r="A73">
        <v>1321904000</v>
      </c>
      <c r="B73" t="str">
        <v>Actas Fotomultas</v>
      </c>
      <c r="C73">
        <v>0</v>
      </c>
      <c r="D73">
        <v>0</v>
      </c>
      <c r="E73">
        <v>0</v>
      </c>
      <c r="F73">
        <f>+C73+D73+E73</f>
        <v>0</v>
      </c>
      <c r="G73">
        <v>1420870.27</v>
      </c>
      <c r="H73">
        <f>+F73-G73</f>
        <v>-1420870.27</v>
      </c>
      <c r="I73">
        <v>1420870.27</v>
      </c>
    </row>
    <row r="74">
      <c r="A74">
        <v>1321905000</v>
      </c>
      <c r="B74" t="str">
        <v>Resoluciones Fotomultas</v>
      </c>
      <c r="C74">
        <v>0</v>
      </c>
      <c r="D74">
        <v>0</v>
      </c>
      <c r="E74">
        <v>0</v>
      </c>
      <c r="F74">
        <f>+C74+D74+E74</f>
        <v>0</v>
      </c>
      <c r="G74">
        <v>3605595.38</v>
      </c>
      <c r="H74">
        <f>+F74-G74</f>
        <v>-3605595.38</v>
      </c>
      <c r="I74">
        <v>3544495.38</v>
      </c>
    </row>
    <row r="75">
      <c r="A75">
        <v>1321906000</v>
      </c>
      <c r="B75" t="str">
        <v>Resoluciones Accidentología</v>
      </c>
      <c r="C75">
        <v>0</v>
      </c>
      <c r="D75">
        <v>0</v>
      </c>
      <c r="E75">
        <v>0</v>
      </c>
      <c r="F75">
        <f>+C75+D75+E75</f>
        <v>0</v>
      </c>
      <c r="G75">
        <v>1543694.74</v>
      </c>
      <c r="H75">
        <f>+F75-G75</f>
        <v>-1543694.74</v>
      </c>
      <c r="I75">
        <v>1035257.61</v>
      </c>
    </row>
    <row r="76">
      <c r="A76">
        <v>1322000000</v>
      </c>
      <c r="B76" t="str">
        <v>Contribución Bomberos Voluntarios</v>
      </c>
      <c r="C76">
        <v>0</v>
      </c>
      <c r="D76">
        <v>0</v>
      </c>
      <c r="E76">
        <v>0</v>
      </c>
      <c r="F76">
        <f>+C76+D76+E76</f>
        <v>0</v>
      </c>
      <c r="G76">
        <v>4629725.67</v>
      </c>
      <c r="H76">
        <f>+F76-G76</f>
        <v>-4629725.67</v>
      </c>
      <c r="I76">
        <v>3677438.23</v>
      </c>
    </row>
    <row r="77">
      <c r="A77">
        <v>1323000000</v>
      </c>
      <c r="B77" t="str">
        <v>Ingresos por Gastos Administrativos</v>
      </c>
      <c r="C77">
        <v>0</v>
      </c>
      <c r="D77">
        <v>0</v>
      </c>
      <c r="E77">
        <v>0</v>
      </c>
      <c r="F77">
        <f>+C77+D77+E77</f>
        <v>0</v>
      </c>
      <c r="G77">
        <v>4363356.4</v>
      </c>
      <c r="H77">
        <f>+F77-G77</f>
        <v>-4363356.4</v>
      </c>
      <c r="I77">
        <v>3561593.62</v>
      </c>
    </row>
    <row r="78">
      <c r="A78">
        <v>1324001000</v>
      </c>
      <c r="B78" t="str">
        <v>Ingresos por Gastos Admin. De Apremio</v>
      </c>
      <c r="C78">
        <v>0</v>
      </c>
      <c r="D78">
        <v>0</v>
      </c>
      <c r="E78">
        <v>0</v>
      </c>
      <c r="F78">
        <f>+C78+D78+E78</f>
        <v>0</v>
      </c>
      <c r="G78">
        <v>16342287.03</v>
      </c>
      <c r="H78">
        <f>+F78-G78</f>
        <v>-16342287.03</v>
      </c>
      <c r="I78">
        <v>14070631.82</v>
      </c>
    </row>
    <row r="79">
      <c r="A79">
        <v>1324002000</v>
      </c>
      <c r="B79" t="str">
        <v>Ingresos por Honorarios de Apremio</v>
      </c>
      <c r="C79">
        <v>0</v>
      </c>
      <c r="D79">
        <v>0</v>
      </c>
      <c r="E79">
        <v>0</v>
      </c>
      <c r="F79">
        <f>+C79+D79+E79</f>
        <v>0</v>
      </c>
      <c r="G79">
        <v>6564675.26</v>
      </c>
      <c r="H79">
        <f>+F79-G79</f>
        <v>-6564675.26</v>
      </c>
      <c r="I79">
        <v>5608616.6</v>
      </c>
    </row>
    <row r="80">
      <c r="A80">
        <v>2210100000</v>
      </c>
      <c r="B80" t="str">
        <v>Reembolsos Pavimento</v>
      </c>
      <c r="C80">
        <v>10000000</v>
      </c>
      <c r="D80">
        <v>0</v>
      </c>
      <c r="E80">
        <v>0</v>
      </c>
      <c r="F80">
        <f>+C80+D80+E80</f>
        <v>10000000</v>
      </c>
      <c r="G80">
        <v>5332296.54</v>
      </c>
      <c r="H80">
        <f>+F80-G80</f>
        <v>4667703.46</v>
      </c>
      <c r="I80">
        <v>2619349.38</v>
      </c>
    </row>
    <row r="81">
      <c r="A81">
        <v>2210400000</v>
      </c>
      <c r="B81" t="str">
        <v>Reembolsos Redes de Agua</v>
      </c>
      <c r="C81">
        <v>0</v>
      </c>
      <c r="D81">
        <v>0</v>
      </c>
      <c r="E81">
        <v>0</v>
      </c>
      <c r="F81">
        <f>+C81+D81+E81</f>
        <v>0</v>
      </c>
      <c r="G81">
        <v>58.95</v>
      </c>
      <c r="H81">
        <f>+F81-G81</f>
        <v>-58.95</v>
      </c>
      <c r="I81">
        <v>58.95</v>
      </c>
    </row>
    <row r="82">
      <c r="A82">
        <v>2210500000</v>
      </c>
      <c r="B82" t="str">
        <v>Reemolsos Red Dist. Gas</v>
      </c>
      <c r="C82">
        <v>0</v>
      </c>
      <c r="D82">
        <v>0</v>
      </c>
      <c r="E82">
        <v>0</v>
      </c>
      <c r="F82">
        <f>+C82+D82+E82</f>
        <v>0</v>
      </c>
      <c r="G82">
        <v>2016.56</v>
      </c>
      <c r="H82">
        <f>+F82-G82</f>
        <v>-2016.56</v>
      </c>
      <c r="I82">
        <v>1708.16</v>
      </c>
    </row>
    <row r="83">
      <c r="A83">
        <v>2210801000</v>
      </c>
      <c r="B83" t="str">
        <v>Reemb. Ej. Vdos. Pavimento</v>
      </c>
      <c r="C83">
        <v>0</v>
      </c>
      <c r="D83">
        <v>0</v>
      </c>
      <c r="E83">
        <v>0</v>
      </c>
      <c r="F83">
        <f>+C83+D83+E83</f>
        <v>0</v>
      </c>
      <c r="G83">
        <v>3852.79</v>
      </c>
      <c r="H83">
        <f>+F83-G83</f>
        <v>-3852.79</v>
      </c>
      <c r="I83">
        <v>0</v>
      </c>
    </row>
    <row r="84">
      <c r="A84">
        <v>2210802000</v>
      </c>
      <c r="B84" t="str">
        <v>Reemb. Ej. Vdos. Alumbrado Público</v>
      </c>
      <c r="C84">
        <v>0</v>
      </c>
      <c r="D84">
        <v>0</v>
      </c>
      <c r="E84">
        <v>0</v>
      </c>
      <c r="F84">
        <f>+C84+D84+E84</f>
        <v>0</v>
      </c>
      <c r="G84">
        <v>35.99</v>
      </c>
      <c r="H84">
        <f>+F84-G84</f>
        <v>-35.99</v>
      </c>
      <c r="I84">
        <v>0</v>
      </c>
    </row>
    <row r="85">
      <c r="A85">
        <v>2210806000</v>
      </c>
      <c r="B85" t="str">
        <v>Reemb. Ej. Vdos. Red Dist. Gas</v>
      </c>
      <c r="C85">
        <v>0</v>
      </c>
      <c r="D85">
        <v>0</v>
      </c>
      <c r="E85">
        <v>0</v>
      </c>
      <c r="F85">
        <f>+C85+D85+E85</f>
        <v>0</v>
      </c>
      <c r="G85">
        <v>912.32</v>
      </c>
      <c r="H85">
        <f>+F85-G85</f>
        <v>-912.32</v>
      </c>
      <c r="I85">
        <v>0</v>
      </c>
    </row>
    <row r="86">
      <c r="A86">
        <v>7110601000</v>
      </c>
      <c r="B86" t="str">
        <v>Empréstitos Públicos</v>
      </c>
      <c r="C86">
        <v>300000000</v>
      </c>
      <c r="D86">
        <v>0</v>
      </c>
      <c r="E86">
        <v>0</v>
      </c>
      <c r="F86">
        <f>+C86+D86+E86</f>
        <v>300000000</v>
      </c>
      <c r="G86">
        <v>0</v>
      </c>
      <c r="H86">
        <f>+F86-G86</f>
        <v>300000000</v>
      </c>
      <c r="I86">
        <v>0</v>
      </c>
    </row>
    <row r="87">
      <c r="A87">
        <v>7460000000</v>
      </c>
      <c r="B87" t="str">
        <v>Remanentes ejercicios anteriores (de fdos afectados)</v>
      </c>
      <c r="C87">
        <v>250000000</v>
      </c>
      <c r="D87">
        <v>406200094.05</v>
      </c>
      <c r="E87">
        <v>0</v>
      </c>
      <c r="F87">
        <f>+C87+D87+E87</f>
        <v>656200094.05</v>
      </c>
      <c r="G87">
        <v>0</v>
      </c>
      <c r="H87">
        <f>+F87-G87</f>
        <v>656200094.05</v>
      </c>
      <c r="I87">
        <v>0</v>
      </c>
    </row>
    <row r="88">
      <c r="A88">
        <v>7460000194</v>
      </c>
      <c r="B88" t="str">
        <v>Remanente Fondos Nacionales</v>
      </c>
      <c r="C88">
        <v>0</v>
      </c>
      <c r="D88">
        <v>791695</v>
      </c>
      <c r="E88">
        <v>0</v>
      </c>
      <c r="F88">
        <f>+C88+D88+E88</f>
        <v>791695</v>
      </c>
      <c r="G88">
        <v>0</v>
      </c>
      <c r="H88">
        <f>+F88-G88</f>
        <v>791695</v>
      </c>
      <c r="I88">
        <v>0</v>
      </c>
    </row>
    <row r="89">
      <c r="A89">
        <v>7460000195</v>
      </c>
      <c r="B89" t="str">
        <v>Remanente Fondos Provinciales</v>
      </c>
      <c r="C89">
        <v>0</v>
      </c>
      <c r="D89">
        <v>59788949.01</v>
      </c>
      <c r="E89">
        <v>0</v>
      </c>
      <c r="F89">
        <f>+C89+D89+E89</f>
        <v>59788949.01</v>
      </c>
      <c r="G89">
        <v>0</v>
      </c>
      <c r="H89">
        <f>+F89-G89</f>
        <v>59788949.01</v>
      </c>
      <c r="I89">
        <v>0</v>
      </c>
    </row>
    <row r="90">
      <c r="A90">
        <v>7460000214</v>
      </c>
      <c r="B90" t="str">
        <v>Remanente Fondos Ley 26075 Financiamiento Educativo.</v>
      </c>
      <c r="C90">
        <v>300000000</v>
      </c>
      <c r="D90">
        <v>607080515.31</v>
      </c>
      <c r="E90">
        <v>0</v>
      </c>
      <c r="F90">
        <f>+C90+D90+E90</f>
        <v>907080515.31</v>
      </c>
      <c r="G90">
        <v>0</v>
      </c>
      <c r="H90">
        <f>+F90-G90</f>
        <v>907080515.31</v>
      </c>
      <c r="I90">
        <v>0</v>
      </c>
    </row>
    <row r="91">
      <c r="A91" t="str">
        <v>TOTAL</v>
      </c>
      <c r="C91">
        <f>SUM(C13:C90)</f>
        <v>24057937419.999996</v>
      </c>
      <c r="D91">
        <f>SUM(D13:D90)</f>
        <v>9590185253.369999</v>
      </c>
      <c r="E91">
        <f>SUM(E13:E87)</f>
        <v>0</v>
      </c>
      <c r="F91">
        <f>SUM(F13:F90)</f>
        <v>33648122673.369995</v>
      </c>
      <c r="G91">
        <f>SUM(G13:G87)</f>
        <v>23489419801.140007</v>
      </c>
      <c r="H91">
        <f>SUM(H13:H90)</f>
        <v>10158702872.229996</v>
      </c>
      <c r="I91">
        <f>SUM(I13:I90)</f>
        <v>9997497095.23</v>
      </c>
    </row>
  </sheetData>
  <mergeCells count="7">
    <mergeCell ref="A91:B91"/>
    <mergeCell ref="D10:E10"/>
    <mergeCell ref="A1:I1"/>
    <mergeCell ref="A3:I3"/>
    <mergeCell ref="A4:I4"/>
    <mergeCell ref="D9:E9"/>
    <mergeCell ref="A9:B11"/>
  </mergeCells>
  <pageMargins left="0" right="0" top="0" bottom="0" header="0" footer="0"/>
  <ignoredErrors>
    <ignoredError numberStoredAsText="1" sqref="A1:K10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ACUERDO Nº 3949</v>
      </c>
    </row>
    <row r="3">
      <c r="A3" t="str">
        <v>ANEXO 4: EJECUCION PRESUPUESTARIA DEL TRIMESTRE. CUMPLIMIENTO DE METAS</v>
      </c>
    </row>
    <row r="5">
      <c r="A5" t="str">
        <v>REPARTICION / ORGANISMO: MUNICIPALIDAD DE GRAL SAN MARTIN</v>
      </c>
      <c r="D5" t="str">
        <v>NOMENCLADOR: 060214</v>
      </c>
    </row>
    <row r="6">
      <c r="A6" t="str">
        <f>+'ANEXO 1'!B8</f>
        <v>EJERCICIO: 2024</v>
      </c>
      <c r="D6" t="str">
        <f>+'ANEXO 1'!G8</f>
        <v>TRIMESTRE: 3</v>
      </c>
    </row>
    <row r="8">
      <c r="A8" t="str">
        <v>CONCEPTO</v>
      </c>
      <c r="C8" t="str">
        <v xml:space="preserve">EJECUTADO EN </v>
      </c>
      <c r="D8" t="str">
        <v>PROGRAMACION</v>
      </c>
      <c r="E8" t="str">
        <v>DIF. ENTRE EJECU-</v>
      </c>
      <c r="F8" t="str">
        <v>NOTA</v>
      </c>
    </row>
    <row r="9">
      <c r="C9" t="str">
        <v>EL TRIMESTRE</v>
      </c>
      <c r="D9" t="str">
        <v>FINANCIERA DEL</v>
      </c>
      <c r="E9" t="str">
        <v>TADO Y PROGRAM.</v>
      </c>
    </row>
    <row r="10">
      <c r="D10" t="str">
        <v>TRIMESTRE</v>
      </c>
      <c r="E10" t="str">
        <v>FINANCIERA</v>
      </c>
    </row>
    <row r="11">
      <c r="C11">
        <v>1</v>
      </c>
      <c r="D11">
        <v>2</v>
      </c>
      <c r="E11" t="str">
        <v>3=1-2</v>
      </c>
    </row>
    <row r="12">
      <c r="A12" t="str">
        <v>I</v>
      </c>
      <c r="B12" t="str">
        <v>RECURSOS CORRIENTES</v>
      </c>
      <c r="C12">
        <v>9994875978.74</v>
      </c>
      <c r="D12">
        <v>5799484354.999999</v>
      </c>
      <c r="E12">
        <f>+C12-D12</f>
        <v>4195391623.7400007</v>
      </c>
    </row>
    <row r="13">
      <c r="A13" t="str">
        <v>II</v>
      </c>
      <c r="B13" t="str">
        <v>GASTOS CORRIENTES</v>
      </c>
      <c r="C13">
        <v>5902947018.25</v>
      </c>
      <c r="D13">
        <v>4625223105</v>
      </c>
      <c r="E13">
        <f>+C13-D13</f>
        <v>1277723913.25</v>
      </c>
    </row>
    <row r="14">
      <c r="A14" t="str">
        <v>III</v>
      </c>
      <c r="B14" t="str">
        <v>RDO. ECCO: AHORRO/DESARROLLO (I-II)</v>
      </c>
      <c r="C14">
        <f>+C12-C13</f>
        <v>4091928960.49</v>
      </c>
      <c r="D14">
        <v>1174261249.999999</v>
      </c>
      <c r="E14">
        <f>+C14-D14</f>
        <v>2917667710.4900007</v>
      </c>
    </row>
    <row r="15">
      <c r="A15" t="str">
        <v>IV</v>
      </c>
      <c r="B15" t="str">
        <v>RECURSOS DE CAPITAL</v>
      </c>
      <c r="C15">
        <v>2621116.49</v>
      </c>
      <c r="D15">
        <v>2500000</v>
      </c>
      <c r="E15">
        <f>+C15-D15</f>
        <v>121116.49000000022</v>
      </c>
    </row>
    <row r="16">
      <c r="A16" t="str">
        <v>V</v>
      </c>
      <c r="B16" t="str">
        <v>GASTOS DE CAPITAL</v>
      </c>
      <c r="C16">
        <v>759097376.86</v>
      </c>
      <c r="D16">
        <v>1233881250</v>
      </c>
      <c r="E16">
        <f>+C16-D16</f>
        <v>-474783873.14</v>
      </c>
    </row>
    <row r="17">
      <c r="A17" t="str">
        <v>VI</v>
      </c>
      <c r="B17" t="str">
        <v>EXCEDENTE ANTES TRANSF. FIGURATIVAS (III+IV-V)</v>
      </c>
      <c r="C17">
        <f>+C14+C15-C16</f>
        <v>3335452700.1199994</v>
      </c>
      <c r="D17">
        <v>-57120000.00000095</v>
      </c>
      <c r="E17">
        <f>+C17-D17</f>
        <v>3392572700.1200004</v>
      </c>
    </row>
    <row r="18">
      <c r="B18" t="str">
        <v>TOTAL RECURSOS (I+IV)</v>
      </c>
      <c r="C18">
        <f>+C12+C15</f>
        <v>9997497095.23</v>
      </c>
      <c r="D18">
        <v>5801984354.999999</v>
      </c>
      <c r="E18">
        <f>+C18-D18</f>
        <v>4195512740.2300005</v>
      </c>
    </row>
    <row r="19">
      <c r="B19" t="str">
        <v>TOTAL GASTOS (II+V)</v>
      </c>
      <c r="C19">
        <f>+C13+C16</f>
        <v>6662044395.11</v>
      </c>
      <c r="D19">
        <v>5859104355</v>
      </c>
      <c r="E19">
        <f>+C19-D19</f>
        <v>802940040.1099997</v>
      </c>
    </row>
    <row r="20">
      <c r="A20" t="str">
        <v>VII</v>
      </c>
      <c r="B20" t="str">
        <v>RECURSOS FIGURATIVOS</v>
      </c>
      <c r="C20">
        <v>0</v>
      </c>
      <c r="D20">
        <v>0</v>
      </c>
      <c r="E20">
        <f>+C20-D20</f>
        <v>0</v>
      </c>
    </row>
    <row r="21">
      <c r="A21" t="str">
        <v>VIII</v>
      </c>
      <c r="B21" t="str">
        <v>GASTOS FIGURATIVOS</v>
      </c>
      <c r="C21">
        <v>0</v>
      </c>
      <c r="D21">
        <v>0</v>
      </c>
      <c r="E21">
        <f>+C21-D21</f>
        <v>0</v>
      </c>
    </row>
    <row r="22">
      <c r="A22" t="str">
        <v>IX</v>
      </c>
      <c r="B22" t="str">
        <v>NECESIDAD DE FINANCIAMIENTO (VI+VII-VIII)</v>
      </c>
      <c r="C22">
        <f>+C17+C20-C21</f>
        <v>3335452700.1199994</v>
      </c>
      <c r="D22">
        <v>-57120000.00000095</v>
      </c>
      <c r="E22">
        <f>+C22-D22</f>
        <v>3392572700.1200004</v>
      </c>
    </row>
    <row r="23">
      <c r="A23" t="str">
        <v>X</v>
      </c>
      <c r="B23" t="str">
        <v>FUENTES DE FINANCIAMIENTO</v>
      </c>
      <c r="C23">
        <v>0</v>
      </c>
      <c r="D23">
        <v>212500000</v>
      </c>
      <c r="E23">
        <f>+C23-D23</f>
        <v>-212500000</v>
      </c>
    </row>
    <row r="24">
      <c r="A24" t="str">
        <v>XI</v>
      </c>
      <c r="B24" t="str">
        <v>APLICACIONES FINANCIERAS</v>
      </c>
      <c r="C24">
        <v>552473</v>
      </c>
      <c r="D24">
        <v>155380000</v>
      </c>
      <c r="E24">
        <f>+C24-D24</f>
        <v>-154827527</v>
      </c>
    </row>
    <row r="25">
      <c r="A25" t="str">
        <v>XII</v>
      </c>
      <c r="B25" t="str">
        <v>FINANCIAMIENTO NETO (X-XI)</v>
      </c>
      <c r="C25">
        <f>+C23-C24</f>
        <v>-552473</v>
      </c>
      <c r="D25">
        <v>57120000</v>
      </c>
      <c r="E25">
        <f>+C25-D25</f>
        <v>-57672473</v>
      </c>
    </row>
    <row r="26">
      <c r="A26" t="str">
        <v>XIII</v>
      </c>
      <c r="B26" t="str">
        <v>RESULTADO FINANCIERO (VI+XII)</v>
      </c>
      <c r="C26">
        <f>+C17+C25</f>
        <v>3334900227.1199994</v>
      </c>
      <c r="D26">
        <v>-9.5367431640625e-7</v>
      </c>
      <c r="E26">
        <f>+E17+E25</f>
        <v>3334900227.1200004</v>
      </c>
    </row>
  </sheetData>
  <mergeCells count="5">
    <mergeCell ref="A10:B10"/>
    <mergeCell ref="A1:F1"/>
    <mergeCell ref="A3:F3"/>
    <mergeCell ref="A8:B8"/>
    <mergeCell ref="A9:B9"/>
  </mergeCells>
  <pageMargins left="0.77" right="0.75" top="0.5" bottom="1" header="0" footer="0"/>
  <ignoredErrors>
    <ignoredError numberStoredAsText="1" sqref="A1:G32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N41"/>
  <sheetViews>
    <sheetView workbookViewId="0"/>
  </sheetViews>
  <sheetData>
    <row r="3">
      <c r="A3" t="str">
        <v>ACUERDO Nº 3949</v>
      </c>
    </row>
    <row r="5">
      <c r="A5" t="str">
        <v>ANEXO 5: EVOLUCION DE LA DEUDA PUBLICA CONSOLIDADA ACUMULADA AL FIN DEL TRIMESTRE</v>
      </c>
    </row>
    <row r="7">
      <c r="A7" t="str">
        <v>REPARTICION / ORGANISMO: MUNICIPALIDAD DE GRAL SAN MARTIN</v>
      </c>
      <c r="E7" t="str">
        <v>NOMENCLADOR: 060214</v>
      </c>
    </row>
    <row r="8">
      <c r="A8" t="str">
        <f>+'ANEXO 1'!B8</f>
        <v>EJERCICIO: 2024</v>
      </c>
      <c r="E8" t="str">
        <f>+'ANEXO 1'!G8</f>
        <v>TRIMESTRE: 3</v>
      </c>
    </row>
    <row r="10">
      <c r="A10" t="str">
        <v>CONCEPTO</v>
      </c>
      <c r="B10" t="str">
        <v>SALDO AL INICIO</v>
      </c>
      <c r="C10" t="str">
        <v xml:space="preserve">PAGOS </v>
      </c>
      <c r="D10" t="str">
        <v>DEUDA CONTRAIDA</v>
      </c>
      <c r="E10" t="str">
        <v>VARIACION EN EL</v>
      </c>
      <c r="F10" t="str">
        <v>SALDO AL FINAL</v>
      </c>
      <c r="G10" t="str">
        <v>NORMA LEGAL</v>
      </c>
      <c r="I10" t="str">
        <v>TIPO DE ENTIDAD</v>
      </c>
    </row>
    <row r="11">
      <c r="B11" t="str">
        <v>DEL TRIMESTRE</v>
      </c>
      <c r="C11" t="str">
        <v xml:space="preserve">REALIZADOS EN </v>
      </c>
      <c r="D11" t="str">
        <v>EN EL TRIMESTRE</v>
      </c>
      <c r="E11" t="str">
        <v>TRIMESTRE POR</v>
      </c>
      <c r="F11" t="str">
        <v>DEL TRIMESTRE</v>
      </c>
      <c r="I11" t="str">
        <v>ACREEDORA</v>
      </c>
    </row>
    <row r="12">
      <c r="C12" t="str">
        <v>EL TRIMESTRE</v>
      </c>
      <c r="E12" t="str">
        <v>RENEGOCIACION</v>
      </c>
    </row>
    <row r="13">
      <c r="E13" t="str">
        <v>DE LA DEUDA</v>
      </c>
      <c r="G13" t="str">
        <v>TIPO</v>
      </c>
      <c r="H13" t="str">
        <v>NUMERO</v>
      </c>
    </row>
    <row r="14">
      <c r="A14">
        <v>1</v>
      </c>
      <c r="B14">
        <v>2</v>
      </c>
      <c r="C14">
        <v>3</v>
      </c>
      <c r="D14">
        <v>4</v>
      </c>
      <c r="E14">
        <v>5</v>
      </c>
      <c r="F14" t="str">
        <v>6=2-o+3+4+o-5</v>
      </c>
      <c r="G14">
        <v>7</v>
      </c>
      <c r="I14">
        <v>8</v>
      </c>
    </row>
    <row r="15">
      <c r="A15" t="str">
        <v xml:space="preserve"> Moneda Nacional</v>
      </c>
      <c r="E15" t="str">
        <v xml:space="preserve"> </v>
      </c>
    </row>
    <row r="16">
      <c r="A16" t="str">
        <v>Préstamo IPV Viv. Deleg. Chapanay</v>
      </c>
      <c r="B16">
        <v>-12460.33</v>
      </c>
      <c r="C16">
        <v>0</v>
      </c>
      <c r="D16">
        <v>0</v>
      </c>
      <c r="E16">
        <v>0</v>
      </c>
      <c r="F16">
        <f>+B16+C16+D16+-E16</f>
        <v>-12460.33</v>
      </c>
      <c r="G16" t="str">
        <v>RESOLUCIÓN</v>
      </c>
      <c r="H16" t="str">
        <v>4850/95</v>
      </c>
    </row>
    <row r="17">
      <c r="A17" t="str">
        <v>Préstamo IPV Redes de Agua Uniones Vecinales</v>
      </c>
      <c r="B17">
        <v>-112095.73</v>
      </c>
      <c r="C17">
        <v>0</v>
      </c>
      <c r="D17">
        <v>0</v>
      </c>
      <c r="E17">
        <v>0</v>
      </c>
      <c r="F17">
        <f>+B17+C17+D17+-E17</f>
        <v>-112095.73</v>
      </c>
    </row>
    <row r="18">
      <c r="A18" t="str">
        <v>Préstamo Expropiación Terreno calle Alem</v>
      </c>
      <c r="B18">
        <v>-109018.29</v>
      </c>
      <c r="C18">
        <v>0</v>
      </c>
      <c r="D18">
        <v>0</v>
      </c>
      <c r="E18">
        <v>0</v>
      </c>
      <c r="F18">
        <f>+B18+C18+D18+-E18</f>
        <v>-109018.29</v>
      </c>
    </row>
    <row r="19">
      <c r="A19" t="str">
        <v>Préstamo I.P.V. para Compra de Terreno</v>
      </c>
      <c r="B19">
        <v>-8270234.56</v>
      </c>
      <c r="C19">
        <v>0</v>
      </c>
      <c r="D19">
        <v>0</v>
      </c>
      <c r="E19">
        <v>0</v>
      </c>
      <c r="F19">
        <f>+B19+C19+D19+-E19</f>
        <v>-8270234.56</v>
      </c>
      <c r="G19" t="str">
        <v>RESOLUCIÓN</v>
      </c>
      <c r="H19" t="str">
        <v>198/2013</v>
      </c>
    </row>
    <row r="20">
      <c r="A20" t="str">
        <v>Prest. Ley 9033 Art.44 Mejoram. Alumbrado Pco.</v>
      </c>
      <c r="B20">
        <v>-9691008.76</v>
      </c>
      <c r="C20">
        <v>0</v>
      </c>
      <c r="D20">
        <v>0</v>
      </c>
      <c r="E20">
        <v>0</v>
      </c>
      <c r="F20">
        <f>+B20+C20+D20+-E20</f>
        <v>-9691008.76</v>
      </c>
      <c r="G20" t="str">
        <v>LEY</v>
      </c>
      <c r="H20" t="str">
        <v>9033/2017</v>
      </c>
    </row>
    <row r="21">
      <c r="A21" t="str">
        <v xml:space="preserve">Prestamo Proyecto Ciclovia Camino Rural Urbano         </v>
      </c>
      <c r="B21">
        <v>-25848618.86</v>
      </c>
      <c r="C21">
        <v>0</v>
      </c>
      <c r="D21">
        <v>0</v>
      </c>
      <c r="E21">
        <v>0</v>
      </c>
      <c r="F21">
        <f>+B21+C21+D21+-E21</f>
        <v>-25848618.86</v>
      </c>
    </row>
    <row r="22">
      <c r="A22" t="str">
        <v>Moneda Extranjera</v>
      </c>
      <c r="B22">
        <v>0</v>
      </c>
      <c r="C22">
        <v>0</v>
      </c>
      <c r="D22">
        <v>0</v>
      </c>
      <c r="E22">
        <v>0</v>
      </c>
      <c r="F22">
        <f>+B22+C22+D22+-E22</f>
        <v>0</v>
      </c>
    </row>
    <row r="23">
      <c r="A23" t="str">
        <v>TOTALES</v>
      </c>
      <c r="B23">
        <f>SUM(B16:B22)</f>
        <v>-44043436.53</v>
      </c>
      <c r="C23">
        <f>SUM(C16:C22)</f>
        <v>0</v>
      </c>
      <c r="D23">
        <f>SUM(D16:D22)</f>
        <v>0</v>
      </c>
      <c r="E23">
        <f>SUM(E16:E22)</f>
        <v>0</v>
      </c>
      <c r="F23">
        <f>SUM(F16:F22)</f>
        <v>-44043436.53</v>
      </c>
    </row>
  </sheetData>
  <mergeCells count="4">
    <mergeCell ref="A3:I3"/>
    <mergeCell ref="A5:I5"/>
    <mergeCell ref="G10:H10"/>
    <mergeCell ref="G14:H14"/>
  </mergeCells>
  <pageMargins left="0.1968503937007874" right="0.15748031496062992" top="0.984251968503937" bottom="0.984251968503937" header="0" footer="0"/>
  <ignoredErrors>
    <ignoredError numberStoredAsText="1" sqref="A2:N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ANEXO 1</vt:lpstr>
      <vt:lpstr>ANEXO 2</vt:lpstr>
      <vt:lpstr>ANEXO 2 BIS</vt:lpstr>
      <vt:lpstr>ANEXO 3</vt:lpstr>
      <vt:lpstr>ANEXO 4</vt:lpstr>
      <vt:lpstr>ANEXO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