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" sheetId="1" r:id="rId1"/>
    <sheet name="ANEXO 2" sheetId="2" r:id="rId2"/>
    <sheet name="ANEXO 2 BIS" sheetId="3" r:id="rId3"/>
    <sheet name="ANEXO 3" sheetId="4" r:id="rId4"/>
    <sheet name="ANEXO 4" sheetId="5" r:id="rId5"/>
    <sheet name="ANEXO 5" sheetId="6" r:id="rId6"/>
  </sheets>
</workbook>
</file>

<file path=xl/comments5.xml><?xml version="1.0" encoding="utf-8"?>
<comments xmlns="http://schemas.openxmlformats.org/spreadsheetml/2006/main">
  <authors>
    <author>*</author>
  </authors>
  <commentList>
    <comment ref="F12" authorId="0">
      <text>
        <t xml:space="preserve">*:
Debe coincidir con la columna 8 INGRESADO del ANEXO 3.</t>
      </text>
    </comment>
    <comment ref="F13" authorId="0">
      <text>
        <t xml:space="preserve">*:
Debe coincidir con la columna 3 DEVENGADO del ANEXO 2 BIS.</t>
      </text>
    </comment>
    <comment ref="F15" authorId="0">
      <text>
        <t xml:space="preserve">*:
Debe coincidir con la columna 8 INGRESADO del ANEXO 3.</t>
      </text>
    </comment>
    <comment ref="F16" authorId="0">
      <text>
        <t xml:space="preserve">*:
Debe coincidir con la columna 3 DEVENGADO del ANEXO 2 BIS.</t>
      </text>
    </comment>
    <comment ref="F20" authorId="0">
      <text>
        <t xml:space="preserve">*:
Debe coincidir con la columna 8 INGRESADO del ANEXO 3.</t>
      </text>
    </comment>
    <comment ref="F21" authorId="0">
      <text>
        <t xml:space="preserve">*:
Debe coincidir con la columna 3 DEVENGADO del ANEXO 2 BIS.</t>
      </text>
    </comment>
    <comment ref="F24" authorId="0">
      <text>
        <t xml:space="preserve">*:
Se concidera como APLICACIÓN FINANCIERA, la cifra devengada en concepto de EROGACIONES PARA ATENDER LA AMORTIZACION DE DEUDAS y EROGACIONES PARA ATENDER ADELANTOS A PROVEEDORES Y CONTRATISTAS.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9">
    <numFmt numFmtId="44" formatCode="_-&quot;$&quot;\ * #,##0.00_-;\-&quot;$&quot;\ * #,##0.00_-;_-&quot;$&quot;\ * &quot;-&quot;??_-;_-@_-"/>
    <numFmt numFmtId="56" formatCode="&quot;上午/下午 &quot;hh&quot;時&quot;mm&quot;分&quot;ss&quot;秒 &quot;"/>
    <numFmt numFmtId="164" formatCode="&quot;$&quot;\ #,##0.00;[Red]&quot;$&quot;\ \-#,##0.00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[$$-2C0A]\ #,##0.00"/>
    <numFmt numFmtId="168" formatCode="&quot;$&quot;\ #,##0.00;&quot;$&quot;\-#,##0.00"/>
    <numFmt numFmtId="169" formatCode="00000"/>
    <numFmt numFmtId="170" formatCode="_ [$$-2C0A]\ * #,##0.00_ ;_ [$$-2C0A]\ * \-#,##0.00_ ;_ [$$-2C0A]\ * &quot;-&quot;??_ ;_ @_ "/>
    <numFmt numFmtId="171" formatCode="dd\/mm\/yyyy"/>
    <numFmt numFmtId="172" formatCode="dd\-mm\-yyyy;@"/>
    <numFmt numFmtId="173" formatCode="d\-m\-yy;@"/>
    <numFmt numFmtId="174" formatCode="&quot;$&quot;\ #,##0.00"/>
    <numFmt numFmtId="175" formatCode="_-[$$-2C0A]\ * #,##0.00_-;\-[$$-2C0A]\ * #,##0.00_-;_-[$$-2C0A]\ * &quot;-&quot;??_-;_-@_-"/>
    <numFmt numFmtId="176" formatCode="d\-m\-yyyy;@"/>
    <numFmt numFmtId="177" formatCode="&quot;$&quot;\ #,##0.00;[Red]&quot;$&quot;\ #,##0.00"/>
    <numFmt numFmtId="178" formatCode="dd/mm/yy;@"/>
    <numFmt numFmtId="179" formatCode="\$#,##0.00"/>
    <numFmt numFmtId="180" formatCode="\$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O76"/>
  <sheetViews>
    <sheetView workbookViewId="0"/>
  </sheetViews>
  <sheetData>
    <row r="3">
      <c r="B3" t="str">
        <v>ACUERDO Nº 3949</v>
      </c>
    </row>
    <row r="5">
      <c r="B5" t="str">
        <v>ANEXO 1: PROGRAMACION FINANCIERA  ART. 22  LEY 7314</v>
      </c>
    </row>
    <row r="7">
      <c r="B7" t="str">
        <v>REPARTICION / ORGANISMO: MUNICIPALIDAD DE GRAL SAN MARTIN</v>
      </c>
      <c r="G7" t="str">
        <v>NOMENCLADOR: 060214</v>
      </c>
    </row>
    <row r="8">
      <c r="B8" t="str">
        <v>EJERCICIO: 2023</v>
      </c>
      <c r="G8" t="str">
        <v>TRIMESTRE: 3</v>
      </c>
    </row>
    <row r="10">
      <c r="C10" t="str">
        <v>CONCEPTO</v>
      </c>
      <c r="D10" t="str">
        <v xml:space="preserve">1º </v>
      </c>
      <c r="E10" t="str">
        <v>2º</v>
      </c>
      <c r="F10" t="str">
        <v>3º</v>
      </c>
      <c r="G10" t="str">
        <v>4º</v>
      </c>
      <c r="H10" t="str">
        <v>VOTADO</v>
      </c>
    </row>
    <row r="11">
      <c r="D11" t="str">
        <v>TRIMESTRE</v>
      </c>
      <c r="E11" t="str">
        <v>TRIMESTRE</v>
      </c>
      <c r="F11" t="str">
        <v>TRIMESTRE</v>
      </c>
      <c r="G11" t="str">
        <v>TRIMESTRE</v>
      </c>
      <c r="H11" t="str">
        <v>EJERCICIO</v>
      </c>
    </row>
    <row r="12"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</row>
    <row r="13">
      <c r="B13" t="str">
        <v>I</v>
      </c>
      <c r="C13" t="str">
        <v>RECURSOS CORRIENTES</v>
      </c>
      <c r="D13">
        <v>2395423009.9994993</v>
      </c>
      <c r="E13">
        <v>2395423009.9994993</v>
      </c>
      <c r="F13">
        <v>2395423009.9994993</v>
      </c>
      <c r="G13">
        <v>2395423009.9994993</v>
      </c>
      <c r="H13">
        <v>9581692039.997997</v>
      </c>
    </row>
    <row r="14">
      <c r="B14" t="str">
        <v>II</v>
      </c>
      <c r="C14" t="str">
        <v>GASTOS CORRIENTES</v>
      </c>
      <c r="D14">
        <v>1750803370.25</v>
      </c>
      <c r="E14">
        <v>1750803370.25</v>
      </c>
      <c r="F14">
        <v>1750803370.25</v>
      </c>
      <c r="G14">
        <v>1750803370.25</v>
      </c>
      <c r="H14">
        <v>7003213481</v>
      </c>
    </row>
    <row r="15">
      <c r="B15" t="str">
        <v>III</v>
      </c>
      <c r="C15" t="str">
        <v>RESULTADO ECONOMICO (I-II)</v>
      </c>
      <c r="D15">
        <f>+D13-D14</f>
        <v>644619639.7494993</v>
      </c>
      <c r="E15">
        <f>+E13-E14</f>
        <v>644619639.7494993</v>
      </c>
      <c r="F15">
        <f>+F13-F14</f>
        <v>644619639.7494993</v>
      </c>
      <c r="G15">
        <f>+G13-G14</f>
        <v>644619639.7494993</v>
      </c>
      <c r="H15">
        <f>+H13-H14</f>
        <v>2578478558.9979973</v>
      </c>
    </row>
    <row r="16">
      <c r="B16" t="str">
        <v>IV</v>
      </c>
      <c r="C16" t="str">
        <v>RECURSOS DE CAPITAL</v>
      </c>
      <c r="D16">
        <v>500000</v>
      </c>
      <c r="E16">
        <v>500000</v>
      </c>
      <c r="F16">
        <v>500000</v>
      </c>
      <c r="G16">
        <v>500000</v>
      </c>
      <c r="H16">
        <v>2000000</v>
      </c>
    </row>
    <row r="17">
      <c r="B17" t="str">
        <v>V</v>
      </c>
      <c r="C17" t="str">
        <v>GASTOS DE CAPITAL</v>
      </c>
      <c r="D17">
        <v>773330384.5</v>
      </c>
      <c r="E17">
        <v>773330384.5</v>
      </c>
      <c r="F17">
        <v>773330384.5</v>
      </c>
      <c r="G17">
        <v>773330384.5</v>
      </c>
      <c r="H17">
        <v>3093321538</v>
      </c>
    </row>
    <row r="18">
      <c r="B18" t="str">
        <v>VI</v>
      </c>
      <c r="C18" t="str">
        <v>EXCEDENTES (III+IV-V)</v>
      </c>
      <c r="D18">
        <f>+D15+D16-D17</f>
        <v>-128210744.75050068</v>
      </c>
      <c r="E18">
        <f>+E15+E16-E17</f>
        <v>-128210744.75050068</v>
      </c>
      <c r="F18">
        <f>+F15+F16-F17</f>
        <v>-128210744.75050068</v>
      </c>
      <c r="G18">
        <f>+G15+G16-G17</f>
        <v>-128210744.75050068</v>
      </c>
      <c r="H18">
        <f>+H15+H16-H17</f>
        <v>-512842979.0020027</v>
      </c>
    </row>
    <row r="19">
      <c r="C19" t="str">
        <v>TOTAL RECURSOS (I+IV)</v>
      </c>
      <c r="D19">
        <f>+D13+D16</f>
        <v>2395923009.9994993</v>
      </c>
      <c r="E19">
        <f>+E13+E16</f>
        <v>2395923009.9994993</v>
      </c>
      <c r="F19">
        <f>+F13+F16</f>
        <v>2395923009.9994993</v>
      </c>
      <c r="G19">
        <f>+G13+G16</f>
        <v>2395923009.9994993</v>
      </c>
      <c r="H19">
        <f>+H13+H16</f>
        <v>9583692039.997997</v>
      </c>
    </row>
    <row r="20">
      <c r="C20" t="str">
        <v>TOTAL GASTOS (II+V)</v>
      </c>
      <c r="D20">
        <f>+D14+D17</f>
        <v>2524133754.75</v>
      </c>
      <c r="E20">
        <f>+E14+E17</f>
        <v>2524133754.75</v>
      </c>
      <c r="F20">
        <f>+F14+F17</f>
        <v>2524133754.75</v>
      </c>
      <c r="G20">
        <f>+G14+G17</f>
        <v>2524133754.75</v>
      </c>
      <c r="H20">
        <f>+H14+H17</f>
        <v>10096535019</v>
      </c>
    </row>
    <row r="21">
      <c r="B21" t="str">
        <v>VII</v>
      </c>
      <c r="C21" t="str">
        <v>RECURSOS FIGURATIVOS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B22" t="str">
        <v>VIII</v>
      </c>
      <c r="C22" t="str">
        <v>GASTOS FIGURATIVOS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B23" t="str">
        <v>IX</v>
      </c>
      <c r="C23" t="str">
        <v>NECESIDAD DE FINANCIACION (VI+VII-VIII)</v>
      </c>
      <c r="D23">
        <f>+D18+D21-D22</f>
        <v>-128210744.75050068</v>
      </c>
      <c r="E23">
        <f>+E18+E21-E22</f>
        <v>-128210744.75050068</v>
      </c>
      <c r="F23">
        <f>+F18+F21-F22</f>
        <v>-128210744.75050068</v>
      </c>
      <c r="G23">
        <f>+G18+G21-G22</f>
        <v>-128210744.75050068</v>
      </c>
      <c r="H23">
        <f>+H18+H21-H22</f>
        <v>-512842979.0020027</v>
      </c>
    </row>
    <row r="24">
      <c r="B24" t="str">
        <v>X</v>
      </c>
      <c r="C24" t="str">
        <v>FUENTES DE FINANCIACION</v>
      </c>
      <c r="D24">
        <v>175000000</v>
      </c>
      <c r="E24">
        <v>175000000</v>
      </c>
      <c r="F24">
        <v>175000000</v>
      </c>
      <c r="G24">
        <v>175000000</v>
      </c>
      <c r="H24">
        <v>700000000</v>
      </c>
    </row>
    <row r="25">
      <c r="B25" t="str">
        <v>XI</v>
      </c>
      <c r="C25" t="str">
        <v>APLIC. FINANCIERAS</v>
      </c>
      <c r="D25">
        <v>46789255.25</v>
      </c>
      <c r="E25">
        <v>46789255.25</v>
      </c>
      <c r="F25">
        <v>46789255.25</v>
      </c>
      <c r="G25">
        <v>46789255.25</v>
      </c>
      <c r="H25">
        <v>187157021</v>
      </c>
    </row>
    <row r="26">
      <c r="B26" t="str">
        <v>XII</v>
      </c>
      <c r="C26" t="str">
        <v>FINANCIAMIENTO NETO (X-XI)</v>
      </c>
      <c r="D26">
        <f>+D24-D25</f>
        <v>128210744.75</v>
      </c>
      <c r="E26">
        <f>+E24-E25</f>
        <v>128210744.75</v>
      </c>
      <c r="F26">
        <f>+F24-F25</f>
        <v>128210744.75</v>
      </c>
      <c r="G26">
        <f>+G24-G25</f>
        <v>128210744.75</v>
      </c>
      <c r="H26">
        <f>+H24-H25</f>
        <v>512842979</v>
      </c>
    </row>
    <row r="27">
      <c r="B27" t="str">
        <v>XIII</v>
      </c>
      <c r="C27" t="str">
        <v>RESULTADO FINANCIERO (IX+XII)</v>
      </c>
      <c r="D27">
        <f>+D23+D26</f>
        <v>-0.0005006790161132812</v>
      </c>
      <c r="E27">
        <f>+E23+E26</f>
        <v>-0.0005006790161132812</v>
      </c>
      <c r="F27">
        <f>+F23+F26</f>
        <v>-0.0005006790161132812</v>
      </c>
      <c r="G27">
        <f>+G23+G26</f>
        <v>-0.0005006790161132812</v>
      </c>
      <c r="H27">
        <f>+H23+H26</f>
        <v>-0.002002716064453125</v>
      </c>
    </row>
  </sheetData>
  <mergeCells count="2">
    <mergeCell ref="B3:H3"/>
    <mergeCell ref="B5:H5"/>
  </mergeCells>
  <pageMargins left="0" right="0" top="0.5905511811023623" bottom="0.5905511811023623" header="0" footer="0"/>
  <ignoredErrors>
    <ignoredError numberStoredAsText="1" sqref="B2:O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L38"/>
  <sheetViews>
    <sheetView workbookViewId="0"/>
  </sheetViews>
  <sheetData>
    <row r="3">
      <c r="A3" t="str">
        <v>ACUERDO Nº 3949</v>
      </c>
    </row>
    <row r="5">
      <c r="A5" t="str">
        <v>ANEXO 2: DE LA EJECUCION DEL PRESUPUESTO CON RELACION A LOS CREDITOS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2023</v>
      </c>
      <c r="E8" t="str">
        <f>+'ANEXO 1'!G8</f>
        <v>TRIMESTRE: 3</v>
      </c>
    </row>
    <row r="10">
      <c r="A10" t="str">
        <v>PARTIDAS</v>
      </c>
      <c r="B10" t="str">
        <v>CREDITO</v>
      </c>
      <c r="C10" t="str">
        <v>MODIFICACIONES ACUMULADAS AL</v>
      </c>
      <c r="E10" t="str">
        <v>CREDITO AUT. DEF.</v>
      </c>
      <c r="F10" t="str">
        <v>COMPROMISOS</v>
      </c>
      <c r="G10" t="str">
        <v>DEVENGADO</v>
      </c>
      <c r="H10" t="str">
        <v xml:space="preserve">MANDAD A </v>
      </c>
      <c r="I10" t="str">
        <v>PAGADO</v>
      </c>
      <c r="J10" t="str">
        <v xml:space="preserve">RESIDUOS </v>
      </c>
      <c r="K10" t="str">
        <v xml:space="preserve">SALDO NO </v>
      </c>
      <c r="L10" t="str">
        <v>DEUDA</v>
      </c>
    </row>
    <row r="11">
      <c r="B11" t="str">
        <v>AUTORIZADO</v>
      </c>
      <c r="C11" t="str">
        <v>FIN DE CADA TRIMESTRE</v>
      </c>
      <c r="E11" t="str">
        <v>AL FIN DE CADA</v>
      </c>
      <c r="F11" t="str">
        <v>CONTRAIDOS</v>
      </c>
      <c r="H11" t="str">
        <v>PAGAR</v>
      </c>
      <c r="J11" t="str">
        <v>PASIVOS</v>
      </c>
      <c r="K11" t="str">
        <v>UTILIZADO</v>
      </c>
      <c r="L11" t="str">
        <v>EXIGIBLE</v>
      </c>
    </row>
    <row r="12">
      <c r="B12" t="str">
        <v>ORIGINAL</v>
      </c>
      <c r="C12" t="str">
        <v>AUMENTOS</v>
      </c>
      <c r="D12" t="str">
        <v>DISMINUCIONES</v>
      </c>
      <c r="E12" t="str">
        <v>TRIMESTRE</v>
      </c>
    </row>
    <row r="13">
      <c r="A13">
        <v>1</v>
      </c>
      <c r="B13">
        <v>2</v>
      </c>
      <c r="C13">
        <v>3</v>
      </c>
      <c r="D13">
        <v>4</v>
      </c>
      <c r="E13" t="str">
        <v>5= 2+3-4</v>
      </c>
      <c r="F13">
        <v>6</v>
      </c>
      <c r="G13">
        <v>7</v>
      </c>
      <c r="H13">
        <v>8</v>
      </c>
      <c r="I13">
        <v>9</v>
      </c>
      <c r="J13" t="str">
        <v>10=7-8</v>
      </c>
      <c r="K13" t="str">
        <v>11=5-6</v>
      </c>
      <c r="L13" t="str">
        <v>12=8-9</v>
      </c>
    </row>
    <row r="14">
      <c r="A14" t="str">
        <v>41100 PERSONAL</v>
      </c>
      <c r="B14">
        <v>3624080884</v>
      </c>
      <c r="C14">
        <v>2191711936.82</v>
      </c>
      <c r="D14">
        <v>553360485.89</v>
      </c>
      <c r="E14">
        <f>+B14+C14-D14</f>
        <v>5262432334.929999</v>
      </c>
      <c r="F14">
        <v>3715657375.55</v>
      </c>
      <c r="G14">
        <v>3659517829.21</v>
      </c>
      <c r="H14">
        <v>3659517829.21</v>
      </c>
      <c r="I14">
        <v>3381758002.47</v>
      </c>
      <c r="J14">
        <f>+G14-H14</f>
        <v>0</v>
      </c>
      <c r="K14">
        <f>+E14-F14</f>
        <v>1546774959.3799992</v>
      </c>
      <c r="L14">
        <f>+H14-I14</f>
        <v>277759826.74000025</v>
      </c>
    </row>
    <row r="15">
      <c r="A15" t="str">
        <v>41200 BIENES CORRIENTES</v>
      </c>
      <c r="B15">
        <v>901397119</v>
      </c>
      <c r="C15">
        <v>349967647.04</v>
      </c>
      <c r="D15">
        <v>457616975.48</v>
      </c>
      <c r="E15">
        <f>+B15+C15-D15</f>
        <v>793747790.56</v>
      </c>
      <c r="F15">
        <v>465508231.51</v>
      </c>
      <c r="G15">
        <v>339563005.66</v>
      </c>
      <c r="H15">
        <v>339563005.66</v>
      </c>
      <c r="I15">
        <v>330426235.8</v>
      </c>
      <c r="J15">
        <f>+G15-H15</f>
        <v>0</v>
      </c>
      <c r="K15">
        <f>+E15-F15</f>
        <v>328239559.04999995</v>
      </c>
      <c r="L15">
        <f>+H15-I15</f>
        <v>9136769.860000014</v>
      </c>
    </row>
    <row r="16">
      <c r="A16" t="str">
        <v>41300 SERVICIOS CORRIENTES</v>
      </c>
      <c r="B16">
        <v>2402687538</v>
      </c>
      <c r="C16">
        <v>816206065.73</v>
      </c>
      <c r="D16">
        <v>867288976.14</v>
      </c>
      <c r="E16">
        <f>+B16+C16-D16</f>
        <v>2351604627.59</v>
      </c>
      <c r="F16">
        <v>2009462371.06</v>
      </c>
      <c r="G16">
        <v>1425633656.91</v>
      </c>
      <c r="H16">
        <v>1425633656.91</v>
      </c>
      <c r="I16">
        <v>1395979130.32</v>
      </c>
      <c r="J16">
        <f>+G16-H16</f>
        <v>0</v>
      </c>
      <c r="K16">
        <f>+E16-F16</f>
        <v>342142256.5300002</v>
      </c>
      <c r="L16">
        <f>+H16-I16</f>
        <v>29654526.590000153</v>
      </c>
    </row>
    <row r="17">
      <c r="A17" t="str">
        <v>42100 INTERESES Y GASTOS</v>
      </c>
      <c r="B17">
        <v>24072286</v>
      </c>
      <c r="C17">
        <v>5155739.18</v>
      </c>
      <c r="D17">
        <v>0</v>
      </c>
      <c r="E17">
        <f>+B17+C17-D17</f>
        <v>29228025.18</v>
      </c>
      <c r="F17">
        <v>4926939.33</v>
      </c>
      <c r="G17">
        <v>4926939.33</v>
      </c>
      <c r="H17">
        <v>4926939.33</v>
      </c>
      <c r="I17">
        <v>4926939.33</v>
      </c>
      <c r="J17">
        <f>+G17-H17</f>
        <v>0</v>
      </c>
      <c r="K17">
        <f>+E17-F17</f>
        <v>24301085.85</v>
      </c>
      <c r="L17">
        <f>+H17-I17</f>
        <v>0</v>
      </c>
    </row>
    <row r="18">
      <c r="A18" t="str">
        <v>43100 TRANSFERENCIAS CORRIENTES</v>
      </c>
      <c r="B18">
        <v>50975654</v>
      </c>
      <c r="C18">
        <v>120059541.65</v>
      </c>
      <c r="D18">
        <v>43408516.81</v>
      </c>
      <c r="E18">
        <f>+B18+C18-D18</f>
        <v>127626678.84</v>
      </c>
      <c r="F18">
        <v>96784938.25</v>
      </c>
      <c r="G18">
        <v>85821338.25</v>
      </c>
      <c r="H18">
        <v>85821338.25</v>
      </c>
      <c r="I18">
        <v>83141918.25</v>
      </c>
      <c r="J18">
        <f>+G18-H18</f>
        <v>0</v>
      </c>
      <c r="K18">
        <f>+E18-F18</f>
        <v>30841740.590000004</v>
      </c>
      <c r="L18">
        <f>+H18-I18</f>
        <v>2679420</v>
      </c>
    </row>
    <row r="19">
      <c r="A19" t="str">
        <v>44100 CREDITO SDIC.P/FINAN.EROG.CO</v>
      </c>
      <c r="B19">
        <v>0</v>
      </c>
      <c r="C19">
        <v>221399585.35</v>
      </c>
      <c r="D19">
        <v>260209238.68</v>
      </c>
      <c r="E19">
        <f>+B19+C19-D19</f>
        <v>-38809653.33000001</v>
      </c>
      <c r="F19">
        <v>160463942.14</v>
      </c>
      <c r="G19">
        <v>158296898.14</v>
      </c>
      <c r="H19">
        <v>156423252.12</v>
      </c>
      <c r="I19">
        <v>156423252.12</v>
      </c>
      <c r="J19">
        <f>+G19-H19</f>
        <v>1873646.019999981</v>
      </c>
      <c r="K19">
        <f>+E19-F19</f>
        <v>-199273595.47</v>
      </c>
      <c r="L19">
        <f>+H19-I19</f>
        <v>0</v>
      </c>
    </row>
    <row r="20">
      <c r="A20" t="str">
        <v>51100 BIENES DE CAPITAL</v>
      </c>
      <c r="B20">
        <v>263189104</v>
      </c>
      <c r="C20">
        <v>2194078774.22</v>
      </c>
      <c r="D20">
        <v>546936639</v>
      </c>
      <c r="E20">
        <f>+B20+C20-D20</f>
        <v>1910331239.2199998</v>
      </c>
      <c r="F20">
        <v>3602772963.14</v>
      </c>
      <c r="G20">
        <v>2337622303.17</v>
      </c>
      <c r="H20">
        <v>2337622303.17</v>
      </c>
      <c r="I20">
        <v>2302949540.25</v>
      </c>
      <c r="J20">
        <f>+G20-H20</f>
        <v>0</v>
      </c>
      <c r="K20">
        <f>+E20-F20</f>
        <v>-1692441723.92</v>
      </c>
      <c r="L20">
        <f>+H20-I20</f>
        <v>34672762.92000008</v>
      </c>
    </row>
    <row r="21">
      <c r="A21" t="str">
        <v>51200 TRABAJO PUBLICO</v>
      </c>
      <c r="B21">
        <v>2830132434</v>
      </c>
      <c r="C21">
        <v>20000000</v>
      </c>
      <c r="D21">
        <v>0</v>
      </c>
      <c r="E21">
        <f>+B21+C21-D21</f>
        <v>2850132434</v>
      </c>
      <c r="F21">
        <v>14338461.29</v>
      </c>
      <c r="G21">
        <v>14338461.29</v>
      </c>
      <c r="H21">
        <v>14338461.29</v>
      </c>
      <c r="I21">
        <v>14338461.29</v>
      </c>
      <c r="J21">
        <f>+G21-H21</f>
        <v>0</v>
      </c>
      <c r="K21">
        <f>+E21-F21</f>
        <v>2835793972.71</v>
      </c>
      <c r="L21">
        <f>+H21-I21</f>
        <v>0</v>
      </c>
    </row>
    <row r="22">
      <c r="A22" t="str">
        <v>52100 APORTES DE CAPITAL</v>
      </c>
      <c r="B22">
        <v>0</v>
      </c>
      <c r="C22">
        <v>0</v>
      </c>
      <c r="D22">
        <v>0</v>
      </c>
      <c r="E22">
        <f>+B22+C22-D22</f>
        <v>0</v>
      </c>
      <c r="F22">
        <v>26611375.87</v>
      </c>
      <c r="G22">
        <v>26611375.87</v>
      </c>
      <c r="H22">
        <v>26611375.87</v>
      </c>
      <c r="I22">
        <v>26611375.87</v>
      </c>
      <c r="J22">
        <f>+G22-H22</f>
        <v>0</v>
      </c>
      <c r="K22">
        <f>+E22-F22</f>
        <v>-26611375.87</v>
      </c>
      <c r="L22">
        <f>+H22-I22</f>
        <v>0</v>
      </c>
    </row>
    <row r="23">
      <c r="A23" t="str">
        <v>52200 PRESTAMOS</v>
      </c>
      <c r="B23">
        <v>0</v>
      </c>
      <c r="C23">
        <v>194498775.09</v>
      </c>
      <c r="D23">
        <v>35886893.62</v>
      </c>
      <c r="E23">
        <f>+B23+C23-D23</f>
        <v>158611881.47</v>
      </c>
      <c r="F23">
        <v>286267767.95</v>
      </c>
      <c r="G23">
        <v>286267767.95</v>
      </c>
      <c r="H23">
        <v>286267767.95</v>
      </c>
      <c r="I23">
        <v>286267767.95</v>
      </c>
      <c r="J23">
        <f>+G23-H23</f>
        <v>0</v>
      </c>
      <c r="K23">
        <f>+E23-F23</f>
        <v>-127655886.47999999</v>
      </c>
      <c r="L23">
        <f>+H23-I23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f>+B24+C24-D24</f>
        <v>0</v>
      </c>
      <c r="F24">
        <v>0</v>
      </c>
      <c r="G24">
        <v>0</v>
      </c>
      <c r="H24">
        <v>0</v>
      </c>
      <c r="I24">
        <v>0</v>
      </c>
      <c r="J24">
        <f>+G24-H24</f>
        <v>0</v>
      </c>
      <c r="K24">
        <f>+E24-F24</f>
        <v>0</v>
      </c>
      <c r="L24">
        <f>+H24-I24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f>+B25+C25-D25</f>
        <v>0</v>
      </c>
      <c r="F25">
        <v>0</v>
      </c>
      <c r="G25">
        <v>0</v>
      </c>
      <c r="H25">
        <v>0</v>
      </c>
      <c r="I25">
        <v>0</v>
      </c>
      <c r="J25">
        <f>+G25-H25</f>
        <v>0</v>
      </c>
      <c r="K25">
        <f>+E25-F25</f>
        <v>0</v>
      </c>
      <c r="L25">
        <f>+H25-I25</f>
        <v>0</v>
      </c>
    </row>
    <row r="26">
      <c r="A26" t="str">
        <v>72100 AMORTIZACION  DE CAPITAL</v>
      </c>
      <c r="B26">
        <v>55837021</v>
      </c>
      <c r="C26">
        <v>0</v>
      </c>
      <c r="D26">
        <v>0</v>
      </c>
      <c r="E26">
        <f>+B26+C26-D26</f>
        <v>55837021</v>
      </c>
      <c r="F26">
        <v>0</v>
      </c>
      <c r="G26">
        <v>0</v>
      </c>
      <c r="H26">
        <v>0</v>
      </c>
      <c r="I26">
        <v>0</v>
      </c>
      <c r="J26">
        <f>+G26-H26</f>
        <v>0</v>
      </c>
      <c r="K26">
        <f>+E26-F26</f>
        <v>55837021</v>
      </c>
      <c r="L26">
        <f>+H26-I26</f>
        <v>0</v>
      </c>
    </row>
    <row r="27">
      <c r="A27" t="str">
        <v>74100 AMORTIZACION DE LA DEUDA FLOTANTE</v>
      </c>
      <c r="B27">
        <v>131320000</v>
      </c>
      <c r="C27">
        <v>0</v>
      </c>
      <c r="D27">
        <v>0</v>
      </c>
      <c r="E27">
        <f>+B27+C27-D27</f>
        <v>131320000</v>
      </c>
      <c r="F27">
        <v>0</v>
      </c>
      <c r="G27">
        <v>0</v>
      </c>
      <c r="H27">
        <v>0</v>
      </c>
      <c r="I27">
        <v>0</v>
      </c>
      <c r="J27">
        <f>+G27-H27</f>
        <v>0</v>
      </c>
      <c r="K27">
        <f>+E27-F27</f>
        <v>131320000</v>
      </c>
      <c r="L27">
        <f>+H27-I27</f>
        <v>0</v>
      </c>
    </row>
    <row r="28">
      <c r="A28" t="str">
        <v>TOTALES</v>
      </c>
      <c r="B28">
        <f>SUM(B14:B27)</f>
        <v>10283692040</v>
      </c>
      <c r="C28">
        <f>SUM(C14:C27)</f>
        <v>6113078065.08</v>
      </c>
      <c r="D28">
        <f>SUM(D14:D27)</f>
        <v>2764707725.62</v>
      </c>
      <c r="E28">
        <f>SUM(E14:E27)</f>
        <v>13632062379.46</v>
      </c>
      <c r="F28">
        <f>SUM(F14:F27)</f>
        <v>10382794366.090004</v>
      </c>
      <c r="G28">
        <f>SUM(G14:G27)</f>
        <v>8338599575.78</v>
      </c>
      <c r="H28">
        <f>SUM(H14:H27)</f>
        <v>8336725929.759999</v>
      </c>
      <c r="I28">
        <f>SUM(I14:I27)</f>
        <v>7982822623.65</v>
      </c>
      <c r="J28">
        <f>SUM(J14:J27)</f>
        <v>1873646.019999981</v>
      </c>
      <c r="K28">
        <f>SUM(K14:K27)</f>
        <v>3249268013.3699994</v>
      </c>
      <c r="L28">
        <f>SUM(L14:L27)</f>
        <v>353903306.1100005</v>
      </c>
    </row>
  </sheetData>
  <mergeCells count="4">
    <mergeCell ref="A3:L3"/>
    <mergeCell ref="A5:L5"/>
    <mergeCell ref="C10:D10"/>
    <mergeCell ref="C11:D11"/>
  </mergeCells>
  <pageMargins left="0" right="0" top="0.984251968503937" bottom="0.984251968503937" header="0" footer="0"/>
  <ignoredErrors>
    <ignoredError numberStoredAsText="1" sqref="A2:L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ACUERDO Nº 3949</v>
      </c>
    </row>
    <row r="5">
      <c r="A5" t="str">
        <v>ANEXO 2 BIS: DE LA EJECUCION DEL PRESUPUESTO CON RELACION A LOS CREDITOS CORRESPONDIENTE AL TRIMESTRE</v>
      </c>
    </row>
    <row r="7">
      <c r="A7" t="str">
        <v>REPARTICION / ORGANISMO:MUNICIPALIDAD DE GRAL SAN MARTIN</v>
      </c>
      <c r="E7" t="str">
        <v>NOMENCLADOR: 060214</v>
      </c>
    </row>
    <row r="8">
      <c r="A8" t="str">
        <f>+'ANEXO 1'!B8</f>
        <v>EJERCICIO: 2023</v>
      </c>
      <c r="E8" t="str">
        <f>+'ANEXO 1'!G8</f>
        <v>TRIMESTRE: 3</v>
      </c>
    </row>
    <row r="10">
      <c r="A10" t="str">
        <v>PARTIDAS</v>
      </c>
      <c r="B10" t="str">
        <v>COMPROMISOS</v>
      </c>
      <c r="C10" t="str">
        <v>DEVENGADO EN</v>
      </c>
      <c r="D10" t="str">
        <v xml:space="preserve">MANDADO A </v>
      </c>
      <c r="E10" t="str">
        <v xml:space="preserve">PAGADO EN EL </v>
      </c>
      <c r="F10" t="str">
        <v>VARIACION</v>
      </c>
      <c r="G10" t="str">
        <v>VARIACION DEUDA</v>
      </c>
    </row>
    <row r="11">
      <c r="B11" t="str">
        <v>CONTRAIDOS EN</v>
      </c>
      <c r="C11" t="str">
        <v>EL TRIMESTRE</v>
      </c>
      <c r="D11" t="str">
        <v xml:space="preserve">PAGAR EN EL </v>
      </c>
      <c r="E11" t="str">
        <v>TRIMESTRE</v>
      </c>
      <c r="F11" t="str">
        <v xml:space="preserve">RESIDUOS EN EL </v>
      </c>
      <c r="G11" t="str">
        <v xml:space="preserve">EXIGIBLE EN EL </v>
      </c>
    </row>
    <row r="12">
      <c r="B12" t="str">
        <v>EL TRIMESTRE</v>
      </c>
      <c r="D12" t="str">
        <v>TRIMESTRE</v>
      </c>
      <c r="F12" t="str">
        <v>TRIMESTRE</v>
      </c>
      <c r="G12" t="str">
        <v>TRIMESTRE</v>
      </c>
    </row>
    <row r="13">
      <c r="A13">
        <v>1</v>
      </c>
      <c r="B13">
        <v>2</v>
      </c>
      <c r="C13">
        <v>3</v>
      </c>
      <c r="D13">
        <v>4</v>
      </c>
      <c r="E13">
        <v>5</v>
      </c>
      <c r="F13" t="str">
        <v>6=3-4</v>
      </c>
      <c r="G13" t="str">
        <v>7=4-5</v>
      </c>
    </row>
    <row r="14">
      <c r="A14" t="str">
        <v>41100 PERSONAL</v>
      </c>
      <c r="B14">
        <v>340915741.79</v>
      </c>
      <c r="C14">
        <v>1456325522.96</v>
      </c>
      <c r="D14">
        <v>1456325522.96</v>
      </c>
      <c r="E14">
        <v>1223825401.48</v>
      </c>
      <c r="F14">
        <f>+C14-D14</f>
        <v>0</v>
      </c>
      <c r="G14">
        <f>+D14-E14</f>
        <v>232500121.48000002</v>
      </c>
    </row>
    <row r="15">
      <c r="A15" t="str">
        <v>41200 BIENES CORRIENTES</v>
      </c>
      <c r="B15">
        <v>222339676.71</v>
      </c>
      <c r="C15">
        <v>167963494.28</v>
      </c>
      <c r="D15">
        <v>168124796.96</v>
      </c>
      <c r="E15">
        <v>175455467.66</v>
      </c>
      <c r="F15">
        <f>+C15-D15</f>
        <v>-161302.68000000715</v>
      </c>
      <c r="G15">
        <f>+D15-E15</f>
        <v>-7330670.699999988</v>
      </c>
    </row>
    <row r="16">
      <c r="A16" t="str">
        <v>41300 SERVICIOS CORRIENTES</v>
      </c>
      <c r="B16">
        <v>265982176.73</v>
      </c>
      <c r="C16">
        <v>584889286.56</v>
      </c>
      <c r="D16">
        <v>584889286.56</v>
      </c>
      <c r="E16">
        <v>576689684.16</v>
      </c>
      <c r="F16">
        <f>+C16-D16</f>
        <v>0</v>
      </c>
      <c r="G16">
        <f>+D16-E16</f>
        <v>8199602.399999976</v>
      </c>
    </row>
    <row r="17">
      <c r="A17" t="str">
        <v>42100 INTERESES Y GASTOS</v>
      </c>
      <c r="B17">
        <v>0</v>
      </c>
      <c r="C17">
        <v>0</v>
      </c>
      <c r="D17">
        <v>0</v>
      </c>
      <c r="E17">
        <v>0</v>
      </c>
      <c r="F17">
        <f>+C17-D17</f>
        <v>0</v>
      </c>
      <c r="G17">
        <f>+D17-E17</f>
        <v>0</v>
      </c>
    </row>
    <row r="18">
      <c r="A18" t="str">
        <v>43100 TRANSFERENCIAS CORRIENTES</v>
      </c>
      <c r="B18">
        <v>17024423.68</v>
      </c>
      <c r="C18">
        <v>33717590.35</v>
      </c>
      <c r="D18">
        <v>33717590.35</v>
      </c>
      <c r="E18">
        <v>31246520.35</v>
      </c>
      <c r="F18">
        <f>+C18-D18</f>
        <v>0</v>
      </c>
      <c r="G18">
        <f>+D18-E18</f>
        <v>2471070</v>
      </c>
    </row>
    <row r="19">
      <c r="A19" t="str">
        <v>43200 TRANSFERENCIAS DE CAPITAL</v>
      </c>
      <c r="B19">
        <v>0</v>
      </c>
      <c r="C19">
        <v>0</v>
      </c>
      <c r="D19">
        <v>0</v>
      </c>
      <c r="E19">
        <v>0</v>
      </c>
      <c r="F19">
        <f>+C19-D19</f>
        <v>0</v>
      </c>
      <c r="G19">
        <f>+D19-E19</f>
        <v>0</v>
      </c>
    </row>
    <row r="20">
      <c r="A20" t="str">
        <v>51100 BIENES DE CAPITAL</v>
      </c>
      <c r="B20">
        <v>153347.71</v>
      </c>
      <c r="C20">
        <v>7518387.89</v>
      </c>
      <c r="D20">
        <v>9529913.95</v>
      </c>
      <c r="E20">
        <v>17699060.95</v>
      </c>
      <c r="F20">
        <f>+C20-D20</f>
        <v>-2011526.0599999996</v>
      </c>
      <c r="G20">
        <f>+D20-E20</f>
        <v>-8169147</v>
      </c>
    </row>
    <row r="21">
      <c r="A21" t="str">
        <v>51200 TRABAJO PUBLICO</v>
      </c>
      <c r="B21">
        <v>1034370851.56</v>
      </c>
      <c r="C21">
        <v>1164927478.27</v>
      </c>
      <c r="D21">
        <v>1164927478.27</v>
      </c>
      <c r="E21">
        <v>1160311808.76</v>
      </c>
      <c r="F21">
        <f>+C21-D21</f>
        <v>0</v>
      </c>
      <c r="G21">
        <f>+D21-E21</f>
        <v>4615669.50999999</v>
      </c>
    </row>
    <row r="22">
      <c r="A22" t="str">
        <v>52100 APORTES DE CAPITAL</v>
      </c>
      <c r="B22">
        <v>13338461.29</v>
      </c>
      <c r="C22">
        <v>13338461.29</v>
      </c>
      <c r="D22">
        <v>13338461.29</v>
      </c>
      <c r="E22">
        <v>13338461.29</v>
      </c>
      <c r="F22">
        <f>+C22-D22</f>
        <v>0</v>
      </c>
      <c r="G22">
        <f>+D22-E22</f>
        <v>0</v>
      </c>
    </row>
    <row r="23">
      <c r="A23" t="str">
        <v>52200 PRESTAMOS</v>
      </c>
      <c r="B23">
        <v>0</v>
      </c>
      <c r="C23">
        <v>0</v>
      </c>
      <c r="D23">
        <v>0</v>
      </c>
      <c r="E23">
        <v>0</v>
      </c>
      <c r="F23">
        <f>+C23-D23</f>
        <v>0</v>
      </c>
      <c r="G23">
        <f>+D23-E23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v>0</v>
      </c>
      <c r="F24">
        <f>+C24-D24</f>
        <v>0</v>
      </c>
      <c r="G24">
        <f>+D24-E24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v>0</v>
      </c>
      <c r="F25">
        <f>+C25-D25</f>
        <v>0</v>
      </c>
      <c r="G25">
        <f>+D25-E25</f>
        <v>0</v>
      </c>
    </row>
    <row r="26">
      <c r="A26" t="str">
        <v>72100 AMORTIZACION  DE CAPITAL</v>
      </c>
      <c r="B26">
        <v>0</v>
      </c>
      <c r="C26">
        <v>0</v>
      </c>
      <c r="D26">
        <v>0</v>
      </c>
      <c r="E26">
        <v>0</v>
      </c>
      <c r="F26">
        <f>+C26-D26</f>
        <v>0</v>
      </c>
      <c r="G26">
        <f>+D26-E26</f>
        <v>0</v>
      </c>
    </row>
    <row r="27">
      <c r="A27" t="str">
        <v>74100 AMORTIZACION DE LA DEUDA FLOTANTE</v>
      </c>
      <c r="B27">
        <v>13379.24</v>
      </c>
      <c r="C27">
        <v>13379.24</v>
      </c>
      <c r="D27">
        <v>13379.24</v>
      </c>
      <c r="E27">
        <v>13379.24</v>
      </c>
      <c r="F27">
        <f>+C27-D27</f>
        <v>0</v>
      </c>
      <c r="G27">
        <f>+D27-E27</f>
        <v>0</v>
      </c>
    </row>
    <row r="28">
      <c r="A28" t="str">
        <v>TOTALES</v>
      </c>
      <c r="B28">
        <f>SUM(B14:B27)</f>
        <v>1894138058.7099998</v>
      </c>
      <c r="C28">
        <f>SUM(C14:C27)</f>
        <v>3428693600.8399997</v>
      </c>
      <c r="D28">
        <f>SUM(D14:D27)</f>
        <v>3430866429.5799994</v>
      </c>
      <c r="E28">
        <f>SUM(E14:E27)</f>
        <v>3198579783.89</v>
      </c>
      <c r="F28">
        <f>SUM(F14:F27)</f>
        <v>-2172828.7400000067</v>
      </c>
      <c r="G28">
        <f>SUM(G14:G27)</f>
        <v>232286645.69</v>
      </c>
    </row>
  </sheetData>
  <mergeCells count="2">
    <mergeCell ref="A1:G1"/>
    <mergeCell ref="A5:G5"/>
  </mergeCells>
  <pageMargins left="0" right="0" top="0.984251968503937" bottom="0.984251968503937" header="0" footer="0"/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ACUERDO Nº 3949</v>
      </c>
    </row>
    <row r="3">
      <c r="A3" t="str">
        <v>ANEXO 3: DE LA EJECUCION DEL PRESUPUESTO CON RELACION AL CALCULO DE RECURSOS Y FINANCIAMIENTO ACUMULADO AL FIN DEL TRIMESTRE</v>
      </c>
    </row>
    <row r="4">
      <c r="A4" t="str">
        <v>E INGRESADO EN EL TRIMESTRE</v>
      </c>
    </row>
    <row r="6">
      <c r="A6" t="str">
        <v>REPARTICION / ORGANISMO: MUNICIPALIDAD DE GRAL SAN MARTIN</v>
      </c>
      <c r="F6" t="str">
        <v>NOMENCLADOR: 060214</v>
      </c>
    </row>
    <row r="7">
      <c r="A7" t="str">
        <f>+'ANEXO 1'!B8</f>
        <v>EJERCICIO: 2023</v>
      </c>
      <c r="F7" t="str">
        <f>+'ANEXO 1'!G8</f>
        <v>TRIMESTRE: 3</v>
      </c>
    </row>
    <row r="9">
      <c r="A9" t="str">
        <v>PARTIDAS</v>
      </c>
      <c r="C9" t="str">
        <v>CALCULO</v>
      </c>
      <c r="D9" t="str">
        <v>MODIFICACIONES ACUMULADAS AL</v>
      </c>
      <c r="F9" t="str">
        <v>CALCULO</v>
      </c>
      <c r="G9" t="str">
        <v>INGRESADO</v>
      </c>
      <c r="H9" t="str">
        <v>DIFERENCIA</v>
      </c>
      <c r="I9" t="str">
        <v>INGRESADO EN</v>
      </c>
    </row>
    <row r="10">
      <c r="C10" t="str">
        <v>ORIGINAL</v>
      </c>
      <c r="D10" t="str">
        <v>FIN DE CADA TRIMESTRE</v>
      </c>
      <c r="F10" t="str">
        <v>DEFINITIVO</v>
      </c>
      <c r="G10" t="str">
        <v>ACUMULADO AL</v>
      </c>
      <c r="I10" t="str">
        <v>EL TRIMESTRE</v>
      </c>
    </row>
    <row r="11">
      <c r="D11" t="str">
        <v>AUMENTOS</v>
      </c>
      <c r="E11" t="str">
        <v>DISMINUCIONES</v>
      </c>
      <c r="G11" t="str">
        <v>FIN DE CADA TRIM.</v>
      </c>
    </row>
    <row r="12">
      <c r="A12">
        <v>1</v>
      </c>
      <c r="C12">
        <v>2</v>
      </c>
      <c r="D12">
        <v>3</v>
      </c>
      <c r="E12">
        <v>4</v>
      </c>
      <c r="F12" t="str">
        <v>5=2+3-4</v>
      </c>
      <c r="G12">
        <v>6</v>
      </c>
      <c r="H12" t="str">
        <v>7=5-6</v>
      </c>
      <c r="I12">
        <v>8</v>
      </c>
    </row>
    <row r="13">
      <c r="A13">
        <v>1110101000</v>
      </c>
      <c r="B13" t="str">
        <v>Impuesto sobre los ingresos brutos</v>
      </c>
      <c r="C13">
        <v>2121349277.81</v>
      </c>
      <c r="D13">
        <v>568456599.74</v>
      </c>
      <c r="E13">
        <v>0</v>
      </c>
      <c r="F13">
        <f>+C13+D13-E13</f>
        <v>2689805877.55</v>
      </c>
      <c r="G13">
        <v>0</v>
      </c>
      <c r="H13">
        <f>+F13-G13</f>
        <v>2689805877.55</v>
      </c>
      <c r="I13">
        <v>0</v>
      </c>
    </row>
    <row r="14">
      <c r="A14">
        <v>1110201000</v>
      </c>
      <c r="B14" t="str">
        <v>Impuesto inmobiliario -rentas gener</v>
      </c>
      <c r="C14">
        <v>223469250.8</v>
      </c>
      <c r="D14">
        <v>59882911.22</v>
      </c>
      <c r="E14">
        <v>0</v>
      </c>
      <c r="F14">
        <f>+C14+D14-E14</f>
        <v>283352162.02</v>
      </c>
      <c r="G14">
        <v>0</v>
      </c>
      <c r="H14">
        <f>+F14-G14</f>
        <v>283352162.02</v>
      </c>
      <c r="I14">
        <v>0</v>
      </c>
    </row>
    <row r="15">
      <c r="A15">
        <v>1110202000</v>
      </c>
      <c r="B15" t="str">
        <v>Impuesto a los automotores</v>
      </c>
      <c r="C15">
        <v>618295859.38</v>
      </c>
      <c r="D15">
        <v>165684343.23</v>
      </c>
      <c r="E15">
        <v>0</v>
      </c>
      <c r="F15">
        <f>+C15+D15-E15</f>
        <v>783980202.61</v>
      </c>
      <c r="G15">
        <v>0</v>
      </c>
      <c r="H15">
        <f>+F15-G15</f>
        <v>783980202.61</v>
      </c>
      <c r="I15">
        <v>0</v>
      </c>
    </row>
    <row r="16">
      <c r="A16">
        <v>1110301000</v>
      </c>
      <c r="B16" t="str">
        <v>Impuesto de sellos</v>
      </c>
      <c r="C16">
        <v>90000000</v>
      </c>
      <c r="D16">
        <v>24117242.04</v>
      </c>
      <c r="E16">
        <v>0</v>
      </c>
      <c r="F16">
        <f>+C16+D16-E16</f>
        <v>114117242.03999999</v>
      </c>
      <c r="G16">
        <v>0</v>
      </c>
      <c r="H16">
        <f>+F16-G16</f>
        <v>114117242.03999999</v>
      </c>
      <c r="I16">
        <v>0</v>
      </c>
    </row>
    <row r="17">
      <c r="A17">
        <v>1110605010</v>
      </c>
      <c r="B17" t="str">
        <v>Coparticipación Ejercicios Vencidos</v>
      </c>
      <c r="C17">
        <v>0</v>
      </c>
      <c r="D17">
        <v>0</v>
      </c>
      <c r="E17">
        <v>0</v>
      </c>
      <c r="F17">
        <f>+C17+D17-E17</f>
        <v>0</v>
      </c>
      <c r="G17">
        <v>246378882</v>
      </c>
      <c r="H17">
        <f>+F17-G17</f>
        <v>-246378882</v>
      </c>
      <c r="I17">
        <v>0</v>
      </c>
    </row>
    <row r="18">
      <c r="A18">
        <v>1110606000</v>
      </c>
      <c r="B18" t="str">
        <v>Coparticipación a Clasificar</v>
      </c>
      <c r="C18">
        <v>0</v>
      </c>
      <c r="D18">
        <v>0</v>
      </c>
      <c r="E18">
        <v>0</v>
      </c>
      <c r="F18">
        <f>+C18+D18-E18</f>
        <v>0</v>
      </c>
      <c r="G18">
        <v>5223944136.33</v>
      </c>
      <c r="H18">
        <f>+F18-G18</f>
        <v>-5223944136.33</v>
      </c>
      <c r="I18">
        <v>2548527181.44</v>
      </c>
    </row>
    <row r="19">
      <c r="A19">
        <v>1110609000</v>
      </c>
      <c r="B19" t="str">
        <v>Canon Extraordinario de Produccion</v>
      </c>
      <c r="C19">
        <v>27261691</v>
      </c>
      <c r="D19">
        <v>0</v>
      </c>
      <c r="E19">
        <v>0</v>
      </c>
      <c r="F19">
        <f>+C19+D19-E19</f>
        <v>27261691</v>
      </c>
      <c r="G19">
        <v>17413111.63</v>
      </c>
      <c r="H19">
        <f>+F19-G19</f>
        <v>9848579.370000001</v>
      </c>
      <c r="I19">
        <v>5371188.12</v>
      </c>
    </row>
    <row r="20">
      <c r="A20">
        <v>1120705195</v>
      </c>
      <c r="B20" t="str">
        <v>Aportes No Reintegrables SEOS - Gob</v>
      </c>
      <c r="C20">
        <v>0</v>
      </c>
      <c r="D20">
        <v>0</v>
      </c>
      <c r="E20">
        <v>0</v>
      </c>
      <c r="F20">
        <f>+C20+D20-E20</f>
        <v>0</v>
      </c>
      <c r="G20">
        <v>0</v>
      </c>
      <c r="H20">
        <f>+F20-G20</f>
        <v>0</v>
      </c>
      <c r="I20">
        <v>0</v>
      </c>
    </row>
    <row r="21">
      <c r="A21">
        <v>1110612000</v>
      </c>
      <c r="B21" t="str">
        <v>Fondos de Promoción Turística</v>
      </c>
      <c r="C21">
        <v>0</v>
      </c>
      <c r="D21">
        <v>0</v>
      </c>
      <c r="E21">
        <v>0</v>
      </c>
      <c r="F21">
        <f>+C21+D21-E21</f>
        <v>0</v>
      </c>
      <c r="G21">
        <v>8547757.62</v>
      </c>
      <c r="H21">
        <f>+F21-G21</f>
        <v>-8547757.62</v>
      </c>
      <c r="I21">
        <v>2009381.83</v>
      </c>
    </row>
    <row r="22">
      <c r="A22">
        <v>1120511000</v>
      </c>
      <c r="B22" t="str">
        <v xml:space="preserve">Ingresos Eventuales                                                 </v>
      </c>
      <c r="C22">
        <v>0</v>
      </c>
      <c r="D22">
        <v>0</v>
      </c>
      <c r="E22">
        <v>0</v>
      </c>
      <c r="F22">
        <f>+C22+D22-E22</f>
        <v>0</v>
      </c>
      <c r="G22">
        <v>36</v>
      </c>
      <c r="H22">
        <f>+F22-G22</f>
        <v>-36</v>
      </c>
      <c r="I22">
        <v>0</v>
      </c>
    </row>
    <row r="23">
      <c r="A23">
        <v>1120705195</v>
      </c>
      <c r="B23" t="str">
        <v xml:space="preserve"> Aportes No Reintegrables Gob. de Mendoza  </v>
      </c>
      <c r="C23">
        <v>198000000</v>
      </c>
      <c r="D23">
        <v>46345321.2</v>
      </c>
      <c r="E23">
        <v>0</v>
      </c>
      <c r="F23">
        <f>+C23+D23-E23</f>
        <v>244345321.2</v>
      </c>
      <c r="G23">
        <v>330716811.61</v>
      </c>
      <c r="H23">
        <f>+F23-G23</f>
        <v>-86371490.41000003</v>
      </c>
      <c r="I23">
        <v>134302389.37</v>
      </c>
    </row>
    <row r="24">
      <c r="A24">
        <v>1120706195</v>
      </c>
      <c r="B24" t="str">
        <v xml:space="preserve"> Aportes No Reintegrables Gob. de Mendoza  </v>
      </c>
      <c r="C24">
        <v>20000000</v>
      </c>
      <c r="D24">
        <v>409621693.43</v>
      </c>
      <c r="E24">
        <v>0</v>
      </c>
      <c r="F24">
        <f>+C24+D24-E24</f>
        <v>429621693.43</v>
      </c>
      <c r="G24">
        <v>260239466.02</v>
      </c>
      <c r="H24">
        <f>+F24-G24</f>
        <v>169382227.41</v>
      </c>
      <c r="I24">
        <v>162346550.78</v>
      </c>
    </row>
    <row r="25">
      <c r="A25">
        <v>1261900214</v>
      </c>
      <c r="B25" t="str">
        <v>Ley 26075 Financiamiento Educativo</v>
      </c>
      <c r="C25">
        <v>879782071</v>
      </c>
      <c r="D25">
        <v>235754634.95</v>
      </c>
      <c r="E25">
        <v>0</v>
      </c>
      <c r="F25">
        <f>+C25+D25-E25</f>
        <v>1115536705.95</v>
      </c>
      <c r="G25">
        <v>629437723.59</v>
      </c>
      <c r="H25">
        <f>+F25-G25</f>
        <v>486098982.36</v>
      </c>
      <c r="I25">
        <v>227157141</v>
      </c>
    </row>
    <row r="26">
      <c r="A26">
        <v>1270100000</v>
      </c>
      <c r="B26" t="str">
        <v>del Tesoro Nacional</v>
      </c>
      <c r="C26">
        <v>3530643515</v>
      </c>
      <c r="D26">
        <v>946104268.82</v>
      </c>
      <c r="E26">
        <v>0</v>
      </c>
      <c r="F26">
        <f>+C26+D26-E26</f>
        <v>4476747783.82</v>
      </c>
      <c r="G26">
        <v>0</v>
      </c>
      <c r="H26">
        <f>+F26-G26</f>
        <v>4476747783.82</v>
      </c>
      <c r="I26">
        <v>0</v>
      </c>
    </row>
    <row r="27">
      <c r="A27">
        <v>1270101194</v>
      </c>
      <c r="B27" t="str">
        <v xml:space="preserve">Remesas de la Nación - Aportes No Reintegrables-194          </v>
      </c>
      <c r="C27">
        <v>0</v>
      </c>
      <c r="D27">
        <v>33924220</v>
      </c>
      <c r="E27">
        <v>0</v>
      </c>
      <c r="F27">
        <f>+C27+D27-E27</f>
        <v>33924220</v>
      </c>
      <c r="G27">
        <v>33924220</v>
      </c>
      <c r="H27">
        <f>+F27-G27</f>
        <v>0</v>
      </c>
      <c r="I27">
        <v>0</v>
      </c>
    </row>
    <row r="28">
      <c r="A28">
        <v>1310100000</v>
      </c>
      <c r="B28" t="str">
        <v>Derechos Servicios Prop. Raíz</v>
      </c>
      <c r="C28">
        <v>413941396.12</v>
      </c>
      <c r="D28">
        <v>0</v>
      </c>
      <c r="E28">
        <v>0</v>
      </c>
      <c r="F28">
        <f>+C28+D28-E28</f>
        <v>413941396.12</v>
      </c>
      <c r="G28">
        <v>224740147.05</v>
      </c>
      <c r="H28">
        <f>+F28-G28</f>
        <v>189201249.07</v>
      </c>
      <c r="I28">
        <v>63643071.13</v>
      </c>
    </row>
    <row r="29">
      <c r="A29">
        <v>1310200000</v>
      </c>
      <c r="B29" t="str">
        <v>Derechos Comercio e Industria</v>
      </c>
      <c r="C29">
        <v>270924179.93</v>
      </c>
      <c r="D29">
        <v>0</v>
      </c>
      <c r="E29">
        <v>0</v>
      </c>
      <c r="F29">
        <f>+C29+D29-E29</f>
        <v>270924179.93</v>
      </c>
      <c r="G29">
        <v>108795032.04</v>
      </c>
      <c r="H29">
        <f>+F29-G29</f>
        <v>162129147.89</v>
      </c>
      <c r="I29">
        <v>30120550.64</v>
      </c>
    </row>
    <row r="30">
      <c r="A30">
        <v>1310300000</v>
      </c>
      <c r="B30" t="str">
        <v>Derechos de Cementerios</v>
      </c>
      <c r="C30">
        <v>108483679.17</v>
      </c>
      <c r="D30">
        <v>0</v>
      </c>
      <c r="E30">
        <v>0</v>
      </c>
      <c r="F30">
        <f>+C30+D30-E30</f>
        <v>108483679.17</v>
      </c>
      <c r="G30">
        <v>47538412.03</v>
      </c>
      <c r="H30">
        <f>+F30-G30</f>
        <v>60945267.14</v>
      </c>
      <c r="I30">
        <v>26651070.42</v>
      </c>
    </row>
    <row r="31">
      <c r="A31">
        <v>1310400000</v>
      </c>
      <c r="B31" t="str">
        <v>Derechos de Actuación Administrativ</v>
      </c>
      <c r="C31">
        <v>19685029.5</v>
      </c>
      <c r="D31">
        <v>0</v>
      </c>
      <c r="E31">
        <v>0</v>
      </c>
      <c r="F31">
        <f>+C31+D31-E31</f>
        <v>19685029.5</v>
      </c>
      <c r="G31">
        <v>9326188.08</v>
      </c>
      <c r="H31">
        <f>+F31-G31</f>
        <v>10358841.42</v>
      </c>
      <c r="I31">
        <v>3297359.23</v>
      </c>
    </row>
    <row r="32">
      <c r="A32">
        <v>1310401000</v>
      </c>
      <c r="B32" t="str">
        <v>Sellados</v>
      </c>
      <c r="C32">
        <v>12800364.04</v>
      </c>
      <c r="D32">
        <v>0</v>
      </c>
      <c r="E32">
        <v>0</v>
      </c>
      <c r="F32">
        <f>+C32+D32-E32</f>
        <v>12800364.04</v>
      </c>
      <c r="G32">
        <v>6264397.17</v>
      </c>
      <c r="H32">
        <f>+F32-G32</f>
        <v>6535966.869999999</v>
      </c>
      <c r="I32">
        <v>3057099</v>
      </c>
    </row>
    <row r="33">
      <c r="A33">
        <v>1310402000</v>
      </c>
      <c r="B33" t="str">
        <v>Gastos Administrativos de Apremio</v>
      </c>
      <c r="C33">
        <v>1139041.55</v>
      </c>
      <c r="D33">
        <v>0</v>
      </c>
      <c r="E33">
        <v>0</v>
      </c>
      <c r="F33">
        <f>+C33+D33-E33</f>
        <v>1139041.55</v>
      </c>
      <c r="G33">
        <v>264303.25</v>
      </c>
      <c r="H33">
        <f>+F33-G33</f>
        <v>874738.3</v>
      </c>
      <c r="I33">
        <v>78044.5</v>
      </c>
    </row>
    <row r="34">
      <c r="A34">
        <v>1310500000</v>
      </c>
      <c r="B34" t="str">
        <v>Derechos de Edificación</v>
      </c>
      <c r="C34">
        <v>10247657.95</v>
      </c>
      <c r="D34">
        <v>0</v>
      </c>
      <c r="E34">
        <v>0</v>
      </c>
      <c r="F34">
        <f>+C34+D34-E34</f>
        <v>10247657.95</v>
      </c>
      <c r="G34">
        <v>2312944.33</v>
      </c>
      <c r="H34">
        <f>+F34-G34</f>
        <v>7934713.619999999</v>
      </c>
      <c r="I34">
        <v>984790.91</v>
      </c>
    </row>
    <row r="35">
      <c r="A35">
        <v>1310600000</v>
      </c>
      <c r="B35" t="str">
        <v>Derecho de Inspección y Habilitació</v>
      </c>
      <c r="C35">
        <v>2390270.08</v>
      </c>
      <c r="D35">
        <v>0</v>
      </c>
      <c r="E35">
        <v>0</v>
      </c>
      <c r="F35">
        <f>+C35+D35-E35</f>
        <v>2390270.08</v>
      </c>
      <c r="G35">
        <v>415378.6</v>
      </c>
      <c r="H35">
        <f>+F35-G35</f>
        <v>1974891.48</v>
      </c>
      <c r="I35">
        <v>148732.95</v>
      </c>
    </row>
    <row r="36">
      <c r="A36">
        <v>1310700000</v>
      </c>
      <c r="B36" t="str">
        <v>Derecho de Inspección de Espectácul</v>
      </c>
      <c r="C36">
        <v>4036231.1</v>
      </c>
      <c r="D36">
        <v>0</v>
      </c>
      <c r="E36">
        <v>0</v>
      </c>
      <c r="F36">
        <f>+C36+D36-E36</f>
        <v>4036231.1</v>
      </c>
      <c r="G36">
        <v>2046121.8</v>
      </c>
      <c r="H36">
        <f>+F36-G36</f>
        <v>1990109.3</v>
      </c>
      <c r="I36">
        <v>763850.2</v>
      </c>
    </row>
    <row r="37">
      <c r="A37">
        <v>1310800000</v>
      </c>
      <c r="B37" t="str">
        <v>Derechos de Publicidad y Propaganda</v>
      </c>
      <c r="C37">
        <v>681404.53</v>
      </c>
      <c r="D37">
        <v>0</v>
      </c>
      <c r="E37">
        <v>0</v>
      </c>
      <c r="F37">
        <f>+C37+D37-E37</f>
        <v>681404.53</v>
      </c>
      <c r="G37">
        <v>17129</v>
      </c>
      <c r="H37">
        <f>+F37-G37</f>
        <v>664275.53</v>
      </c>
      <c r="I37">
        <v>0</v>
      </c>
    </row>
    <row r="38">
      <c r="A38">
        <v>1311010000</v>
      </c>
      <c r="B38" t="str">
        <v>Derechos de Concesiones - Locales</v>
      </c>
      <c r="C38">
        <v>14953451.7</v>
      </c>
      <c r="D38">
        <v>0</v>
      </c>
      <c r="E38">
        <v>0</v>
      </c>
      <c r="F38">
        <f>+C38+D38-E38</f>
        <v>14953451.7</v>
      </c>
      <c r="G38">
        <v>5520057.48</v>
      </c>
      <c r="H38">
        <f>+F38-G38</f>
        <v>9433394.219999999</v>
      </c>
      <c r="I38">
        <v>2070482.64</v>
      </c>
    </row>
    <row r="39">
      <c r="A39">
        <v>1311020000</v>
      </c>
      <c r="B39" t="str">
        <v>Derechos de Concesiones - Frecuenci</v>
      </c>
      <c r="C39">
        <v>499548.35</v>
      </c>
      <c r="D39">
        <v>0</v>
      </c>
      <c r="E39">
        <v>0</v>
      </c>
      <c r="F39">
        <f>+C39+D39-E39</f>
        <v>499548.35</v>
      </c>
      <c r="G39">
        <v>0</v>
      </c>
      <c r="H39">
        <f>+F39-G39</f>
        <v>499548.35</v>
      </c>
      <c r="I39">
        <v>0</v>
      </c>
    </row>
    <row r="40">
      <c r="A40">
        <v>1311100000</v>
      </c>
      <c r="B40" t="str">
        <v>Derechos de Salubridad e Higiene</v>
      </c>
      <c r="C40">
        <v>269381.93</v>
      </c>
      <c r="D40">
        <v>0</v>
      </c>
      <c r="E40">
        <v>0</v>
      </c>
      <c r="F40">
        <f>+C40+D40-E40</f>
        <v>269381.93</v>
      </c>
      <c r="G40">
        <v>101424.55</v>
      </c>
      <c r="H40">
        <f>+F40-G40</f>
        <v>167957.38</v>
      </c>
      <c r="I40">
        <v>31067.5</v>
      </c>
    </row>
    <row r="41">
      <c r="A41">
        <v>1311200000</v>
      </c>
      <c r="B41" t="str">
        <v>Derechos de Ocupación de Espacios P</v>
      </c>
      <c r="C41">
        <v>39356468.43</v>
      </c>
      <c r="D41">
        <v>0</v>
      </c>
      <c r="E41">
        <v>0</v>
      </c>
      <c r="F41">
        <f>+C41+D41-E41</f>
        <v>39356468.43</v>
      </c>
      <c r="G41">
        <v>14689347.12</v>
      </c>
      <c r="H41">
        <f>+F41-G41</f>
        <v>24667121.310000002</v>
      </c>
      <c r="I41">
        <v>5925058.5</v>
      </c>
    </row>
    <row r="42">
      <c r="A42">
        <v>1311201000</v>
      </c>
      <c r="B42" t="str">
        <v xml:space="preserve">Derechos de Ocupación de Espacios Playon </v>
      </c>
      <c r="C42">
        <v>2712837.84</v>
      </c>
      <c r="D42">
        <v>0</v>
      </c>
      <c r="E42">
        <v>0</v>
      </c>
      <c r="F42">
        <f>+C42+D42-E42</f>
        <v>2712837.84</v>
      </c>
      <c r="G42">
        <v>505667.27</v>
      </c>
      <c r="H42">
        <f>+F42-G42</f>
        <v>2207170.57</v>
      </c>
      <c r="I42">
        <v>170700</v>
      </c>
    </row>
    <row r="43">
      <c r="A43">
        <v>1311301000</v>
      </c>
      <c r="B43" t="str">
        <v>Servicios Prop. Raíz Ej. Vencidos</v>
      </c>
      <c r="C43">
        <v>120247377.27</v>
      </c>
      <c r="D43">
        <v>0</v>
      </c>
      <c r="E43">
        <v>0</v>
      </c>
      <c r="F43">
        <f>+C43+D43-E43</f>
        <v>120247377.27</v>
      </c>
      <c r="G43">
        <v>0</v>
      </c>
      <c r="H43">
        <f>+F43-G43</f>
        <v>120247377.27</v>
      </c>
      <c r="I43">
        <v>0</v>
      </c>
    </row>
    <row r="44">
      <c r="A44">
        <v>1311302000</v>
      </c>
      <c r="B44" t="str">
        <v>Comercio e Industria Ej. Vencidos</v>
      </c>
      <c r="C44">
        <v>119565689.76</v>
      </c>
      <c r="D44">
        <v>0</v>
      </c>
      <c r="E44">
        <v>0</v>
      </c>
      <c r="F44">
        <f>+C44+D44-E44</f>
        <v>119565689.76</v>
      </c>
      <c r="G44">
        <v>0.04</v>
      </c>
      <c r="H44">
        <f>+F44-G44</f>
        <v>119565689.72</v>
      </c>
      <c r="I44">
        <v>0</v>
      </c>
    </row>
    <row r="45">
      <c r="A45">
        <v>1311303000</v>
      </c>
      <c r="B45" t="str">
        <v>Cementerio Vencidos</v>
      </c>
      <c r="C45">
        <v>982728.03</v>
      </c>
      <c r="D45">
        <v>0</v>
      </c>
      <c r="E45">
        <v>0</v>
      </c>
      <c r="F45">
        <f>+C45+D45-E45</f>
        <v>982728.03</v>
      </c>
      <c r="G45">
        <v>0</v>
      </c>
      <c r="H45">
        <f>+F45-G45</f>
        <v>982728.03</v>
      </c>
      <c r="I45">
        <v>0</v>
      </c>
    </row>
    <row r="46">
      <c r="A46">
        <v>1311500000</v>
      </c>
      <c r="B46" t="str">
        <v xml:space="preserve">Derechos de Verificación y Habilitación de Estructura de Antenas    </v>
      </c>
      <c r="C46">
        <v>11034752.41</v>
      </c>
      <c r="D46">
        <v>0</v>
      </c>
      <c r="E46">
        <v>0</v>
      </c>
      <c r="F46">
        <f>+C46+D46-E46</f>
        <v>11034752.41</v>
      </c>
      <c r="G46">
        <v>11745951.5</v>
      </c>
      <c r="H46">
        <f>+F46-G46</f>
        <v>-711199.0899999999</v>
      </c>
      <c r="I46">
        <v>72250</v>
      </c>
    </row>
    <row r="47">
      <c r="A47">
        <v>1320100000</v>
      </c>
      <c r="B47" t="str">
        <v>Multas Generales</v>
      </c>
      <c r="C47">
        <v>12946369.44</v>
      </c>
      <c r="D47">
        <v>0</v>
      </c>
      <c r="E47">
        <v>0</v>
      </c>
      <c r="F47">
        <f>+C47+D47-E47</f>
        <v>12946369.44</v>
      </c>
      <c r="G47">
        <v>9476591.7</v>
      </c>
      <c r="H47">
        <f>+F47-G47</f>
        <v>3469777.74</v>
      </c>
      <c r="I47">
        <v>3903548.35</v>
      </c>
    </row>
    <row r="48">
      <c r="A48">
        <v>1320100001</v>
      </c>
      <c r="B48" t="str">
        <v>Multas Juzgado Vial</v>
      </c>
      <c r="C48">
        <v>0</v>
      </c>
      <c r="D48">
        <v>0</v>
      </c>
      <c r="E48">
        <v>0</v>
      </c>
      <c r="F48">
        <f>+C48+D48-E48</f>
        <v>0</v>
      </c>
      <c r="G48">
        <v>5983262.79</v>
      </c>
      <c r="H48">
        <f>+F48-G48</f>
        <v>-5983262.79</v>
      </c>
      <c r="I48">
        <v>2761421.48</v>
      </c>
    </row>
    <row r="49">
      <c r="A49">
        <v>1320100002</v>
      </c>
      <c r="B49" t="str">
        <v>Ingreso por Servicios de Control de Velocidad</v>
      </c>
      <c r="C49">
        <v>0</v>
      </c>
      <c r="D49">
        <v>0</v>
      </c>
      <c r="E49">
        <v>0</v>
      </c>
      <c r="F49">
        <f>+C49+D49-E49</f>
        <v>0</v>
      </c>
      <c r="G49">
        <v>19086679.98</v>
      </c>
      <c r="H49">
        <f>+F49-G49</f>
        <v>-19086679.98</v>
      </c>
      <c r="I49">
        <v>4930403.28</v>
      </c>
    </row>
    <row r="50">
      <c r="A50">
        <v>1320100003</v>
      </c>
      <c r="B50" t="str">
        <v>Ingreso Servicios de Control de Velocidad con Resolucion</v>
      </c>
      <c r="C50">
        <v>0</v>
      </c>
      <c r="D50">
        <v>0</v>
      </c>
      <c r="E50">
        <v>0</v>
      </c>
      <c r="F50">
        <f>+C50+D50-E50</f>
        <v>0</v>
      </c>
      <c r="G50">
        <v>1213250</v>
      </c>
      <c r="H50">
        <f>+F50-G50</f>
        <v>-1213250</v>
      </c>
      <c r="I50">
        <v>222700</v>
      </c>
    </row>
    <row r="51">
      <c r="A51">
        <v>1320200000</v>
      </c>
      <c r="B51" t="str">
        <v>Intereses y Recargos</v>
      </c>
      <c r="C51">
        <v>126802242.69</v>
      </c>
      <c r="D51">
        <v>0</v>
      </c>
      <c r="E51">
        <v>0</v>
      </c>
      <c r="F51">
        <f>+C51+D51-E51</f>
        <v>126802242.69</v>
      </c>
      <c r="G51">
        <v>40050786.19</v>
      </c>
      <c r="H51">
        <f>+F51-G51</f>
        <v>86751456.5</v>
      </c>
      <c r="I51">
        <v>15330882.04</v>
      </c>
    </row>
    <row r="52">
      <c r="A52">
        <v>1320201000</v>
      </c>
      <c r="B52" t="str">
        <v xml:space="preserve">Intereses Ganados Plazo Fijo                                        </v>
      </c>
      <c r="C52">
        <v>482207690.71</v>
      </c>
      <c r="D52">
        <v>0</v>
      </c>
      <c r="E52">
        <v>0</v>
      </c>
      <c r="F52">
        <f>+C52+D52-E52</f>
        <v>482207690.71</v>
      </c>
      <c r="G52">
        <v>602993760.1</v>
      </c>
      <c r="H52">
        <f>+F52-G52</f>
        <v>-120786069.39000005</v>
      </c>
      <c r="I52">
        <v>218709260.28</v>
      </c>
    </row>
    <row r="53">
      <c r="A53">
        <v>1320202000</v>
      </c>
      <c r="B53" t="str">
        <v>ingresos Eventuales Municipales</v>
      </c>
      <c r="C53">
        <v>5627543.53</v>
      </c>
      <c r="D53">
        <v>0</v>
      </c>
      <c r="E53">
        <v>0</v>
      </c>
      <c r="F53">
        <f>+C53+D53-E53</f>
        <v>5627543.53</v>
      </c>
      <c r="G53">
        <v>0</v>
      </c>
      <c r="H53">
        <f>+F53-G53</f>
        <v>5627543.53</v>
      </c>
      <c r="I53">
        <v>0</v>
      </c>
    </row>
    <row r="54">
      <c r="A54">
        <v>1320300000</v>
      </c>
      <c r="B54" t="str">
        <v>Concesion Servicio de emision Lic de Conducir</v>
      </c>
      <c r="C54">
        <v>77498499.83</v>
      </c>
      <c r="D54">
        <v>0</v>
      </c>
      <c r="E54">
        <v>0</v>
      </c>
      <c r="F54">
        <f>+C54+D54-E54</f>
        <v>77498499.83</v>
      </c>
      <c r="G54">
        <v>29673800</v>
      </c>
      <c r="H54">
        <f>+F54-G54</f>
        <v>47824699.83</v>
      </c>
      <c r="I54">
        <v>10689600</v>
      </c>
    </row>
    <row r="55">
      <c r="A55">
        <v>1320400000</v>
      </c>
      <c r="B55" t="str">
        <v xml:space="preserve">Producido de Actividades Culturales                                 </v>
      </c>
      <c r="C55">
        <v>0</v>
      </c>
      <c r="D55">
        <v>0</v>
      </c>
      <c r="E55">
        <v>0</v>
      </c>
      <c r="F55">
        <f>+C55+D55-E55</f>
        <v>0</v>
      </c>
      <c r="G55">
        <v>61910</v>
      </c>
      <c r="H55">
        <f>+F55-G55</f>
        <v>-61910</v>
      </c>
      <c r="I55">
        <v>61910</v>
      </c>
    </row>
    <row r="56">
      <c r="A56">
        <v>1320401000</v>
      </c>
      <c r="B56" t="str">
        <v>Cultura y Educación</v>
      </c>
      <c r="C56">
        <v>1089091.89</v>
      </c>
      <c r="D56">
        <v>0</v>
      </c>
      <c r="E56">
        <v>0</v>
      </c>
      <c r="F56">
        <f>+C56+D56-E56</f>
        <v>1089091.89</v>
      </c>
      <c r="G56">
        <v>194208</v>
      </c>
      <c r="H56">
        <f>+F56-G56</f>
        <v>894883.8899999999</v>
      </c>
      <c r="I56">
        <v>40460</v>
      </c>
    </row>
    <row r="57">
      <c r="A57">
        <v>1320600000</v>
      </c>
      <c r="B57" t="str">
        <v xml:space="preserve">Producido de actividades gestión de cobranza                        </v>
      </c>
      <c r="C57">
        <v>0</v>
      </c>
      <c r="D57">
        <v>0</v>
      </c>
      <c r="E57">
        <v>0</v>
      </c>
      <c r="F57">
        <f>+C57+D57-E57</f>
        <v>0</v>
      </c>
      <c r="G57">
        <v>1084108.43</v>
      </c>
      <c r="H57">
        <f>+F57-G57</f>
        <v>-1084108.43</v>
      </c>
      <c r="I57">
        <v>563308.68</v>
      </c>
    </row>
    <row r="58">
      <c r="A58">
        <v>1320700000</v>
      </c>
      <c r="B58" t="str">
        <v>Producido de actividades especiales</v>
      </c>
      <c r="C58">
        <v>6538358.79</v>
      </c>
      <c r="D58">
        <v>0</v>
      </c>
      <c r="E58">
        <v>0</v>
      </c>
      <c r="F58">
        <f>+C58+D58-E58</f>
        <v>6538358.79</v>
      </c>
      <c r="G58">
        <v>3994835.67</v>
      </c>
      <c r="H58">
        <f>+F58-G58</f>
        <v>2543523.12</v>
      </c>
      <c r="I58">
        <v>1343576.83</v>
      </c>
    </row>
    <row r="59">
      <c r="A59">
        <v>1320701000</v>
      </c>
      <c r="B59" t="str">
        <v>Atmosférico</v>
      </c>
      <c r="C59">
        <v>1786944.76</v>
      </c>
      <c r="D59">
        <v>0</v>
      </c>
      <c r="E59">
        <v>0</v>
      </c>
      <c r="F59">
        <f>+C59+D59-E59</f>
        <v>1786944.76</v>
      </c>
      <c r="G59">
        <v>877150.07</v>
      </c>
      <c r="H59">
        <f>+F59-G59</f>
        <v>909794.6900000001</v>
      </c>
      <c r="I59">
        <v>376268.6</v>
      </c>
    </row>
    <row r="60">
      <c r="A60">
        <v>1320704000</v>
      </c>
      <c r="B60" t="str">
        <v xml:space="preserve">Sistema de Alarma Comunitaria                                       </v>
      </c>
      <c r="C60">
        <v>0</v>
      </c>
      <c r="D60">
        <v>0</v>
      </c>
      <c r="E60">
        <v>0</v>
      </c>
      <c r="F60">
        <f>+C60+D60-E60</f>
        <v>0</v>
      </c>
      <c r="G60">
        <v>404200</v>
      </c>
      <c r="H60">
        <f>+F60-G60</f>
        <v>-404200</v>
      </c>
      <c r="I60">
        <v>213040</v>
      </c>
    </row>
    <row r="61">
      <c r="A61">
        <v>1320800000</v>
      </c>
      <c r="B61" t="str">
        <v>Reintegro ART x Incapacidad Laboral</v>
      </c>
      <c r="C61">
        <v>4442143.68</v>
      </c>
      <c r="D61">
        <v>0</v>
      </c>
      <c r="E61">
        <v>0</v>
      </c>
      <c r="F61">
        <f>+C61+D61-E61</f>
        <v>4442143.68</v>
      </c>
      <c r="G61">
        <v>0</v>
      </c>
      <c r="H61">
        <f>+F61-G61</f>
        <v>4442143.68</v>
      </c>
      <c r="I61">
        <v>0</v>
      </c>
    </row>
    <row r="62">
      <c r="A62">
        <v>1321100000</v>
      </c>
      <c r="B62" t="str">
        <v>Ingresos Agentes Financieros</v>
      </c>
      <c r="C62">
        <v>0</v>
      </c>
      <c r="D62">
        <v>0</v>
      </c>
      <c r="E62">
        <v>0</v>
      </c>
      <c r="F62">
        <f>+C62+D62-E62</f>
        <v>0</v>
      </c>
      <c r="G62">
        <v>58159231.84</v>
      </c>
      <c r="H62">
        <f>+F62-G62</f>
        <v>-58159231.84</v>
      </c>
      <c r="I62">
        <v>14650533.83</v>
      </c>
    </row>
    <row r="63">
      <c r="A63">
        <v>1321200000</v>
      </c>
      <c r="B63" t="str">
        <v xml:space="preserve">Cargo por Alumbrado Publico                                         </v>
      </c>
      <c r="C63">
        <v>0</v>
      </c>
      <c r="D63">
        <v>0</v>
      </c>
      <c r="E63">
        <v>0</v>
      </c>
      <c r="F63">
        <f>+C63+D63-E63</f>
        <v>0</v>
      </c>
      <c r="G63">
        <v>11642156.96</v>
      </c>
      <c r="H63">
        <f>+F63-G63</f>
        <v>-11642156.96</v>
      </c>
      <c r="I63">
        <v>0</v>
      </c>
    </row>
    <row r="64">
      <c r="A64">
        <v>1321700000</v>
      </c>
      <c r="B64" t="str">
        <v xml:space="preserve">Producido de la actividad Turística                                 </v>
      </c>
      <c r="C64">
        <v>0</v>
      </c>
      <c r="D64">
        <v>0</v>
      </c>
      <c r="E64">
        <v>0</v>
      </c>
      <c r="F64">
        <f>+C64+D64-E64</f>
        <v>0</v>
      </c>
      <c r="G64">
        <v>2215000</v>
      </c>
      <c r="H64">
        <f>+F64-G64</f>
        <v>-2215000</v>
      </c>
      <c r="I64">
        <v>0</v>
      </c>
    </row>
    <row r="65">
      <c r="A65">
        <v>2210100000</v>
      </c>
      <c r="B65" t="str">
        <v>Reembolsos Pavimento</v>
      </c>
      <c r="C65">
        <v>0</v>
      </c>
      <c r="D65">
        <v>0</v>
      </c>
      <c r="E65">
        <v>0</v>
      </c>
      <c r="F65">
        <f>+C65+D65-E65</f>
        <v>0</v>
      </c>
      <c r="G65">
        <v>1117098.59</v>
      </c>
      <c r="H65">
        <f>+F65-G65</f>
        <v>-1117098.59</v>
      </c>
      <c r="I65">
        <v>492707.56</v>
      </c>
    </row>
    <row r="66">
      <c r="A66">
        <v>2210101000</v>
      </c>
      <c r="B66" t="str">
        <v>Reembolso Obras de Asfalto</v>
      </c>
      <c r="C66">
        <v>2000000</v>
      </c>
      <c r="D66">
        <v>0</v>
      </c>
      <c r="E66">
        <v>0</v>
      </c>
      <c r="F66">
        <f>+C66+D66-E66</f>
        <v>2000000</v>
      </c>
      <c r="G66">
        <v>0</v>
      </c>
      <c r="H66">
        <f>+F66-G66</f>
        <v>2000000</v>
      </c>
      <c r="I66">
        <v>0</v>
      </c>
    </row>
    <row r="67">
      <c r="A67">
        <v>2210801000</v>
      </c>
      <c r="B67" t="str">
        <v>Reemb. Ej. Vdos. Pavimento</v>
      </c>
      <c r="C67">
        <v>0</v>
      </c>
      <c r="D67">
        <v>0</v>
      </c>
      <c r="E67">
        <v>0</v>
      </c>
      <c r="F67">
        <f>+C67+D67-E67</f>
        <v>0</v>
      </c>
      <c r="G67">
        <v>4649.16</v>
      </c>
      <c r="H67">
        <f>+F67-G67</f>
        <v>-4649.16</v>
      </c>
      <c r="I67">
        <v>880.67</v>
      </c>
    </row>
    <row r="68">
      <c r="A68">
        <v>2210806000</v>
      </c>
      <c r="B68" t="str">
        <v>Reemb. Ej. Vdos. Red Dist. Gas</v>
      </c>
      <c r="C68">
        <v>0</v>
      </c>
      <c r="D68">
        <v>0</v>
      </c>
      <c r="E68">
        <v>0</v>
      </c>
      <c r="F68">
        <f>+C68+D68-E68</f>
        <v>0</v>
      </c>
      <c r="G68">
        <v>0</v>
      </c>
      <c r="H68">
        <f>+F68-G68</f>
        <v>0</v>
      </c>
      <c r="I68">
        <v>0</v>
      </c>
    </row>
    <row r="69">
      <c r="A69">
        <v>2210802000</v>
      </c>
      <c r="B69" t="str">
        <v xml:space="preserve">Reemb. Ej. Vdos. Alumbrado Público                                  </v>
      </c>
      <c r="C69">
        <v>0</v>
      </c>
      <c r="D69">
        <v>0</v>
      </c>
      <c r="E69">
        <v>0</v>
      </c>
      <c r="F69">
        <f>+C69+D69-E69</f>
        <v>0</v>
      </c>
      <c r="G69">
        <v>52.5</v>
      </c>
      <c r="H69">
        <f>+F69-G69</f>
        <v>-52.5</v>
      </c>
      <c r="I69">
        <v>0</v>
      </c>
    </row>
    <row r="70">
      <c r="A70">
        <v>2210803000</v>
      </c>
      <c r="B70" t="str">
        <v xml:space="preserve">Reemb. Ej. Vdos. Red Cloacal                                        </v>
      </c>
      <c r="C70">
        <v>0</v>
      </c>
      <c r="D70">
        <v>0</v>
      </c>
      <c r="E70">
        <v>0</v>
      </c>
      <c r="F70">
        <f>+C70+D70-E70</f>
        <v>0</v>
      </c>
      <c r="G70">
        <v>33.34</v>
      </c>
      <c r="H70">
        <f>+F70-G70</f>
        <v>-33.34</v>
      </c>
      <c r="I70">
        <v>0</v>
      </c>
    </row>
    <row r="71">
      <c r="A71">
        <v>2210804000</v>
      </c>
      <c r="B71" t="str">
        <v xml:space="preserve">Reemb. Ej. Vdos. Redes de Agua                                      </v>
      </c>
      <c r="C71">
        <v>0</v>
      </c>
      <c r="D71">
        <v>0</v>
      </c>
      <c r="E71">
        <v>0</v>
      </c>
      <c r="F71">
        <f>+C71+D71-E71</f>
        <v>0</v>
      </c>
      <c r="G71">
        <v>185.79</v>
      </c>
      <c r="H71">
        <f>+F71-G71</f>
        <v>-185.79</v>
      </c>
      <c r="I71">
        <v>185.79</v>
      </c>
    </row>
    <row r="72">
      <c r="A72">
        <v>2210805000</v>
      </c>
      <c r="B72" t="str">
        <v xml:space="preserve">Reemb. Ej. Vdos. Obras Varias                                       </v>
      </c>
      <c r="C72">
        <v>0</v>
      </c>
      <c r="D72">
        <v>0</v>
      </c>
      <c r="E72">
        <v>0</v>
      </c>
      <c r="F72">
        <f>+C72+D72-E72</f>
        <v>0</v>
      </c>
      <c r="G72">
        <v>1160.58</v>
      </c>
      <c r="H72">
        <f>+F72-G72</f>
        <v>-1160.58</v>
      </c>
      <c r="I72">
        <v>0</v>
      </c>
    </row>
    <row r="73">
      <c r="A73">
        <v>2210806000</v>
      </c>
      <c r="B73" t="str">
        <v xml:space="preserve">Reemb. Ej. Vdos. Red Dist. Gas                                      </v>
      </c>
      <c r="C73">
        <v>0</v>
      </c>
      <c r="D73">
        <v>0</v>
      </c>
      <c r="E73">
        <v>0</v>
      </c>
      <c r="F73">
        <f>+C73+D73-E73</f>
        <v>0</v>
      </c>
      <c r="G73">
        <v>2296.05</v>
      </c>
      <c r="H73">
        <f>+F73-G73</f>
        <v>-2296.05</v>
      </c>
      <c r="I73">
        <v>1142.04</v>
      </c>
    </row>
    <row r="74">
      <c r="A74">
        <v>7110601000</v>
      </c>
      <c r="B74" t="str">
        <v>Emprestitos Publicos</v>
      </c>
      <c r="C74">
        <v>300000000</v>
      </c>
      <c r="D74">
        <v>0</v>
      </c>
      <c r="E74">
        <v>0</v>
      </c>
      <c r="F74">
        <f>+C74+D74-E74</f>
        <v>300000000</v>
      </c>
      <c r="G74">
        <v>21617471.94</v>
      </c>
      <c r="H74">
        <f>+F74-G74</f>
        <v>278382528.06</v>
      </c>
      <c r="I74">
        <v>19350321.94</v>
      </c>
    </row>
    <row r="75">
      <c r="A75">
        <v>7290400000</v>
      </c>
      <c r="B75" t="str">
        <v>Aporte no Reintegrable Provincial para Obra Pública</v>
      </c>
      <c r="C75">
        <v>0</v>
      </c>
      <c r="D75">
        <v>0</v>
      </c>
      <c r="E75">
        <v>0</v>
      </c>
      <c r="F75">
        <f>+C75+D75-E75</f>
        <v>0</v>
      </c>
      <c r="G75">
        <v>0</v>
      </c>
      <c r="H75">
        <f>+F75-G75</f>
        <v>0</v>
      </c>
      <c r="I75">
        <v>0</v>
      </c>
    </row>
    <row r="76">
      <c r="A76">
        <v>7290500000</v>
      </c>
      <c r="B76" t="str">
        <v>Aportes no Reintegrables Nacion p/obra publica</v>
      </c>
      <c r="C76">
        <v>0</v>
      </c>
      <c r="D76">
        <v>0</v>
      </c>
      <c r="E76">
        <v>0</v>
      </c>
      <c r="F76">
        <f>+C76+D76-E76</f>
        <v>0</v>
      </c>
      <c r="G76">
        <v>0</v>
      </c>
      <c r="H76">
        <f>+F76-G76</f>
        <v>0</v>
      </c>
      <c r="I76">
        <v>0</v>
      </c>
    </row>
    <row r="77">
      <c r="A77">
        <v>7460000000</v>
      </c>
      <c r="B77" t="str">
        <v>Remanente ejec anterior</v>
      </c>
      <c r="C77">
        <v>400000000</v>
      </c>
      <c r="D77">
        <v>525842662.59</v>
      </c>
      <c r="E77">
        <v>0</v>
      </c>
      <c r="F77">
        <f>+C77+D77-E77</f>
        <v>925842662.5899999</v>
      </c>
      <c r="G77">
        <v>0</v>
      </c>
      <c r="H77">
        <f>+F77-G77</f>
        <v>925842662.5899999</v>
      </c>
      <c r="I77">
        <v>0</v>
      </c>
    </row>
    <row r="78">
      <c r="A78">
        <v>7460000194</v>
      </c>
      <c r="B78" t="str">
        <v xml:space="preserve">Remanente Fondos Nacionales </v>
      </c>
      <c r="C78">
        <v>0</v>
      </c>
      <c r="D78">
        <v>2666661</v>
      </c>
      <c r="E78">
        <v>0</v>
      </c>
      <c r="F78">
        <f>+C78+D78-E78</f>
        <v>2666661</v>
      </c>
      <c r="G78">
        <v>0</v>
      </c>
      <c r="H78">
        <f>+F78-G78</f>
        <v>2666661</v>
      </c>
      <c r="I78">
        <v>0</v>
      </c>
    </row>
    <row r="79">
      <c r="A79">
        <v>7460000195</v>
      </c>
      <c r="B79" t="str">
        <v>Remanente Fondos Provinciales</v>
      </c>
      <c r="C79">
        <v>0</v>
      </c>
      <c r="D79">
        <v>55400698.56</v>
      </c>
      <c r="E79">
        <v>0</v>
      </c>
      <c r="F79">
        <f>+C79+D79-E79</f>
        <v>55400698.56</v>
      </c>
      <c r="G79">
        <v>0</v>
      </c>
      <c r="H79">
        <f>+F79-G79</f>
        <v>55400698.56</v>
      </c>
      <c r="I79">
        <v>0</v>
      </c>
    </row>
    <row r="80">
      <c r="A80">
        <v>7460000214</v>
      </c>
      <c r="B80" t="str">
        <v xml:space="preserve">Remanente Fondos Ley 26075 Financiamiento Educativo.                </v>
      </c>
      <c r="C80">
        <v>0</v>
      </c>
      <c r="D80">
        <v>274569082.68</v>
      </c>
      <c r="E80">
        <v>0</v>
      </c>
      <c r="F80">
        <f>+C80+D80-E80</f>
        <v>274569082.68</v>
      </c>
      <c r="G80">
        <v>0</v>
      </c>
      <c r="H80">
        <f>+F80-G80</f>
        <v>274569082.68</v>
      </c>
      <c r="I80">
        <v>0</v>
      </c>
    </row>
    <row r="81">
      <c r="A81" t="str">
        <v>TOTAL</v>
      </c>
      <c r="C81">
        <f>SUM(C13:C80)</f>
        <v>10283692040.000004</v>
      </c>
      <c r="D81">
        <f>SUM(D13:D80)</f>
        <v>3348370339.46</v>
      </c>
      <c r="E81">
        <f>SUM(E13:E80)</f>
        <v>0</v>
      </c>
      <c r="F81">
        <f>SUM(F13:F80)</f>
        <v>13632062379.460007</v>
      </c>
      <c r="G81">
        <f>SUM(G13:G80)</f>
        <v>7994738525.79</v>
      </c>
      <c r="H81">
        <f>SUM(H13:H80)</f>
        <v>5637323853.670001</v>
      </c>
      <c r="I81">
        <f>SUM(I13:I80)</f>
        <v>3510370111.5299993</v>
      </c>
    </row>
  </sheetData>
  <mergeCells count="7">
    <mergeCell ref="A81:B81"/>
    <mergeCell ref="D10:E10"/>
    <mergeCell ref="A1:I1"/>
    <mergeCell ref="A3:I3"/>
    <mergeCell ref="A4:I4"/>
    <mergeCell ref="D9:E9"/>
    <mergeCell ref="A9:B11"/>
  </mergeCells>
  <pageMargins left="0" right="0" top="0" bottom="0" header="0" footer="0"/>
  <ignoredErrors>
    <ignoredError numberStoredAsText="1" sqref="A1:K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ACUERDO Nº 3949</v>
      </c>
    </row>
    <row r="3">
      <c r="A3" t="str">
        <v>ANEXO 4: EJECUCION PRESUPUESTARIA DEL TRIMESTRE. CUMPLIMIENTO DE METAS</v>
      </c>
    </row>
    <row r="5">
      <c r="A5" t="str">
        <v>REPARTICION / ORGANISMO: MUNICIPALIDAD DE GRAL SAN MARTIN</v>
      </c>
      <c r="D5" t="str">
        <v>NOMENCLADOR: 060214</v>
      </c>
    </row>
    <row r="6">
      <c r="A6" t="str">
        <f>+'ANEXO 1'!B8</f>
        <v>EJERCICIO: 2023</v>
      </c>
      <c r="D6" t="str">
        <f>+'ANEXO 1'!G8</f>
        <v>TRIMESTRE: 3</v>
      </c>
    </row>
    <row r="8">
      <c r="A8" t="str">
        <v>CONCEPTO</v>
      </c>
      <c r="C8" t="str">
        <v xml:space="preserve">EJECUTADO EN </v>
      </c>
      <c r="D8" t="str">
        <v>PROGRAMACION</v>
      </c>
      <c r="E8" t="str">
        <v>DIF. ENTRE EJECU-</v>
      </c>
      <c r="F8" t="str">
        <v>NOTA</v>
      </c>
    </row>
    <row r="9">
      <c r="C9" t="str">
        <v>EL TRIMESTRE</v>
      </c>
      <c r="D9" t="str">
        <v>FINANCIERA DEL</v>
      </c>
      <c r="E9" t="str">
        <v>TADO Y PROGRAM.</v>
      </c>
    </row>
    <row r="10">
      <c r="D10" t="str">
        <v>TRIMESTRE</v>
      </c>
      <c r="E10" t="str">
        <v>FINANCIERA</v>
      </c>
    </row>
    <row r="11">
      <c r="C11">
        <v>1</v>
      </c>
      <c r="D11">
        <v>2</v>
      </c>
      <c r="E11" t="str">
        <v>3=1-2</v>
      </c>
    </row>
    <row r="12">
      <c r="A12" t="str">
        <v>I</v>
      </c>
      <c r="B12" t="str">
        <v>RECURSOS CORRIENTES</v>
      </c>
      <c r="C12">
        <v>3490524873.53</v>
      </c>
      <c r="D12">
        <v>2395423009.9994993</v>
      </c>
      <c r="E12">
        <f>+C12-D12</f>
        <v>1095101863.530501</v>
      </c>
    </row>
    <row r="13">
      <c r="A13" t="str">
        <v>II</v>
      </c>
      <c r="B13" t="str">
        <v>GASTOS CORRIENTES</v>
      </c>
      <c r="C13">
        <v>2242895894.15</v>
      </c>
      <c r="D13">
        <v>1750803370.25</v>
      </c>
      <c r="E13">
        <f>+C13-D13</f>
        <v>492092523.9000001</v>
      </c>
    </row>
    <row r="14">
      <c r="A14" t="str">
        <v>III</v>
      </c>
      <c r="B14" t="str">
        <v>RDO. ECCO: AHORRO/DESARROLLO (I-II)</v>
      </c>
      <c r="C14">
        <f>+C12-C13</f>
        <v>1247628979.38</v>
      </c>
      <c r="D14">
        <f>+D12-D13</f>
        <v>644619639.7494993</v>
      </c>
      <c r="E14">
        <f>+E12-E13</f>
        <v>603009339.6305008</v>
      </c>
    </row>
    <row r="15">
      <c r="A15" t="str">
        <v>IV</v>
      </c>
      <c r="B15" t="str">
        <v>RECURSOS DE CAPITAL</v>
      </c>
      <c r="C15">
        <v>494916.06</v>
      </c>
      <c r="D15">
        <v>500000</v>
      </c>
      <c r="E15">
        <f>+C15-D15</f>
        <v>-5083.940000000002</v>
      </c>
    </row>
    <row r="16">
      <c r="A16" t="str">
        <v>V</v>
      </c>
      <c r="B16" t="str">
        <v>GASTOS DE CAPITAL</v>
      </c>
      <c r="C16">
        <v>1185784327.45</v>
      </c>
      <c r="D16">
        <v>773330384.5</v>
      </c>
      <c r="E16">
        <f>+C16-D16</f>
        <v>412453942.95000005</v>
      </c>
    </row>
    <row r="17">
      <c r="A17" t="str">
        <v>VI</v>
      </c>
      <c r="B17" t="str">
        <v>EXCEDENTE ANTES TRANSF. FIGURATIVAS (III+IV-V)</v>
      </c>
      <c r="C17">
        <f>+C14+C15-C16</f>
        <v>62339567.99000001</v>
      </c>
      <c r="D17">
        <f>+D14+D15-D16</f>
        <v>-128210744.75050068</v>
      </c>
      <c r="E17">
        <f>+E14+E15-E16</f>
        <v>190550312.7405007</v>
      </c>
    </row>
    <row r="18">
      <c r="B18" t="str">
        <v>TOTAL RECURSOS (I+IV)</v>
      </c>
      <c r="C18">
        <f>+C12+C15</f>
        <v>3491019789.59</v>
      </c>
      <c r="D18">
        <f>+D12+D15</f>
        <v>2395923009.9994993</v>
      </c>
      <c r="E18">
        <f>+E12+E15</f>
        <v>1095096779.5905008</v>
      </c>
    </row>
    <row r="19">
      <c r="B19" t="str">
        <v>TOTAL GASTOS (II+V)</v>
      </c>
      <c r="C19">
        <f>+C13+C16</f>
        <v>3428680221.6000004</v>
      </c>
      <c r="D19">
        <f>+D13+D16</f>
        <v>2524133754.75</v>
      </c>
      <c r="E19">
        <f>+E13+E16</f>
        <v>904546466.8500001</v>
      </c>
    </row>
    <row r="20">
      <c r="A20" t="str">
        <v>VII</v>
      </c>
      <c r="B20" t="str">
        <v>RECURSOS FIGURATIVOS</v>
      </c>
      <c r="C20">
        <v>0</v>
      </c>
      <c r="D20">
        <v>0</v>
      </c>
      <c r="E20">
        <f>+C20-D20</f>
        <v>0</v>
      </c>
    </row>
    <row r="21">
      <c r="A21" t="str">
        <v>VIII</v>
      </c>
      <c r="B21" t="str">
        <v>GASTOS FIGURATIVOS</v>
      </c>
      <c r="C21">
        <v>0</v>
      </c>
      <c r="D21">
        <v>0</v>
      </c>
      <c r="E21">
        <f>+C21-D21</f>
        <v>0</v>
      </c>
    </row>
    <row r="22">
      <c r="A22" t="str">
        <v>IX</v>
      </c>
      <c r="B22" t="str">
        <v>NECESIDAD DE FINANCIAMIENTO (VI+VII-VIII)</v>
      </c>
      <c r="C22">
        <f>+C17+C20-C21</f>
        <v>62339567.99000001</v>
      </c>
      <c r="D22">
        <f>+D17+D20-D21</f>
        <v>-128210744.75050068</v>
      </c>
      <c r="E22">
        <f>+E17+E20-E21</f>
        <v>190550312.7405007</v>
      </c>
    </row>
    <row r="23">
      <c r="A23" t="str">
        <v>X</v>
      </c>
      <c r="B23" t="str">
        <v>FUENTES DE FINANCIAMIENTO</v>
      </c>
      <c r="C23">
        <v>19350321.94</v>
      </c>
      <c r="D23">
        <v>175000000</v>
      </c>
      <c r="E23">
        <f>+C23-D23</f>
        <v>-155649678.06</v>
      </c>
    </row>
    <row r="24">
      <c r="A24" t="str">
        <v>XI</v>
      </c>
      <c r="B24" t="str">
        <v>APLICACIONES FINANCIERAS</v>
      </c>
      <c r="C24">
        <v>13379.24</v>
      </c>
      <c r="D24">
        <v>46789255.25</v>
      </c>
      <c r="E24">
        <f>+C24-D24</f>
        <v>-46775876.01</v>
      </c>
    </row>
    <row r="25">
      <c r="A25" t="str">
        <v>XII</v>
      </c>
      <c r="B25" t="str">
        <v>FINANCIAMIENTO NETO (X-XI)</v>
      </c>
      <c r="C25">
        <f>+C23-C24</f>
        <v>19336942.700000003</v>
      </c>
      <c r="D25">
        <f>+D23-D24</f>
        <v>128210744.75</v>
      </c>
      <c r="E25">
        <f>+E23-E24</f>
        <v>-108873802.05000001</v>
      </c>
    </row>
    <row r="26">
      <c r="A26" t="str">
        <v>XIII</v>
      </c>
      <c r="B26" t="str">
        <v>RESULTADO FINANCIERO (VI+XII)</v>
      </c>
      <c r="C26">
        <f>+C17+C25</f>
        <v>81676510.69000001</v>
      </c>
      <c r="D26">
        <f>+D17+D25</f>
        <v>-0.0005006790161132812</v>
      </c>
      <c r="E26">
        <f>+E17+E25</f>
        <v>81676510.69050068</v>
      </c>
    </row>
  </sheetData>
  <mergeCells count="5">
    <mergeCell ref="A10:B10"/>
    <mergeCell ref="A1:F1"/>
    <mergeCell ref="A3:F3"/>
    <mergeCell ref="A8:B8"/>
    <mergeCell ref="A9:B9"/>
  </mergeCells>
  <pageMargins left="0.77" right="0.75" top="0.5" bottom="1" header="0" footer="0"/>
  <ignoredErrors>
    <ignoredError numberStoredAsText="1" sqref="A1:G40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N28"/>
  <sheetViews>
    <sheetView workbookViewId="0"/>
  </sheetViews>
  <sheetData>
    <row r="3">
      <c r="A3" t="str">
        <v>ACUERDO Nº 3949</v>
      </c>
    </row>
    <row r="5">
      <c r="A5" t="str">
        <v>ANEXO 5: EVOLUCION DE LA DEUDA PUBLICA CONSOLIDADA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2023</v>
      </c>
      <c r="E8" t="str">
        <f>+'ANEXO 1'!G8</f>
        <v>TRIMESTRE: 3</v>
      </c>
    </row>
    <row r="10">
      <c r="A10" t="str">
        <v>CONCEPTO</v>
      </c>
      <c r="B10" t="str">
        <v>SALDO AL INICIO</v>
      </c>
      <c r="C10" t="str">
        <v xml:space="preserve">PAGOS </v>
      </c>
      <c r="D10" t="str">
        <v>DEUDA CONTRAIDA</v>
      </c>
      <c r="E10" t="str">
        <v>VARIACION EN EL</v>
      </c>
      <c r="F10" t="str">
        <v>SALDO AL FINAL</v>
      </c>
      <c r="G10" t="str">
        <v>NORMA LEGAL</v>
      </c>
      <c r="I10" t="str">
        <v>TIPO DE ENTIDAD</v>
      </c>
    </row>
    <row r="11">
      <c r="B11" t="str">
        <v>DEL TRIMESTRE</v>
      </c>
      <c r="C11" t="str">
        <v xml:space="preserve">REALIZADOS EN </v>
      </c>
      <c r="D11" t="str">
        <v>EN EL TRIMESTRE</v>
      </c>
      <c r="E11" t="str">
        <v>TRIMESTRE POR</v>
      </c>
      <c r="F11" t="str">
        <v>DEL TRIMESTRE</v>
      </c>
      <c r="I11" t="str">
        <v>ACREEDORA</v>
      </c>
    </row>
    <row r="12">
      <c r="C12" t="str">
        <v>EL TRIMESTRE</v>
      </c>
      <c r="E12" t="str">
        <v>RENEGOCIACION</v>
      </c>
    </row>
    <row r="13">
      <c r="E13" t="str">
        <v>DE LA DEUDA</v>
      </c>
      <c r="G13" t="str">
        <v>TIPO</v>
      </c>
      <c r="H13" t="str">
        <v>NUMERO</v>
      </c>
    </row>
    <row r="14">
      <c r="A14">
        <v>1</v>
      </c>
      <c r="B14">
        <v>2</v>
      </c>
      <c r="C14">
        <v>3</v>
      </c>
      <c r="D14">
        <v>4</v>
      </c>
      <c r="E14">
        <v>5</v>
      </c>
      <c r="F14" t="str">
        <v>6=2-3+4+o-5</v>
      </c>
      <c r="G14">
        <v>7</v>
      </c>
      <c r="I14">
        <v>8</v>
      </c>
    </row>
    <row r="15">
      <c r="A15" t="str">
        <v xml:space="preserve"> Moneda Nacional</v>
      </c>
      <c r="E15" t="str">
        <v xml:space="preserve"> </v>
      </c>
    </row>
    <row r="16">
      <c r="A16" t="str">
        <v>Préstamo IPV Viv. Deleg. Chapanay</v>
      </c>
      <c r="B16">
        <v>-12460.33</v>
      </c>
      <c r="C16">
        <v>0</v>
      </c>
      <c r="D16">
        <v>0</v>
      </c>
      <c r="E16">
        <v>0</v>
      </c>
      <c r="F16">
        <f>-B16-C16+D16-E16</f>
        <v>12460.33</v>
      </c>
      <c r="G16" t="str">
        <v>RESOLUCIÓN</v>
      </c>
      <c r="H16" t="str">
        <v>4850/95</v>
      </c>
    </row>
    <row r="17">
      <c r="A17" t="str">
        <v>Préstamo IPV Redes de Agua Uniones Vecinales</v>
      </c>
      <c r="B17">
        <v>-112095.73</v>
      </c>
      <c r="C17">
        <v>0</v>
      </c>
      <c r="D17">
        <v>0</v>
      </c>
      <c r="E17">
        <v>0</v>
      </c>
      <c r="F17">
        <f>-B17-C17+D17-E17</f>
        <v>112095.73</v>
      </c>
    </row>
    <row r="18">
      <c r="A18" t="str">
        <v>Préstamo Expropiación Terreno calle Alem</v>
      </c>
      <c r="B18">
        <v>-109018.29</v>
      </c>
      <c r="C18">
        <v>0</v>
      </c>
      <c r="D18">
        <v>0</v>
      </c>
      <c r="E18">
        <v>0</v>
      </c>
      <c r="F18">
        <f>-B18-C18+D18-E18</f>
        <v>109018.29</v>
      </c>
    </row>
    <row r="19">
      <c r="A19" t="str">
        <v>Préstamo BID.BIRF (1)</v>
      </c>
      <c r="B19">
        <v>0</v>
      </c>
      <c r="C19">
        <v>0</v>
      </c>
      <c r="D19">
        <v>0</v>
      </c>
      <c r="E19">
        <v>0</v>
      </c>
      <c r="F19">
        <f>-B19-C19+D19-E19</f>
        <v>0</v>
      </c>
    </row>
    <row r="20">
      <c r="A20" t="str">
        <v>Préstamo I.P.V. para Compra de Terreno</v>
      </c>
      <c r="B20">
        <v>-8571869.74</v>
      </c>
      <c r="C20">
        <v>301635.18</v>
      </c>
      <c r="D20">
        <v>0</v>
      </c>
      <c r="E20">
        <v>0</v>
      </c>
      <c r="F20">
        <f>-B20-C20+D20-E20</f>
        <v>8270234.5600000005</v>
      </c>
      <c r="G20" t="str">
        <v>RESOLUCIÓN</v>
      </c>
      <c r="H20" t="str">
        <v>198/2013</v>
      </c>
    </row>
    <row r="21">
      <c r="A21" t="str">
        <v>Conv.Dpto.Gral.Irrig-Aguas Subt.y Superf.</v>
      </c>
      <c r="B21">
        <v>0</v>
      </c>
      <c r="C21">
        <v>0</v>
      </c>
      <c r="D21">
        <v>0</v>
      </c>
      <c r="E21">
        <v>0</v>
      </c>
      <c r="F21">
        <f>-B21-C21+D21-E21</f>
        <v>0</v>
      </c>
    </row>
    <row r="22">
      <c r="A22" t="str">
        <v>Préstamo Ley Nº8873/2016 Fondos Anses</v>
      </c>
      <c r="B22">
        <v>-22560501.56</v>
      </c>
      <c r="C22">
        <v>22560501.56</v>
      </c>
      <c r="D22">
        <v>0</v>
      </c>
      <c r="E22">
        <v>0</v>
      </c>
      <c r="F22">
        <f>-B22-C22+D22-E22</f>
        <v>0</v>
      </c>
      <c r="G22" t="str">
        <v>LEY</v>
      </c>
      <c r="H22" t="str">
        <v>8873/2016</v>
      </c>
    </row>
    <row r="23">
      <c r="A23" t="str">
        <v>Prest. Ley 8930 Art.42 Inc.d  Equipamiento Vial</v>
      </c>
      <c r="B23">
        <v>-1393868.06</v>
      </c>
      <c r="C23">
        <v>1393868.06</v>
      </c>
      <c r="D23">
        <v>0</v>
      </c>
      <c r="E23">
        <v>0</v>
      </c>
      <c r="F23">
        <f>-B23-C23+D23-E23</f>
        <v>0</v>
      </c>
      <c r="G23" t="str">
        <v>LEY</v>
      </c>
      <c r="H23" t="str">
        <v>8930/2016</v>
      </c>
    </row>
    <row r="24">
      <c r="A24" t="str">
        <v>Prest. Ley 9033 Art.44 Mejoram. Alumbrado Pco.</v>
      </c>
      <c r="B24">
        <v>-16757121.97</v>
      </c>
      <c r="C24">
        <v>2355371.07</v>
      </c>
      <c r="D24">
        <v>0</v>
      </c>
      <c r="E24">
        <v>0</v>
      </c>
      <c r="F24">
        <f>-B24-C24+D24-E24</f>
        <v>14401750.9</v>
      </c>
      <c r="G24" t="str">
        <v>LEY</v>
      </c>
      <c r="H24" t="str">
        <v>9033/2017</v>
      </c>
    </row>
    <row r="25">
      <c r="A25" t="str">
        <v xml:space="preserve">Prestamo Proyecto Ciclovia Camino Rural Urbano         </v>
      </c>
      <c r="B25">
        <v>0</v>
      </c>
      <c r="C25">
        <v>0</v>
      </c>
      <c r="D25">
        <v>9295236.81</v>
      </c>
      <c r="E25">
        <v>0</v>
      </c>
      <c r="F25">
        <f>-B25-C25+D25-E25</f>
        <v>9295236.81</v>
      </c>
    </row>
    <row r="26">
      <c r="A26" t="str">
        <v>Préstamo Banco Supervielle</v>
      </c>
      <c r="B26">
        <v>0</v>
      </c>
      <c r="C26">
        <v>0</v>
      </c>
      <c r="D26">
        <v>0</v>
      </c>
      <c r="E26">
        <v>0</v>
      </c>
      <c r="F26">
        <f>-B26-C26+D26-E26</f>
        <v>0</v>
      </c>
      <c r="G26" t="str">
        <v>DECRETO</v>
      </c>
      <c r="H26" t="str">
        <v>2861/2010</v>
      </c>
    </row>
    <row r="27">
      <c r="A27" t="str">
        <v>Moneda Extranjera</v>
      </c>
      <c r="B27">
        <v>0</v>
      </c>
      <c r="C27">
        <v>0</v>
      </c>
      <c r="D27">
        <v>0</v>
      </c>
      <c r="E27">
        <v>0</v>
      </c>
      <c r="F27">
        <f>-B27-C27+D27-E27</f>
        <v>0</v>
      </c>
    </row>
    <row r="28">
      <c r="A28" t="str">
        <v>TOTALES</v>
      </c>
      <c r="B28">
        <f>SUM(B16:B27)</f>
        <v>-49516935.68</v>
      </c>
      <c r="C28">
        <f>SUM(C16:C27)</f>
        <v>26611375.869999997</v>
      </c>
      <c r="D28">
        <f>SUM(D16:D27)</f>
        <v>9295236.81</v>
      </c>
      <c r="E28">
        <f>SUM(E16:E27)</f>
        <v>0</v>
      </c>
      <c r="F28">
        <f>SUM(F16:F27)</f>
        <v>32200796.620000005</v>
      </c>
    </row>
  </sheetData>
  <mergeCells count="4">
    <mergeCell ref="A3:I3"/>
    <mergeCell ref="A5:I5"/>
    <mergeCell ref="G10:H10"/>
    <mergeCell ref="G14:H14"/>
  </mergeCells>
  <pageMargins left="0.2" right="0.17" top="1" bottom="1" header="0" footer="0"/>
  <ignoredErrors>
    <ignoredError numberStoredAsText="1" sqref="A2:N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ANEXO 1</vt:lpstr>
      <vt:lpstr>ANEXO 2</vt:lpstr>
      <vt:lpstr>ANEXO 2 BIS</vt:lpstr>
      <vt:lpstr>ANEXO 3</vt:lpstr>
      <vt:lpstr>ANEXO 4</vt:lpstr>
      <vt:lpstr>ANEXO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