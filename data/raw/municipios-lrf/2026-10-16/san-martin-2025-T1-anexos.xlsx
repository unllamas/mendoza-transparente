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44" formatCode="_ &quot;$&quot;\ * #,##0.00_ ;_ &quot;$&quot;\ * \-#,##0.00_ ;_ &quot;$&quot;\ * &quot;-&quot;??_ ;_ @_ "/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2025</v>
      </c>
      <c r="G8" t="str">
        <v>TRIMESTRE: 1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12764725804.25</v>
      </c>
      <c r="E13">
        <v>12764725804.25</v>
      </c>
      <c r="F13">
        <v>12764725804.25</v>
      </c>
      <c r="G13">
        <v>12764725804.25</v>
      </c>
      <c r="H13">
        <v>51058903217</v>
      </c>
    </row>
    <row r="14">
      <c r="B14" t="str">
        <v>II</v>
      </c>
      <c r="C14" t="str">
        <v>GASTOS CORRIENTES</v>
      </c>
      <c r="D14">
        <v>10286051475.47</v>
      </c>
      <c r="E14">
        <v>10286051475.47</v>
      </c>
      <c r="F14">
        <v>10286051475.47</v>
      </c>
      <c r="G14">
        <v>10286051475.47</v>
      </c>
      <c r="H14">
        <v>41144205901.869995</v>
      </c>
    </row>
    <row r="15">
      <c r="B15" t="str">
        <v>III</v>
      </c>
      <c r="C15" t="str">
        <v>RESULTADO ECONOMICO (I-II)</v>
      </c>
      <c r="D15">
        <f>+D13-D14</f>
        <v>2478674328.7800007</v>
      </c>
      <c r="E15">
        <f>+E13-E14</f>
        <v>2478674328.7800007</v>
      </c>
      <c r="F15">
        <f>+F13-F14</f>
        <v>2478674328.7800007</v>
      </c>
      <c r="G15">
        <f>+G13-G14</f>
        <v>2478674328.7800007</v>
      </c>
      <c r="H15">
        <f>+D15+E15+F15+G15</f>
        <v>9914697315.120003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4028314217.28</v>
      </c>
      <c r="E17">
        <v>4028314217.28</v>
      </c>
      <c r="F17">
        <v>4028314217.28</v>
      </c>
      <c r="G17">
        <v>4028314217.28</v>
      </c>
      <c r="H17">
        <v>16113256869.13</v>
      </c>
    </row>
    <row r="18">
      <c r="B18" t="str">
        <v>VI</v>
      </c>
      <c r="C18" t="str">
        <v>EXCEDENTES (III+IV-V)</v>
      </c>
      <c r="D18">
        <f>+D15+D16-D17</f>
        <v>-1544639888.4999995</v>
      </c>
      <c r="E18">
        <f>+E15+E16-E17</f>
        <v>-1544639888.4999995</v>
      </c>
      <c r="F18">
        <f>+F15+F16-F17</f>
        <v>-1544639888.4999995</v>
      </c>
      <c r="G18">
        <f>+G15+G16-G17</f>
        <v>-1544639888.4999995</v>
      </c>
      <c r="H18">
        <f>+D18+E18+F18+G18</f>
        <v>-6178559553.999998</v>
      </c>
    </row>
    <row r="19">
      <c r="C19" t="str">
        <v>TOTAL RECURSOS (I+IV)</v>
      </c>
      <c r="D19">
        <f>+D13+D16</f>
        <v>12769725804.25</v>
      </c>
      <c r="E19">
        <f>+E13+E16</f>
        <v>12769725804.25</v>
      </c>
      <c r="F19">
        <f>+F13+F16</f>
        <v>12769725804.25</v>
      </c>
      <c r="G19">
        <f>+G13+G16</f>
        <v>12769725804.25</v>
      </c>
      <c r="H19">
        <f>+D19+E19+F19+G19</f>
        <v>51078903217</v>
      </c>
    </row>
    <row r="20">
      <c r="C20" t="str">
        <v>TOTAL GASTOS (II+V)</v>
      </c>
      <c r="D20">
        <f>+D14+D17</f>
        <v>14314365692.75</v>
      </c>
      <c r="E20">
        <f>+E14+E17</f>
        <v>14314365692.75</v>
      </c>
      <c r="F20">
        <f>+F14+F17</f>
        <v>14314365692.75</v>
      </c>
      <c r="G20">
        <f>+G14+G17</f>
        <v>14314365692.75</v>
      </c>
      <c r="H20">
        <f>+D20+E20+F20+G20</f>
        <v>57257462771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-1544639888.4999995</v>
      </c>
      <c r="E23">
        <f>+E18+E21-E22</f>
        <v>-1544639888.4999995</v>
      </c>
      <c r="F23">
        <f>+F18+F21-F22</f>
        <v>-1544639888.4999995</v>
      </c>
      <c r="G23">
        <f>+G18+G21-G22</f>
        <v>-1544639888.4999995</v>
      </c>
      <c r="H23">
        <f>+D23+E23+F23+G23</f>
        <v>-6178559553.999998</v>
      </c>
    </row>
    <row r="24">
      <c r="B24" t="str">
        <v>X</v>
      </c>
      <c r="C24" t="str">
        <v>FUENTES DE FINANCIACION</v>
      </c>
      <c r="D24">
        <v>1717500000</v>
      </c>
      <c r="E24">
        <v>1717500000</v>
      </c>
      <c r="F24">
        <v>1717500000</v>
      </c>
      <c r="G24">
        <v>1717500000</v>
      </c>
      <c r="H24">
        <v>6870000000</v>
      </c>
    </row>
    <row r="25">
      <c r="B25" t="str">
        <v>XI</v>
      </c>
      <c r="C25" t="str">
        <v>APLIC. FINANCIERAS</v>
      </c>
      <c r="D25">
        <v>172860111.5</v>
      </c>
      <c r="E25">
        <v>172860111.5</v>
      </c>
      <c r="F25">
        <v>172860111.5</v>
      </c>
      <c r="G25">
        <v>172860111.5</v>
      </c>
      <c r="H25">
        <v>691440446</v>
      </c>
    </row>
    <row r="26">
      <c r="B26" t="str">
        <v>XII</v>
      </c>
      <c r="C26" t="str">
        <v>FINANCIAMIENTO NETO (X-XI)</v>
      </c>
      <c r="D26">
        <f>+D24-D25</f>
        <v>1544639888.5</v>
      </c>
      <c r="E26">
        <f>+E24-E25</f>
        <v>1544639888.5</v>
      </c>
      <c r="F26">
        <f>+F24-F25</f>
        <v>1544639888.5</v>
      </c>
      <c r="G26">
        <f>+G24-G25</f>
        <v>1544639888.5</v>
      </c>
      <c r="H26">
        <f>+D26+E26+F26+G26</f>
        <v>6178559554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1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1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23155790936.98</v>
      </c>
      <c r="C14">
        <v>4689095326.46</v>
      </c>
      <c r="D14">
        <v>4689095326.46</v>
      </c>
      <c r="E14">
        <f>+B14+C14-D14</f>
        <v>23155790936.98</v>
      </c>
      <c r="F14">
        <v>20692705225.09</v>
      </c>
      <c r="G14">
        <v>4630636933</v>
      </c>
      <c r="H14">
        <v>4630636933</v>
      </c>
      <c r="I14">
        <v>4551805158.67</v>
      </c>
      <c r="J14">
        <f>+G14-H14</f>
        <v>0</v>
      </c>
      <c r="K14">
        <f>+E14-F14</f>
        <v>2463085711.8899994</v>
      </c>
      <c r="L14">
        <f>+H14-I14</f>
        <v>78831774.32999992</v>
      </c>
    </row>
    <row r="15">
      <c r="A15" t="str">
        <v>41200 BIENES CORRIENTES</v>
      </c>
      <c r="B15">
        <v>4859226918.89</v>
      </c>
      <c r="C15">
        <v>310000</v>
      </c>
      <c r="D15">
        <v>1100500000</v>
      </c>
      <c r="E15">
        <f>+B15+C15-D15</f>
        <v>3759036918.8900003</v>
      </c>
      <c r="F15">
        <v>636324979.28</v>
      </c>
      <c r="G15">
        <v>237660363.58</v>
      </c>
      <c r="H15">
        <v>237618863.58</v>
      </c>
      <c r="I15">
        <v>232127440.47</v>
      </c>
      <c r="J15">
        <f>+G15-H15</f>
        <v>41500</v>
      </c>
      <c r="K15">
        <f>+E15-F15</f>
        <v>3122711939.6100006</v>
      </c>
      <c r="L15">
        <f>+H15-I15</f>
        <v>5491423.110000014</v>
      </c>
    </row>
    <row r="16">
      <c r="A16" t="str">
        <v>41300 SERVICIOS CORRIENTES</v>
      </c>
      <c r="B16">
        <v>12570634046</v>
      </c>
      <c r="C16">
        <v>1209300000</v>
      </c>
      <c r="D16">
        <v>166110000</v>
      </c>
      <c r="E16">
        <f>+B16+C16-D16</f>
        <v>13613824046</v>
      </c>
      <c r="F16">
        <v>3178882140.67</v>
      </c>
      <c r="G16">
        <v>2089970392.96</v>
      </c>
      <c r="H16">
        <v>2089925392.96</v>
      </c>
      <c r="I16">
        <v>1992221808.69</v>
      </c>
      <c r="J16">
        <f>+G16-H16</f>
        <v>45000</v>
      </c>
      <c r="K16">
        <f>+E16-F16</f>
        <v>10434941905.33</v>
      </c>
      <c r="L16">
        <f>+H16-I16</f>
        <v>97703584.26999998</v>
      </c>
    </row>
    <row r="17">
      <c r="A17" t="str">
        <v>42100 INTERESES Y GASTOS</v>
      </c>
      <c r="B17">
        <v>6300000</v>
      </c>
      <c r="C17">
        <v>0</v>
      </c>
      <c r="D17">
        <v>0</v>
      </c>
      <c r="E17">
        <f>+B17+C17-D17</f>
        <v>6300000</v>
      </c>
      <c r="F17">
        <v>0</v>
      </c>
      <c r="G17">
        <v>0</v>
      </c>
      <c r="H17">
        <v>0</v>
      </c>
      <c r="I17">
        <v>0</v>
      </c>
      <c r="J17">
        <f>+G17-H17</f>
        <v>0</v>
      </c>
      <c r="K17">
        <f>+E17-F17</f>
        <v>6300000</v>
      </c>
      <c r="L17">
        <f>+H17-I17</f>
        <v>0</v>
      </c>
    </row>
    <row r="18">
      <c r="A18" t="str">
        <v>43100 TRANSFERENCIAS CORRIENTES</v>
      </c>
      <c r="B18">
        <v>552254000</v>
      </c>
      <c r="C18">
        <v>57080000</v>
      </c>
      <c r="D18">
        <v>80000</v>
      </c>
      <c r="E18">
        <f>+B18+C18-D18</f>
        <v>609254000</v>
      </c>
      <c r="F18">
        <v>34437899.51</v>
      </c>
      <c r="G18">
        <v>27337899.51</v>
      </c>
      <c r="H18">
        <v>27337899.51</v>
      </c>
      <c r="I18">
        <v>24871065.01</v>
      </c>
      <c r="J18">
        <f>+G18-H18</f>
        <v>0</v>
      </c>
      <c r="K18">
        <f>+E18-F18</f>
        <v>574816100.49</v>
      </c>
      <c r="L18">
        <f>+H18-I18</f>
        <v>2466834.5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1287000000</v>
      </c>
      <c r="C20">
        <v>432025000</v>
      </c>
      <c r="D20">
        <v>25475000</v>
      </c>
      <c r="E20">
        <f>+B20+C20-D20</f>
        <v>1693550000</v>
      </c>
      <c r="F20">
        <v>71617509.49</v>
      </c>
      <c r="G20">
        <v>18575682.56</v>
      </c>
      <c r="H20">
        <v>16522682.56</v>
      </c>
      <c r="I20">
        <v>15190432.56</v>
      </c>
      <c r="J20">
        <f>+G20-H20</f>
        <v>2052999.9999999981</v>
      </c>
      <c r="K20">
        <f>+E20-F20</f>
        <v>1621932490.51</v>
      </c>
      <c r="L20">
        <f>+H20-I20</f>
        <v>1332250</v>
      </c>
    </row>
    <row r="21">
      <c r="A21" t="str">
        <v>51200 TRABAJO PUBLICO</v>
      </c>
      <c r="B21">
        <v>14786256869.13</v>
      </c>
      <c r="C21">
        <v>1500000000</v>
      </c>
      <c r="D21">
        <v>1906550000</v>
      </c>
      <c r="E21">
        <f>+B21+C21-D21</f>
        <v>14379706869.13</v>
      </c>
      <c r="F21">
        <v>2786515575.18</v>
      </c>
      <c r="G21">
        <v>903793584.81</v>
      </c>
      <c r="H21">
        <v>903793584.81</v>
      </c>
      <c r="I21">
        <v>871211513.85</v>
      </c>
      <c r="J21">
        <f>+G21-H21</f>
        <v>0</v>
      </c>
      <c r="K21">
        <f>+E21-F21</f>
        <v>11593191293.949999</v>
      </c>
      <c r="L21">
        <f>+H21-I21</f>
        <v>32582070.95999992</v>
      </c>
    </row>
    <row r="22">
      <c r="A22" t="str">
        <v>52100 APORTES DE CAPITAL</v>
      </c>
      <c r="B22">
        <v>40000000</v>
      </c>
      <c r="C22">
        <v>0</v>
      </c>
      <c r="D22">
        <v>0</v>
      </c>
      <c r="E22">
        <f>+B22+C22-D22</f>
        <v>40000000</v>
      </c>
      <c r="F22">
        <v>0</v>
      </c>
      <c r="G22">
        <v>0</v>
      </c>
      <c r="H22">
        <v>0</v>
      </c>
      <c r="I22">
        <v>0</v>
      </c>
      <c r="J22">
        <f>+G22-H22</f>
        <v>0</v>
      </c>
      <c r="K22">
        <f>+E22-F22</f>
        <v>40000000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21440446</v>
      </c>
      <c r="C26">
        <v>0</v>
      </c>
      <c r="D26">
        <v>0</v>
      </c>
      <c r="E26">
        <f>+B26+C26-D26</f>
        <v>21440446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21440446</v>
      </c>
      <c r="L26">
        <f>+H26-I26</f>
        <v>0</v>
      </c>
    </row>
    <row r="27">
      <c r="A27" t="str">
        <v>74100 AMORTIZACION DE LA DEUDA FLOTANTE</v>
      </c>
      <c r="B27">
        <v>670000000</v>
      </c>
      <c r="C27">
        <v>0</v>
      </c>
      <c r="D27">
        <v>0</v>
      </c>
      <c r="E27">
        <f>+B27+C27-D27</f>
        <v>670000000</v>
      </c>
      <c r="F27">
        <v>1323773275.15</v>
      </c>
      <c r="G27">
        <v>1323773275.15</v>
      </c>
      <c r="H27">
        <v>1323773275.15</v>
      </c>
      <c r="I27">
        <v>1319411298.32</v>
      </c>
      <c r="J27">
        <f>+G27-H27</f>
        <v>0</v>
      </c>
      <c r="K27">
        <f>+E27-F27</f>
        <v>-653773275.1500001</v>
      </c>
      <c r="L27">
        <f>+H27-I27</f>
        <v>4361976.830000162</v>
      </c>
    </row>
    <row r="28">
      <c r="A28" t="str">
        <v>TOTALES</v>
      </c>
      <c r="B28">
        <f>SUM(B14:B27)</f>
        <v>57948903216.99999</v>
      </c>
      <c r="C28">
        <f>SUM(C14:C27)</f>
        <v>7887810326.46</v>
      </c>
      <c r="D28">
        <f>SUM(D14:D27)</f>
        <v>7887810326.46</v>
      </c>
      <c r="E28">
        <f>SUM(E14:E27)</f>
        <v>57948903216.99999</v>
      </c>
      <c r="F28">
        <f>SUM(F14:F27)</f>
        <v>28724256604.370003</v>
      </c>
      <c r="G28">
        <f>SUM(G14:G27)</f>
        <v>9231748131.57</v>
      </c>
      <c r="H28">
        <f>SUM(H14:H27)</f>
        <v>9229608631.57</v>
      </c>
      <c r="I28">
        <f>SUM(I14:I27)</f>
        <v>9006838717.570002</v>
      </c>
      <c r="J28">
        <f>SUM(J14:J27)</f>
        <v>2139499.999999998</v>
      </c>
      <c r="K28">
        <f>SUM(K14:K27)</f>
        <v>29224646612.629997</v>
      </c>
      <c r="L28">
        <f>SUM(L14:L27)</f>
        <v>222769914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M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2'!E8</f>
        <v>TRIMESTRE: 1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20692705225.09</v>
      </c>
      <c r="C14">
        <v>4630636933</v>
      </c>
      <c r="D14">
        <v>4630636933</v>
      </c>
      <c r="E14">
        <v>4551805158.67</v>
      </c>
      <c r="F14">
        <f>+C14-D14</f>
        <v>0</v>
      </c>
      <c r="G14">
        <f>+D14-E14</f>
        <v>78831774.32999992</v>
      </c>
    </row>
    <row r="15">
      <c r="A15" t="str">
        <v>41200 BIENES CORRIENTES</v>
      </c>
      <c r="B15">
        <v>636324979.28</v>
      </c>
      <c r="C15">
        <v>237660363.58</v>
      </c>
      <c r="D15">
        <v>237618863.58</v>
      </c>
      <c r="E15">
        <v>232127440.47</v>
      </c>
      <c r="F15">
        <f>+C15-D15</f>
        <v>41500</v>
      </c>
      <c r="G15">
        <f>+D15-E15</f>
        <v>5491423.110000014</v>
      </c>
    </row>
    <row r="16">
      <c r="A16" t="str">
        <v>41300 SERVICIOS CORRIENTES</v>
      </c>
      <c r="B16">
        <v>3178882140.67</v>
      </c>
      <c r="C16">
        <v>2089970392.96</v>
      </c>
      <c r="D16">
        <v>2089925392.96</v>
      </c>
      <c r="E16">
        <v>1992221808.69</v>
      </c>
      <c r="F16">
        <f>+C16-D16</f>
        <v>45000</v>
      </c>
      <c r="G16">
        <f>+D16-E16</f>
        <v>97703584.26999998</v>
      </c>
    </row>
    <row r="17">
      <c r="A17" t="str">
        <v>42100 INTERESES Y GASTOS</v>
      </c>
      <c r="B17">
        <v>0</v>
      </c>
      <c r="C17">
        <v>0</v>
      </c>
      <c r="D17">
        <v>0</v>
      </c>
      <c r="E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34437899.51</v>
      </c>
      <c r="C18">
        <v>27337899.51</v>
      </c>
      <c r="D18">
        <v>27337899.51</v>
      </c>
      <c r="E18">
        <v>24871065.01</v>
      </c>
      <c r="F18">
        <f>+C18-D18</f>
        <v>0</v>
      </c>
      <c r="G18">
        <f>+D18-E18</f>
        <v>2466834.5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71617509.49</v>
      </c>
      <c r="C20">
        <v>18575682.56</v>
      </c>
      <c r="D20">
        <v>16522682.56</v>
      </c>
      <c r="E20">
        <v>15190432.56</v>
      </c>
      <c r="F20">
        <f>+C20-D20</f>
        <v>2052999.9999999981</v>
      </c>
      <c r="G20">
        <f>+D20-E20</f>
        <v>1332250</v>
      </c>
    </row>
    <row r="21">
      <c r="A21" t="str">
        <v>51200 TRABAJO PUBLICO</v>
      </c>
      <c r="B21">
        <v>2786515575.18</v>
      </c>
      <c r="C21">
        <v>903793584.81</v>
      </c>
      <c r="D21">
        <v>903793584.81</v>
      </c>
      <c r="E21">
        <v>871211513.85</v>
      </c>
      <c r="F21">
        <f>+C21-D21</f>
        <v>0</v>
      </c>
      <c r="G21">
        <f>+D21-E21</f>
        <v>32582070.95999992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v>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1323773275.15</v>
      </c>
      <c r="C27">
        <v>1323773275.15</v>
      </c>
      <c r="D27">
        <v>1323773275.15</v>
      </c>
      <c r="E27">
        <v>1319411298.32</v>
      </c>
      <c r="F27">
        <f>+C27-D27</f>
        <v>0</v>
      </c>
      <c r="G27">
        <f>+D27-E27</f>
        <v>4361976.830000162</v>
      </c>
    </row>
    <row r="28">
      <c r="A28" t="str">
        <v>TOTALES</v>
      </c>
      <c r="B28">
        <f>SUM(B14:B27)</f>
        <v>28724256604.370003</v>
      </c>
      <c r="C28">
        <f>SUM(C14:C27)</f>
        <v>9231748131.57</v>
      </c>
      <c r="D28">
        <f>SUM(D14:D27)</f>
        <v>9229608631.57</v>
      </c>
      <c r="E28">
        <f>SUM(E14:E27)</f>
        <v>9006838717.570002</v>
      </c>
      <c r="F28">
        <f>SUM(F14:F27)</f>
        <v>2139499.999999998</v>
      </c>
      <c r="G28">
        <f>SUM(G14:G27)</f>
        <v>222769914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2025</v>
      </c>
      <c r="F7" t="str">
        <f>+'ANEXO 1'!G8</f>
        <v>TRIMESTRE: 1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12691362582.87</v>
      </c>
      <c r="D13">
        <v>0</v>
      </c>
      <c r="E13">
        <v>12691362582.87</v>
      </c>
      <c r="F13">
        <f>+C13+D13-E13</f>
        <v>0</v>
      </c>
      <c r="G13">
        <v>0</v>
      </c>
      <c r="H13">
        <f>+F13-G13</f>
        <v>0</v>
      </c>
      <c r="I13">
        <v>0</v>
      </c>
    </row>
    <row r="14">
      <c r="A14">
        <v>1110201000</v>
      </c>
      <c r="B14" t="str">
        <v>Impuesto inmobiliario -rentas generales-</v>
      </c>
      <c r="C14">
        <v>468012667.86</v>
      </c>
      <c r="D14">
        <v>0</v>
      </c>
      <c r="E14">
        <v>468012667.86</v>
      </c>
      <c r="F14">
        <f>+C14+D14-E14</f>
        <v>0</v>
      </c>
      <c r="G14">
        <v>0</v>
      </c>
      <c r="H14">
        <f>+F14-G14</f>
        <v>0</v>
      </c>
      <c r="I14">
        <v>0</v>
      </c>
    </row>
    <row r="15">
      <c r="A15">
        <v>1110202000</v>
      </c>
      <c r="B15" t="str">
        <v>Impuesto a los automotores</v>
      </c>
      <c r="C15">
        <v>3387657231.44</v>
      </c>
      <c r="D15">
        <v>0</v>
      </c>
      <c r="E15">
        <v>3387657231.44</v>
      </c>
      <c r="F15">
        <f>+C15+D15-E15</f>
        <v>0</v>
      </c>
      <c r="G15">
        <v>0</v>
      </c>
      <c r="H15">
        <f>+F15-G15</f>
        <v>0</v>
      </c>
      <c r="I15">
        <v>0</v>
      </c>
    </row>
    <row r="16">
      <c r="A16">
        <v>1110301000</v>
      </c>
      <c r="B16" t="str">
        <v>Impuesto de sellos</v>
      </c>
      <c r="C16">
        <v>943651771.47</v>
      </c>
      <c r="D16">
        <v>0</v>
      </c>
      <c r="E16">
        <v>943651771.47</v>
      </c>
      <c r="F16">
        <f>+C16+D16-E16</f>
        <v>0</v>
      </c>
      <c r="G16">
        <v>0</v>
      </c>
      <c r="H16">
        <f>+F16-G16</f>
        <v>0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1603208923.44</v>
      </c>
      <c r="E17">
        <v>-1603208923.44</v>
      </c>
      <c r="G17">
        <v>0</v>
      </c>
      <c r="I17">
        <v>1603208923.44</v>
      </c>
    </row>
    <row r="18">
      <c r="A18">
        <v>1110606000</v>
      </c>
      <c r="B18" t="str">
        <v>Coparticipación a Clasificar</v>
      </c>
      <c r="C18">
        <v>0</v>
      </c>
      <c r="D18">
        <v>7007610574.16</v>
      </c>
      <c r="E18">
        <v>-7007610574.16</v>
      </c>
      <c r="F18">
        <f>+C18+D18-E18</f>
        <v>14015221148.32</v>
      </c>
      <c r="G18">
        <v>0</v>
      </c>
      <c r="H18">
        <f>+F18-G18</f>
        <v>14015221148.32</v>
      </c>
      <c r="I18">
        <v>7007610574.16</v>
      </c>
    </row>
    <row r="19">
      <c r="A19">
        <v>1110609000</v>
      </c>
      <c r="B19" t="str">
        <v>Canon Extraordinario de Producción</v>
      </c>
      <c r="C19">
        <v>156979856</v>
      </c>
      <c r="D19">
        <v>58607492.14</v>
      </c>
      <c r="E19">
        <v>98372363.86</v>
      </c>
      <c r="F19">
        <f>+C19+D19-E19</f>
        <v>117214984.27999999</v>
      </c>
      <c r="G19">
        <v>0</v>
      </c>
      <c r="H19">
        <f>+F19-G19</f>
        <v>117214984.27999999</v>
      </c>
      <c r="I19">
        <v>58607492.14</v>
      </c>
    </row>
    <row r="20">
      <c r="A20">
        <v>1110612000</v>
      </c>
      <c r="B20" t="str">
        <v>Fondos de Promoción Turística</v>
      </c>
      <c r="C20">
        <v>30000000</v>
      </c>
      <c r="D20">
        <v>7326646</v>
      </c>
      <c r="E20">
        <v>22673354</v>
      </c>
      <c r="F20">
        <f>+C20+D20-E20</f>
        <v>14653292</v>
      </c>
      <c r="G20">
        <v>0</v>
      </c>
      <c r="H20">
        <f>+F20-G20</f>
        <v>14653292</v>
      </c>
      <c r="I20">
        <v>7326646</v>
      </c>
    </row>
    <row r="21">
      <c r="A21">
        <v>1120511000</v>
      </c>
      <c r="B21" t="str">
        <v>Ingresos Eventuales</v>
      </c>
      <c r="C21">
        <v>0</v>
      </c>
      <c r="D21">
        <v>14270000</v>
      </c>
      <c r="E21">
        <v>-14270000</v>
      </c>
      <c r="F21">
        <f>+C21+D21-E21</f>
        <v>28540000</v>
      </c>
      <c r="G21">
        <v>0</v>
      </c>
      <c r="H21">
        <f>+F21-G21</f>
        <v>28540000</v>
      </c>
      <c r="I21">
        <v>14270000</v>
      </c>
    </row>
    <row r="22">
      <c r="A22">
        <v>1120705195</v>
      </c>
      <c r="B22" t="str">
        <v>Aportes No Reintegrables SEOS - Gob.de Mendoza</v>
      </c>
      <c r="C22">
        <v>2011032000</v>
      </c>
      <c r="D22">
        <v>460871108.3</v>
      </c>
      <c r="E22">
        <v>1550160891.7</v>
      </c>
      <c r="F22">
        <f>+C22+D22-E22</f>
        <v>921742216.6000001</v>
      </c>
      <c r="G22">
        <v>0</v>
      </c>
      <c r="H22">
        <f>+F22-G22</f>
        <v>921742216.6000001</v>
      </c>
      <c r="I22">
        <v>460871108.3</v>
      </c>
    </row>
    <row r="23">
      <c r="A23">
        <v>1120706195</v>
      </c>
      <c r="B23" t="str">
        <v>Aportes No Reintegrables Gob. de Mendoza</v>
      </c>
      <c r="C23">
        <v>3300000000</v>
      </c>
      <c r="D23">
        <v>16324000</v>
      </c>
      <c r="E23">
        <v>3283676000</v>
      </c>
      <c r="F23">
        <f>+C23+D23-E23</f>
        <v>32648000</v>
      </c>
      <c r="G23">
        <v>0</v>
      </c>
      <c r="H23">
        <f>+F23-G23</f>
        <v>32648000</v>
      </c>
      <c r="I23">
        <v>16324000</v>
      </c>
    </row>
    <row r="24">
      <c r="A24">
        <v>1261900214</v>
      </c>
      <c r="B24" t="str">
        <v>Ley 26075 Financiamiento Educativo</v>
      </c>
      <c r="C24">
        <v>4503083589</v>
      </c>
      <c r="D24">
        <v>92881302</v>
      </c>
      <c r="E24">
        <v>4410202287</v>
      </c>
      <c r="F24">
        <f>+C24+D24-E24</f>
        <v>185762604</v>
      </c>
      <c r="G24">
        <v>0</v>
      </c>
      <c r="H24">
        <f>+F24-G24</f>
        <v>185762604</v>
      </c>
      <c r="I24">
        <v>92881302</v>
      </c>
    </row>
    <row r="25">
      <c r="A25">
        <v>1270100000</v>
      </c>
      <c r="B25" t="str">
        <v>Del Tesoro Nacional</v>
      </c>
      <c r="C25">
        <v>17138101473.36</v>
      </c>
      <c r="D25">
        <v>0</v>
      </c>
      <c r="E25">
        <v>17138101473.36</v>
      </c>
      <c r="F25">
        <f>+C25+D25-E25</f>
        <v>0</v>
      </c>
      <c r="G25">
        <v>0</v>
      </c>
      <c r="H25">
        <f>+F25-G25</f>
        <v>0</v>
      </c>
      <c r="I25">
        <v>0</v>
      </c>
    </row>
    <row r="26">
      <c r="A26">
        <v>1270101194</v>
      </c>
      <c r="B26" t="str">
        <v>Remesas de la Nación - Aportes No Reintegrables-194</v>
      </c>
      <c r="C26">
        <v>10000000</v>
      </c>
      <c r="D26">
        <v>0</v>
      </c>
      <c r="E26">
        <v>10000000</v>
      </c>
      <c r="F26">
        <f>+C26+D26-E26</f>
        <v>0</v>
      </c>
      <c r="G26">
        <v>0</v>
      </c>
      <c r="H26">
        <f>+F26-G26</f>
        <v>0</v>
      </c>
      <c r="I26">
        <v>0</v>
      </c>
    </row>
    <row r="27">
      <c r="A27">
        <v>1310100000</v>
      </c>
      <c r="B27" t="str">
        <v>Derechos Servicios Prop. Raíz</v>
      </c>
      <c r="C27">
        <v>1152723336</v>
      </c>
      <c r="D27">
        <v>519092597.88</v>
      </c>
      <c r="E27">
        <v>633630738.12</v>
      </c>
      <c r="F27">
        <f>+C27+D27-E27</f>
        <v>1038185195.7600001</v>
      </c>
      <c r="G27">
        <v>0</v>
      </c>
      <c r="H27">
        <f>+F27-G27</f>
        <v>1038185195.7600001</v>
      </c>
      <c r="I27">
        <v>519092597.88</v>
      </c>
    </row>
    <row r="28">
      <c r="A28">
        <v>1310200000</v>
      </c>
      <c r="B28" t="str">
        <v>Derechos Comercio e Industria</v>
      </c>
      <c r="C28">
        <v>904520314</v>
      </c>
      <c r="D28">
        <v>286213506.7</v>
      </c>
      <c r="E28">
        <v>618306807.3</v>
      </c>
      <c r="F28">
        <f>+C28+D28-E28</f>
        <v>572427013.4000001</v>
      </c>
      <c r="G28">
        <v>0</v>
      </c>
      <c r="H28">
        <f>+F28-G28</f>
        <v>572427013.4000001</v>
      </c>
      <c r="I28">
        <v>286213506.7</v>
      </c>
    </row>
    <row r="29">
      <c r="A29">
        <v>1310300000</v>
      </c>
      <c r="B29" t="str">
        <v>Derechos de Cementerios</v>
      </c>
      <c r="C29">
        <v>55454567</v>
      </c>
      <c r="D29">
        <v>0</v>
      </c>
      <c r="E29">
        <v>55454567</v>
      </c>
      <c r="F29">
        <f>+C29+D29-E29</f>
        <v>0</v>
      </c>
      <c r="G29">
        <v>0</v>
      </c>
      <c r="H29">
        <f>+F29-G29</f>
        <v>0</v>
      </c>
      <c r="I29">
        <v>0</v>
      </c>
    </row>
    <row r="30">
      <c r="A30">
        <v>1310301000</v>
      </c>
      <c r="B30" t="str">
        <v>Derecho de Cementerio  Gral.</v>
      </c>
      <c r="C30">
        <v>97844145</v>
      </c>
      <c r="D30">
        <v>25940927.97</v>
      </c>
      <c r="E30">
        <v>71903217.03</v>
      </c>
      <c r="F30">
        <f>+C30+D30-E30</f>
        <v>51881855.94</v>
      </c>
      <c r="G30">
        <v>0</v>
      </c>
      <c r="H30">
        <f>+F30-G30</f>
        <v>51881855.94</v>
      </c>
      <c r="I30">
        <v>25940927.97</v>
      </c>
    </row>
    <row r="31">
      <c r="A31">
        <v>1310302000</v>
      </c>
      <c r="B31" t="str">
        <v>Sellado De Cementerio</v>
      </c>
      <c r="C31">
        <v>8551518</v>
      </c>
      <c r="D31">
        <v>3401073.6</v>
      </c>
      <c r="E31">
        <v>5150444.4</v>
      </c>
      <c r="F31">
        <f>+C31+D31-E31</f>
        <v>6802147.199999999</v>
      </c>
      <c r="G31">
        <v>0</v>
      </c>
      <c r="H31">
        <f>+F31-G31</f>
        <v>6802147.199999999</v>
      </c>
      <c r="I31">
        <v>3401073.6</v>
      </c>
    </row>
    <row r="32">
      <c r="A32">
        <v>1310400000</v>
      </c>
      <c r="B32" t="str">
        <v>Derechos de Actuación Administrativa</v>
      </c>
      <c r="C32">
        <v>44255398</v>
      </c>
      <c r="D32">
        <v>2031767.78</v>
      </c>
      <c r="E32">
        <v>42223630.22</v>
      </c>
      <c r="F32">
        <f>+C32+D32-E32</f>
        <v>4063535.5600000024</v>
      </c>
      <c r="G32">
        <v>0</v>
      </c>
      <c r="H32">
        <f>+F32-G32</f>
        <v>4063535.5600000024</v>
      </c>
      <c r="I32">
        <v>2031767.78</v>
      </c>
    </row>
    <row r="33">
      <c r="A33">
        <v>1310401000</v>
      </c>
      <c r="B33" t="str">
        <v>Sellados</v>
      </c>
      <c r="C33">
        <v>12098488</v>
      </c>
      <c r="D33">
        <v>0</v>
      </c>
      <c r="E33">
        <v>12098488</v>
      </c>
      <c r="F33">
        <f>+C33+D33-E33</f>
        <v>0</v>
      </c>
      <c r="G33">
        <v>0</v>
      </c>
      <c r="H33">
        <f>+F33-G33</f>
        <v>0</v>
      </c>
      <c r="I33">
        <v>0</v>
      </c>
    </row>
    <row r="34">
      <c r="A34">
        <v>1310402000</v>
      </c>
      <c r="B34" t="str">
        <v>Gastos Administrativos de Apremio</v>
      </c>
      <c r="C34">
        <v>820959</v>
      </c>
      <c r="D34">
        <v>0</v>
      </c>
      <c r="E34">
        <v>820959</v>
      </c>
      <c r="F34">
        <f>+C34+D34-E34</f>
        <v>0</v>
      </c>
      <c r="G34">
        <v>0</v>
      </c>
      <c r="H34">
        <f>+F34-G34</f>
        <v>0</v>
      </c>
      <c r="I34">
        <v>0</v>
      </c>
    </row>
    <row r="35">
      <c r="A35">
        <v>1310500000</v>
      </c>
      <c r="B35" t="str">
        <v>Derechos de Edificación</v>
      </c>
      <c r="C35">
        <v>31468407</v>
      </c>
      <c r="D35">
        <v>3694731.68</v>
      </c>
      <c r="E35">
        <v>27773675.32</v>
      </c>
      <c r="F35">
        <f>+C35+D35-E35</f>
        <v>7389463.359999999</v>
      </c>
      <c r="G35">
        <v>0</v>
      </c>
      <c r="H35">
        <f>+F35-G35</f>
        <v>7389463.359999999</v>
      </c>
      <c r="I35">
        <v>3694731.68</v>
      </c>
    </row>
    <row r="36">
      <c r="A36">
        <v>1310600000</v>
      </c>
      <c r="B36" t="str">
        <v>Derecho de Inspección y Habilitación Eléctrica</v>
      </c>
      <c r="C36">
        <v>911521</v>
      </c>
      <c r="D36">
        <v>117278.36</v>
      </c>
      <c r="E36">
        <v>794242.64</v>
      </c>
      <c r="F36">
        <f>+C36+D36-E36</f>
        <v>234556.71999999997</v>
      </c>
      <c r="G36">
        <v>0</v>
      </c>
      <c r="H36">
        <f>+F36-G36</f>
        <v>234556.71999999997</v>
      </c>
      <c r="I36">
        <v>117278.36</v>
      </c>
    </row>
    <row r="37">
      <c r="A37">
        <v>1310700000</v>
      </c>
      <c r="B37" t="str">
        <v>Derecho de Inspección de Espectáculas Públicos</v>
      </c>
      <c r="C37">
        <v>5549725</v>
      </c>
      <c r="D37">
        <v>0</v>
      </c>
      <c r="E37">
        <v>5549725</v>
      </c>
      <c r="F37">
        <f>+C37+D37-E37</f>
        <v>0</v>
      </c>
      <c r="G37">
        <v>0</v>
      </c>
      <c r="H37">
        <f>+F37-G37</f>
        <v>0</v>
      </c>
      <c r="I37">
        <v>0</v>
      </c>
    </row>
    <row r="38">
      <c r="A38">
        <v>1310800000</v>
      </c>
      <c r="B38" t="str">
        <v>Derechos de Publicidad y Propaganda</v>
      </c>
      <c r="C38">
        <v>615087</v>
      </c>
      <c r="D38">
        <v>57483</v>
      </c>
      <c r="E38">
        <v>557604</v>
      </c>
      <c r="F38">
        <f>+C38+D38-E38</f>
        <v>114966</v>
      </c>
      <c r="G38">
        <v>0</v>
      </c>
      <c r="H38">
        <f>+F38-G38</f>
        <v>114966</v>
      </c>
      <c r="I38">
        <v>57483</v>
      </c>
    </row>
    <row r="39">
      <c r="A39">
        <v>1311010000</v>
      </c>
      <c r="B39" t="str">
        <v>Derechos de Concesiones - Locales</v>
      </c>
      <c r="C39">
        <v>42671145</v>
      </c>
      <c r="D39">
        <v>7269830.07</v>
      </c>
      <c r="E39">
        <v>35401314.93</v>
      </c>
      <c r="F39">
        <f>+C39+D39-E39</f>
        <v>14539660.14</v>
      </c>
      <c r="G39">
        <v>0</v>
      </c>
      <c r="H39">
        <f>+F39-G39</f>
        <v>14539660.14</v>
      </c>
      <c r="I39">
        <v>7269830.07</v>
      </c>
    </row>
    <row r="40">
      <c r="A40">
        <v>1311200000</v>
      </c>
      <c r="B40" t="str">
        <v>Derechos de Ocupación de Espacios Públicos</v>
      </c>
      <c r="C40">
        <v>19964200</v>
      </c>
      <c r="D40">
        <v>0</v>
      </c>
      <c r="E40">
        <v>19964200</v>
      </c>
      <c r="F40">
        <f>+C40+D40-E40</f>
        <v>0</v>
      </c>
      <c r="G40">
        <v>0</v>
      </c>
      <c r="H40">
        <f>+F40-G40</f>
        <v>0</v>
      </c>
      <c r="I40">
        <v>0</v>
      </c>
    </row>
    <row r="41">
      <c r="A41">
        <v>1311100000</v>
      </c>
      <c r="B41" t="str">
        <v>Derechos de Salubridad e Higiene</v>
      </c>
      <c r="C41">
        <v>542226</v>
      </c>
      <c r="D41">
        <v>0</v>
      </c>
      <c r="E41">
        <v>542226</v>
      </c>
      <c r="G41">
        <v>0</v>
      </c>
      <c r="I41">
        <v>0</v>
      </c>
    </row>
    <row r="42">
      <c r="A42">
        <v>1311102000</v>
      </c>
      <c r="B42" t="str">
        <v>Derecho de Inspección, Higiene Urbana y Saneamiento Ambiental Gral.</v>
      </c>
      <c r="C42">
        <v>4978070</v>
      </c>
      <c r="D42">
        <v>2069863.83</v>
      </c>
      <c r="E42">
        <v>2908206.17</v>
      </c>
      <c r="G42">
        <v>0</v>
      </c>
      <c r="I42">
        <v>2069863.83</v>
      </c>
    </row>
    <row r="43">
      <c r="A43">
        <v>1311201000</v>
      </c>
      <c r="B43" t="str">
        <v>Derechos de Ocupación de Espacios Públicos- Playón Municipal</v>
      </c>
      <c r="C43">
        <v>2043573</v>
      </c>
      <c r="D43">
        <v>0</v>
      </c>
      <c r="E43">
        <v>2043573</v>
      </c>
      <c r="F43">
        <f>+C43+D43-E43</f>
        <v>0</v>
      </c>
      <c r="G43">
        <v>0</v>
      </c>
      <c r="H43">
        <f>+F43-G43</f>
        <v>0</v>
      </c>
      <c r="I43">
        <v>0</v>
      </c>
    </row>
    <row r="44">
      <c r="A44">
        <v>1311203000</v>
      </c>
      <c r="B44" t="str">
        <v>Sellado de Ocupación de Espacio Público Gral.</v>
      </c>
      <c r="C44">
        <v>5927537</v>
      </c>
      <c r="D44">
        <v>1015578.63</v>
      </c>
      <c r="E44">
        <v>4911958.37</v>
      </c>
      <c r="F44">
        <f>+C44+D44-E44</f>
        <v>2031157.2599999998</v>
      </c>
      <c r="G44">
        <v>0</v>
      </c>
      <c r="H44">
        <f>+F44-G44</f>
        <v>2031157.2599999998</v>
      </c>
      <c r="I44">
        <v>1015578.63</v>
      </c>
    </row>
    <row r="45">
      <c r="A45">
        <v>1311204000</v>
      </c>
      <c r="B45" t="str">
        <v>Derecho de O.E.P. Frente a Comercio</v>
      </c>
      <c r="C45">
        <v>2070830</v>
      </c>
      <c r="D45">
        <v>418891.39</v>
      </c>
      <c r="E45">
        <v>1651938.61</v>
      </c>
      <c r="F45">
        <f>+C45+D45-E45</f>
        <v>837782.78</v>
      </c>
      <c r="G45">
        <v>0</v>
      </c>
      <c r="H45">
        <f>+F45-G45</f>
        <v>837782.78</v>
      </c>
      <c r="I45">
        <v>418891.39</v>
      </c>
    </row>
    <row r="46">
      <c r="A46">
        <v>1311500000</v>
      </c>
      <c r="B46" t="str">
        <v>Derechos de Verificación y Habilitación de Estructura de Antenas</v>
      </c>
      <c r="C46">
        <v>39572915</v>
      </c>
      <c r="D46">
        <v>0</v>
      </c>
      <c r="E46">
        <v>39572915</v>
      </c>
      <c r="F46">
        <f>+C46+D46-E46</f>
        <v>0</v>
      </c>
      <c r="G46">
        <v>0</v>
      </c>
      <c r="H46">
        <f>+F46-G46</f>
        <v>0</v>
      </c>
      <c r="I46">
        <v>0</v>
      </c>
    </row>
    <row r="47">
      <c r="A47">
        <v>1311600000</v>
      </c>
      <c r="B47" t="str">
        <v>Derechos de Transferencia</v>
      </c>
      <c r="C47">
        <v>3894477</v>
      </c>
      <c r="D47">
        <v>1399856.25</v>
      </c>
      <c r="E47">
        <v>2494620.75</v>
      </c>
      <c r="F47">
        <f>+C47+D47-E47</f>
        <v>2799712.5</v>
      </c>
      <c r="G47">
        <v>0</v>
      </c>
      <c r="H47">
        <f>+F47-G47</f>
        <v>2799712.5</v>
      </c>
      <c r="I47">
        <v>1399856.25</v>
      </c>
    </row>
    <row r="48">
      <c r="A48">
        <v>1320100000</v>
      </c>
      <c r="B48" t="str">
        <v>Multas Generales</v>
      </c>
      <c r="C48">
        <v>102549610</v>
      </c>
      <c r="D48">
        <v>5691238.51</v>
      </c>
      <c r="E48">
        <v>96858371.49</v>
      </c>
      <c r="F48">
        <f>+C48+D48-E48</f>
        <v>11382477.02000001</v>
      </c>
      <c r="G48">
        <v>0</v>
      </c>
      <c r="H48">
        <f>+F48-G48</f>
        <v>11382477.02000001</v>
      </c>
      <c r="I48">
        <v>5691238.51</v>
      </c>
    </row>
    <row r="49">
      <c r="A49">
        <v>1320100001</v>
      </c>
      <c r="B49" t="str">
        <v>Multas juzgado vial</v>
      </c>
      <c r="C49">
        <v>10347973</v>
      </c>
      <c r="D49">
        <v>0</v>
      </c>
      <c r="E49">
        <v>10347973</v>
      </c>
      <c r="F49">
        <f>+C49+D49-E49</f>
        <v>0</v>
      </c>
      <c r="G49">
        <v>0</v>
      </c>
      <c r="H49">
        <f>+F49-G49</f>
        <v>0</v>
      </c>
      <c r="I49">
        <v>0</v>
      </c>
    </row>
    <row r="50">
      <c r="A50">
        <v>1320100002</v>
      </c>
      <c r="B50" t="str">
        <v>Ingreso por Servicios de Control de Velocidad</v>
      </c>
      <c r="C50">
        <v>12306695</v>
      </c>
      <c r="D50">
        <v>0</v>
      </c>
      <c r="E50">
        <v>12306695</v>
      </c>
      <c r="F50">
        <f>+C50+D50-E50</f>
        <v>0</v>
      </c>
      <c r="G50">
        <v>0</v>
      </c>
      <c r="H50">
        <f>+F50-G50</f>
        <v>0</v>
      </c>
      <c r="I50">
        <v>0</v>
      </c>
    </row>
    <row r="51">
      <c r="A51">
        <v>1320100003</v>
      </c>
      <c r="B51" t="str">
        <v>Ingreso Serv. Control de Velocidad con Resolución</v>
      </c>
      <c r="C51">
        <v>242828</v>
      </c>
      <c r="D51">
        <v>0</v>
      </c>
      <c r="E51">
        <v>242828</v>
      </c>
      <c r="F51">
        <f>+C51+D51-E51</f>
        <v>0</v>
      </c>
      <c r="G51">
        <v>0</v>
      </c>
      <c r="H51">
        <f>+F51-G51</f>
        <v>0</v>
      </c>
      <c r="I51">
        <v>0</v>
      </c>
    </row>
    <row r="52">
      <c r="A52">
        <v>1320200000</v>
      </c>
      <c r="B52" t="str">
        <v>Intereses y Recargos</v>
      </c>
      <c r="C52">
        <v>109841723</v>
      </c>
      <c r="D52">
        <v>0</v>
      </c>
      <c r="E52">
        <v>109841723</v>
      </c>
      <c r="F52">
        <f>+C52+D52-E52</f>
        <v>0</v>
      </c>
      <c r="G52">
        <v>0</v>
      </c>
      <c r="H52">
        <f>+F52-G52</f>
        <v>0</v>
      </c>
      <c r="I52">
        <v>0</v>
      </c>
    </row>
    <row r="53">
      <c r="A53">
        <v>1320201000</v>
      </c>
      <c r="B53" t="str">
        <v>Intereses Ganados Plazo Fijo</v>
      </c>
      <c r="C53">
        <v>650000000</v>
      </c>
      <c r="D53">
        <v>0</v>
      </c>
      <c r="E53">
        <v>650000000</v>
      </c>
      <c r="F53">
        <f>+C53+D53-E53</f>
        <v>0</v>
      </c>
      <c r="G53">
        <v>0</v>
      </c>
      <c r="H53">
        <f>+F53-G53</f>
        <v>0</v>
      </c>
      <c r="I53">
        <v>0</v>
      </c>
    </row>
    <row r="54">
      <c r="A54">
        <v>1320203000</v>
      </c>
      <c r="B54" t="str">
        <v>Intereses ganados inversiones corrientes</v>
      </c>
      <c r="C54">
        <v>2450000000</v>
      </c>
      <c r="D54">
        <v>823052339.9</v>
      </c>
      <c r="E54">
        <v>1626947660.1</v>
      </c>
      <c r="F54">
        <f>+C54+D54-E54</f>
        <v>1646104679.8000002</v>
      </c>
      <c r="G54">
        <v>0</v>
      </c>
      <c r="H54">
        <f>+F54-G54</f>
        <v>1646104679.8000002</v>
      </c>
      <c r="I54">
        <v>823052339.9</v>
      </c>
    </row>
    <row r="55">
      <c r="A55">
        <v>1320205000</v>
      </c>
      <c r="B55" t="str">
        <v>Intereses Resarcitorios</v>
      </c>
      <c r="C55">
        <v>95691077</v>
      </c>
      <c r="D55">
        <v>48649729.52</v>
      </c>
      <c r="E55">
        <v>47041347.48</v>
      </c>
      <c r="F55">
        <f>+C55+D55-E55</f>
        <v>97299459.04000002</v>
      </c>
      <c r="G55">
        <v>0</v>
      </c>
      <c r="H55">
        <f>+F55-G55</f>
        <v>97299459.04000002</v>
      </c>
      <c r="I55">
        <v>48649729.52</v>
      </c>
    </row>
    <row r="56">
      <c r="A56">
        <v>1320300000</v>
      </c>
      <c r="B56" t="str">
        <v>Concesión Servicio de emisión licencias de conducir</v>
      </c>
      <c r="C56">
        <v>138687813</v>
      </c>
      <c r="D56">
        <v>44089880</v>
      </c>
      <c r="E56">
        <v>94597933</v>
      </c>
      <c r="F56">
        <f>+C56+D56-E56</f>
        <v>88179760</v>
      </c>
      <c r="G56">
        <v>0</v>
      </c>
      <c r="H56">
        <f>+F56-G56</f>
        <v>88179760</v>
      </c>
      <c r="I56">
        <v>44089880</v>
      </c>
    </row>
    <row r="57">
      <c r="A57">
        <v>1320400000</v>
      </c>
      <c r="B57" t="str">
        <v>Producido de Actividades Culturales</v>
      </c>
      <c r="C57">
        <v>298977</v>
      </c>
      <c r="D57">
        <v>0</v>
      </c>
      <c r="E57">
        <v>298977</v>
      </c>
      <c r="F57">
        <f>+C57+D57-E57</f>
        <v>0</v>
      </c>
      <c r="G57">
        <v>0</v>
      </c>
      <c r="H57">
        <f>+F57-G57</f>
        <v>0</v>
      </c>
      <c r="I57">
        <v>0</v>
      </c>
    </row>
    <row r="58">
      <c r="A58">
        <v>1320401000</v>
      </c>
      <c r="B58" t="str">
        <v>Cultura y Educación</v>
      </c>
      <c r="C58">
        <v>636517</v>
      </c>
      <c r="D58">
        <v>0</v>
      </c>
      <c r="E58">
        <v>636517</v>
      </c>
      <c r="F58">
        <f>+C58+D58-E58</f>
        <v>0</v>
      </c>
      <c r="G58">
        <v>0</v>
      </c>
      <c r="H58">
        <f>+F58-G58</f>
        <v>0</v>
      </c>
      <c r="I58">
        <v>0</v>
      </c>
    </row>
    <row r="59">
      <c r="A59">
        <v>1320600000</v>
      </c>
      <c r="B59" t="str">
        <v>Producido de actividades gestión de cobranza</v>
      </c>
      <c r="C59">
        <v>5187997</v>
      </c>
      <c r="D59">
        <v>867608.66</v>
      </c>
      <c r="E59">
        <v>4320388.34</v>
      </c>
      <c r="F59">
        <f>+C59+D59-E59</f>
        <v>1735217.3200000003</v>
      </c>
      <c r="G59">
        <v>0</v>
      </c>
      <c r="H59">
        <f>+F59-G59</f>
        <v>1735217.3200000003</v>
      </c>
      <c r="I59">
        <v>867608.66</v>
      </c>
    </row>
    <row r="60">
      <c r="A60">
        <v>1320700000</v>
      </c>
      <c r="B60" t="str">
        <v>Producido de actividades especiales</v>
      </c>
      <c r="C60">
        <v>11040346</v>
      </c>
      <c r="D60">
        <v>0</v>
      </c>
      <c r="E60">
        <v>11040346</v>
      </c>
      <c r="F60">
        <f>+C60+D60-E60</f>
        <v>0</v>
      </c>
      <c r="G60">
        <v>0</v>
      </c>
      <c r="H60">
        <f>+F60-G60</f>
        <v>0</v>
      </c>
      <c r="I60">
        <v>0</v>
      </c>
    </row>
    <row r="61">
      <c r="A61">
        <v>1320701000</v>
      </c>
      <c r="B61" t="str">
        <v>Atmosférico</v>
      </c>
      <c r="C61">
        <v>4741763</v>
      </c>
      <c r="D61">
        <v>1136543.67</v>
      </c>
      <c r="E61">
        <v>3605219.33</v>
      </c>
      <c r="F61">
        <f>+C61+D61-E61</f>
        <v>2273087.34</v>
      </c>
      <c r="G61">
        <v>0</v>
      </c>
      <c r="H61">
        <f>+F61-G61</f>
        <v>2273087.34</v>
      </c>
      <c r="I61">
        <v>1136543.67</v>
      </c>
    </row>
    <row r="62">
      <c r="A62">
        <v>1320703000</v>
      </c>
      <c r="B62" t="str">
        <v>Educación</v>
      </c>
      <c r="C62">
        <v>950308</v>
      </c>
      <c r="D62">
        <v>434316</v>
      </c>
      <c r="E62">
        <v>515992</v>
      </c>
      <c r="F62">
        <f>+C62+D62-E62</f>
        <v>868632</v>
      </c>
      <c r="G62">
        <v>0</v>
      </c>
      <c r="H62">
        <f>+F62-G62</f>
        <v>868632</v>
      </c>
      <c r="I62">
        <v>434316</v>
      </c>
    </row>
    <row r="63">
      <c r="A63">
        <v>1320704000</v>
      </c>
      <c r="B63" t="str">
        <v>Sistema de Alarma Comunitaria</v>
      </c>
      <c r="C63">
        <v>2513160</v>
      </c>
      <c r="D63">
        <v>191560</v>
      </c>
      <c r="E63">
        <v>2321600</v>
      </c>
      <c r="F63">
        <f>+C63+D63-E63</f>
        <v>383120</v>
      </c>
      <c r="G63">
        <v>0</v>
      </c>
      <c r="H63">
        <f>+F63-G63</f>
        <v>383120</v>
      </c>
      <c r="I63">
        <v>191560</v>
      </c>
    </row>
    <row r="64">
      <c r="A64">
        <v>1320705000</v>
      </c>
      <c r="B64" t="str">
        <v>Provisión de Agua</v>
      </c>
      <c r="C64">
        <v>2754061</v>
      </c>
      <c r="D64">
        <v>1250584.27</v>
      </c>
      <c r="E64">
        <v>1503476.73</v>
      </c>
      <c r="F64">
        <f>+C64+D64-E64</f>
        <v>2501168.54</v>
      </c>
      <c r="G64">
        <v>0</v>
      </c>
      <c r="H64">
        <f>+F64-G64</f>
        <v>2501168.54</v>
      </c>
      <c r="I64">
        <v>1250584.27</v>
      </c>
    </row>
    <row r="65">
      <c r="A65">
        <v>1321100000</v>
      </c>
      <c r="B65" t="str">
        <v>Ingresos Agentes Financieros</v>
      </c>
      <c r="C65">
        <v>150000000</v>
      </c>
      <c r="D65">
        <v>22787495</v>
      </c>
      <c r="E65">
        <v>127212505</v>
      </c>
      <c r="F65">
        <f>+C65+D65-E65</f>
        <v>45574990</v>
      </c>
      <c r="G65">
        <v>0</v>
      </c>
      <c r="H65">
        <f>+F65-G65</f>
        <v>45574990</v>
      </c>
      <c r="I65">
        <v>22787495</v>
      </c>
    </row>
    <row r="66">
      <c r="A66">
        <v>1321200000</v>
      </c>
      <c r="B66" t="str">
        <v>Cargo por Alumbrado Publico</v>
      </c>
      <c r="C66">
        <v>66153707</v>
      </c>
      <c r="D66">
        <v>0</v>
      </c>
      <c r="E66">
        <v>66153707</v>
      </c>
      <c r="F66">
        <f>+C66+D66-E66</f>
        <v>0</v>
      </c>
      <c r="G66">
        <v>0</v>
      </c>
      <c r="H66">
        <f>+F66-G66</f>
        <v>0</v>
      </c>
      <c r="I66">
        <v>0</v>
      </c>
    </row>
    <row r="67">
      <c r="A67">
        <v>1321300000</v>
      </c>
      <c r="B67" t="str">
        <v>Producido de Estacionamiento Medido</v>
      </c>
      <c r="C67">
        <v>35570721</v>
      </c>
      <c r="D67">
        <v>12342995.07</v>
      </c>
      <c r="E67">
        <v>23227725.93</v>
      </c>
      <c r="F67">
        <f>+C67+D67-E67</f>
        <v>24685990.14</v>
      </c>
      <c r="G67">
        <v>0</v>
      </c>
      <c r="H67">
        <f>+F67-G67</f>
        <v>24685990.14</v>
      </c>
      <c r="I67">
        <v>12342995.07</v>
      </c>
    </row>
    <row r="68">
      <c r="A68">
        <v>1321800000</v>
      </c>
      <c r="B68" t="str">
        <v>Ventas de Pliegos, Publicaciones y Otros</v>
      </c>
      <c r="C68">
        <v>7291945</v>
      </c>
      <c r="D68">
        <v>3332795.39</v>
      </c>
      <c r="E68">
        <v>3959149.61</v>
      </c>
      <c r="F68">
        <f>+C68+D68-E68</f>
        <v>6665590.780000001</v>
      </c>
      <c r="G68">
        <v>0</v>
      </c>
      <c r="H68">
        <f>+F68-G68</f>
        <v>6665590.780000001</v>
      </c>
      <c r="I68">
        <v>3332795.39</v>
      </c>
    </row>
    <row r="69">
      <c r="A69">
        <v>1321901000</v>
      </c>
      <c r="B69" t="str">
        <v>Actas Viales Municipales</v>
      </c>
      <c r="C69">
        <v>12135212</v>
      </c>
      <c r="D69">
        <v>7067626.5</v>
      </c>
      <c r="E69">
        <v>5067585.5</v>
      </c>
      <c r="F69">
        <f>+C69+D69-E69</f>
        <v>14135253</v>
      </c>
      <c r="G69">
        <v>0</v>
      </c>
      <c r="H69">
        <f>+F69-G69</f>
        <v>14135253</v>
      </c>
      <c r="I69">
        <v>7067626.5</v>
      </c>
    </row>
    <row r="70">
      <c r="A70">
        <v>1321903000</v>
      </c>
      <c r="B70" t="str">
        <v>Resoluciones Viales Municipales</v>
      </c>
      <c r="C70">
        <v>4116075</v>
      </c>
      <c r="D70">
        <v>818611.67</v>
      </c>
      <c r="E70">
        <v>3297463.33</v>
      </c>
      <c r="F70">
        <f>+C70+D70-E70</f>
        <v>1637223.3399999999</v>
      </c>
      <c r="G70">
        <v>0</v>
      </c>
      <c r="H70">
        <f>+F70-G70</f>
        <v>1637223.3399999999</v>
      </c>
      <c r="I70">
        <v>818611.67</v>
      </c>
    </row>
    <row r="71">
      <c r="A71">
        <v>1321904000</v>
      </c>
      <c r="B71" t="str">
        <v>Actas Fotomultas</v>
      </c>
      <c r="C71">
        <v>3431402</v>
      </c>
      <c r="D71">
        <v>0</v>
      </c>
      <c r="E71">
        <v>3431402</v>
      </c>
      <c r="F71">
        <f>+C71+D71-E71</f>
        <v>0</v>
      </c>
      <c r="G71">
        <v>0</v>
      </c>
      <c r="H71">
        <f>+F71-G71</f>
        <v>0</v>
      </c>
      <c r="I71">
        <v>0</v>
      </c>
    </row>
    <row r="72">
      <c r="A72">
        <v>1321905000</v>
      </c>
      <c r="B72" t="str">
        <v>Resoluciones Fotomultas</v>
      </c>
      <c r="C72">
        <v>8790951</v>
      </c>
      <c r="D72">
        <v>5648020.13</v>
      </c>
      <c r="E72">
        <v>3142930.87</v>
      </c>
      <c r="F72">
        <f>+C72+D72-E72</f>
        <v>11296040.259999998</v>
      </c>
      <c r="G72">
        <v>0</v>
      </c>
      <c r="H72">
        <f>+F72-G72</f>
        <v>11296040.259999998</v>
      </c>
      <c r="I72">
        <v>5648020.13</v>
      </c>
    </row>
    <row r="73">
      <c r="A73">
        <v>1321906000</v>
      </c>
      <c r="B73" t="str">
        <v>Resoluciones Accidentología</v>
      </c>
      <c r="C73">
        <v>3974755</v>
      </c>
      <c r="D73">
        <v>238672.76</v>
      </c>
      <c r="E73">
        <v>3736082.24</v>
      </c>
      <c r="F73">
        <f>+C73+D73-E73</f>
        <v>477345.51999999955</v>
      </c>
      <c r="G73">
        <v>0</v>
      </c>
      <c r="H73">
        <f>+F73-G73</f>
        <v>477345.51999999955</v>
      </c>
      <c r="I73">
        <v>238672.76</v>
      </c>
    </row>
    <row r="74">
      <c r="A74">
        <v>1322000000</v>
      </c>
      <c r="B74" t="str">
        <v>Contribución Bomberos Voluntarios</v>
      </c>
      <c r="C74">
        <v>12916295</v>
      </c>
      <c r="D74">
        <v>17174515.96</v>
      </c>
      <c r="E74">
        <v>-4258220.96</v>
      </c>
      <c r="F74">
        <f>+C74+D74-E74</f>
        <v>34349031.92</v>
      </c>
      <c r="G74">
        <v>0</v>
      </c>
      <c r="H74">
        <f>+F74-G74</f>
        <v>34349031.92</v>
      </c>
      <c r="I74">
        <v>17174515.96</v>
      </c>
    </row>
    <row r="75">
      <c r="A75">
        <v>1323000000</v>
      </c>
      <c r="B75" t="str">
        <v>Ingresos por Gastos Administrativos</v>
      </c>
      <c r="C75">
        <v>12240028</v>
      </c>
      <c r="D75">
        <v>9900171.78</v>
      </c>
      <c r="E75">
        <v>2339856.22</v>
      </c>
      <c r="F75">
        <f>+C75+D75-E75</f>
        <v>19800343.560000002</v>
      </c>
      <c r="G75">
        <v>0</v>
      </c>
      <c r="H75">
        <f>+F75-G75</f>
        <v>19800343.560000002</v>
      </c>
      <c r="I75">
        <v>9900171.78</v>
      </c>
    </row>
    <row r="76">
      <c r="A76">
        <v>1324001000</v>
      </c>
      <c r="B76" t="str">
        <v>Ingresos por Gastos Admin. De Apremio</v>
      </c>
      <c r="C76">
        <v>49076005</v>
      </c>
      <c r="D76">
        <v>18104896.02</v>
      </c>
      <c r="E76">
        <v>30971108.98</v>
      </c>
      <c r="F76">
        <f>+C76+D76-E76</f>
        <v>36209792.03999999</v>
      </c>
      <c r="G76">
        <v>0</v>
      </c>
      <c r="H76">
        <f>+F76-G76</f>
        <v>36209792.03999999</v>
      </c>
      <c r="I76">
        <v>18104896.02</v>
      </c>
    </row>
    <row r="77">
      <c r="A77">
        <v>1324002000</v>
      </c>
      <c r="B77" t="str">
        <v>Ingresos por Honorarios de Apremio</v>
      </c>
      <c r="C77">
        <v>19055663</v>
      </c>
      <c r="D77">
        <v>11434214.76</v>
      </c>
      <c r="E77">
        <v>7621448.24</v>
      </c>
      <c r="F77">
        <f>+C77+D77-E77</f>
        <v>22868429.519999996</v>
      </c>
      <c r="G77">
        <v>0</v>
      </c>
      <c r="H77">
        <f>+F77-G77</f>
        <v>22868429.519999996</v>
      </c>
      <c r="I77">
        <v>11434214.76</v>
      </c>
    </row>
    <row r="78">
      <c r="A78">
        <v>2210100000</v>
      </c>
      <c r="B78" t="str">
        <v>Reembolsos Pavimento</v>
      </c>
      <c r="C78">
        <v>20000000</v>
      </c>
      <c r="D78">
        <v>1090963.13</v>
      </c>
      <c r="E78">
        <v>18909036.87</v>
      </c>
      <c r="F78">
        <f>+C78+D78-E78</f>
        <v>2181926.259999998</v>
      </c>
      <c r="G78">
        <v>0</v>
      </c>
      <c r="H78">
        <f>+F78-G78</f>
        <v>2181926.259999998</v>
      </c>
      <c r="I78">
        <v>1090963.13</v>
      </c>
    </row>
    <row r="79">
      <c r="A79">
        <v>2210200000</v>
      </c>
      <c r="B79" t="str">
        <v>Reembolso Red Cloacal</v>
      </c>
      <c r="C79">
        <v>0</v>
      </c>
      <c r="D79">
        <v>54.29</v>
      </c>
      <c r="E79">
        <v>-54.29</v>
      </c>
      <c r="F79">
        <f>+C79+D79-E79</f>
        <v>108.58</v>
      </c>
      <c r="G79">
        <v>0</v>
      </c>
      <c r="H79">
        <f>+F79-G79</f>
        <v>108.58</v>
      </c>
      <c r="I79">
        <v>54.29</v>
      </c>
    </row>
    <row r="80">
      <c r="A80">
        <v>2210300000</v>
      </c>
      <c r="B80" t="str">
        <v>Reembolso Alumbrado Público</v>
      </c>
      <c r="C80">
        <v>0</v>
      </c>
      <c r="D80">
        <v>82.89</v>
      </c>
      <c r="E80">
        <v>-82.89</v>
      </c>
      <c r="F80">
        <f>+C80+D80-E80</f>
        <v>165.78</v>
      </c>
      <c r="G80">
        <v>0</v>
      </c>
      <c r="H80">
        <f>+F80-G80</f>
        <v>165.78</v>
      </c>
      <c r="I80">
        <v>82.89</v>
      </c>
    </row>
    <row r="81">
      <c r="A81">
        <v>2210500000</v>
      </c>
      <c r="B81" t="str">
        <v>Reemolsos Red Dist. Gas</v>
      </c>
      <c r="C81">
        <v>0</v>
      </c>
      <c r="D81">
        <v>668.08</v>
      </c>
      <c r="E81">
        <v>-668.08</v>
      </c>
      <c r="F81">
        <f>+C81+D81-E81</f>
        <v>1336.16</v>
      </c>
      <c r="G81">
        <v>0</v>
      </c>
      <c r="H81">
        <f>+F81-G81</f>
        <v>1336.16</v>
      </c>
      <c r="I81">
        <v>668.08</v>
      </c>
    </row>
    <row r="82">
      <c r="A82">
        <v>7110601000</v>
      </c>
      <c r="B82" t="str">
        <v>Empréstitos Públicos</v>
      </c>
      <c r="C82">
        <v>4000000000</v>
      </c>
      <c r="D82">
        <v>0</v>
      </c>
      <c r="E82">
        <v>4000000000</v>
      </c>
      <c r="F82">
        <f>+C82+D82-E82</f>
        <v>0</v>
      </c>
      <c r="G82">
        <v>0</v>
      </c>
      <c r="H82">
        <f>+F82-G82</f>
        <v>0</v>
      </c>
      <c r="I82">
        <v>0</v>
      </c>
    </row>
    <row r="83">
      <c r="A83">
        <v>7460000000</v>
      </c>
      <c r="B83" t="str">
        <v>Remanentes ejercicios anteriores (de fdos afectados)</v>
      </c>
      <c r="C83">
        <v>1370000000</v>
      </c>
      <c r="D83">
        <v>0</v>
      </c>
      <c r="E83">
        <v>1370000000</v>
      </c>
      <c r="F83">
        <f>+C83+D83-E83</f>
        <v>0</v>
      </c>
      <c r="G83">
        <v>0</v>
      </c>
      <c r="H83">
        <f>+F83-G83</f>
        <v>0</v>
      </c>
      <c r="I83">
        <v>0</v>
      </c>
    </row>
    <row r="84">
      <c r="A84">
        <v>7460000214</v>
      </c>
      <c r="B84" t="str">
        <v>Remanente Fondos Ley 26075 Financiamiento Educativo.</v>
      </c>
      <c r="C84">
        <v>1500000000</v>
      </c>
      <c r="D84">
        <v>0</v>
      </c>
      <c r="E84">
        <v>1500000000</v>
      </c>
      <c r="F84">
        <f>+C84+D84-E84</f>
        <v>0</v>
      </c>
      <c r="G84">
        <v>0</v>
      </c>
      <c r="H84">
        <f>+F84-G84</f>
        <v>0</v>
      </c>
      <c r="I84">
        <v>0</v>
      </c>
    </row>
    <row r="85">
      <c r="A85" t="str">
        <v>TOTAL</v>
      </c>
      <c r="C85">
        <f>SUM(C13:C84)</f>
        <v>57948903217</v>
      </c>
      <c r="D85">
        <f>SUM(D13:D84)</f>
        <v>11149129017.139997</v>
      </c>
      <c r="E85">
        <f>SUM(E13:E84)</f>
        <v>46799774199.86002</v>
      </c>
      <c r="F85">
        <f>SUM(F13:F84)</f>
        <v>19087700459.74</v>
      </c>
      <c r="G85">
        <f>SUM(G13:G84)</f>
        <v>0</v>
      </c>
      <c r="H85">
        <f>SUM(H13:H84)</f>
        <v>19087700459.74</v>
      </c>
      <c r="I85">
        <f>SUM(I13:I84)</f>
        <v>11149129017.139997</v>
      </c>
    </row>
  </sheetData>
  <mergeCells count="7">
    <mergeCell ref="A85:B85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2025</v>
      </c>
      <c r="D6" t="str">
        <f>+'ANEXO 1'!G8</f>
        <v>TRIMESTRE: 1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11148037248.75</v>
      </c>
      <c r="D12">
        <v>12764725804.25</v>
      </c>
      <c r="E12">
        <f>+C12-D12</f>
        <v>-1616688555.5</v>
      </c>
    </row>
    <row r="13">
      <c r="A13" t="str">
        <v>II</v>
      </c>
      <c r="B13" t="str">
        <v>GASTOS CORRIENTES</v>
      </c>
      <c r="C13">
        <v>6985605589.05</v>
      </c>
      <c r="D13">
        <v>10286051475.47</v>
      </c>
      <c r="E13">
        <f>+C13-D13</f>
        <v>-3300445886.419999</v>
      </c>
    </row>
    <row r="14">
      <c r="A14" t="str">
        <v>III</v>
      </c>
      <c r="B14" t="str">
        <v>RDO. ECCO: AHORRO/DESARROLLO (I-II)</v>
      </c>
      <c r="C14">
        <f>+C12-C13</f>
        <v>4162431659.7</v>
      </c>
      <c r="D14">
        <v>2478674328.7800007</v>
      </c>
      <c r="E14">
        <f>+E12-E13</f>
        <v>1683757330.9199991</v>
      </c>
    </row>
    <row r="15">
      <c r="A15" t="str">
        <v>IV</v>
      </c>
      <c r="B15" t="str">
        <v>RECURSOS DE CAPITAL</v>
      </c>
      <c r="C15">
        <v>1091768.39</v>
      </c>
      <c r="D15">
        <v>5000000</v>
      </c>
      <c r="E15">
        <f>+C15-D15</f>
        <v>-3908231.6100000003</v>
      </c>
    </row>
    <row r="16">
      <c r="A16" t="str">
        <v>V</v>
      </c>
      <c r="B16" t="str">
        <v>GASTOS DE CAPITAL</v>
      </c>
      <c r="C16">
        <v>922369267.37</v>
      </c>
      <c r="D16">
        <v>4028314217.28</v>
      </c>
      <c r="E16">
        <f>+C16-D16</f>
        <v>-3105944949.9100003</v>
      </c>
    </row>
    <row r="17">
      <c r="A17" t="str">
        <v>VI</v>
      </c>
      <c r="B17" t="str">
        <v>EXCEDENTE ANTES TRANSF. FIGURATIVAS (III+IV-V)</v>
      </c>
      <c r="C17">
        <f>+C14+C15-C16</f>
        <v>3241154160.72</v>
      </c>
      <c r="D17">
        <v>-1544639888.4999995</v>
      </c>
      <c r="E17">
        <f>+E14+E15-E16</f>
        <v>4785794049.219999</v>
      </c>
    </row>
    <row r="18">
      <c r="B18" t="str">
        <v>TOTAL RECURSOS (I+IV)</v>
      </c>
      <c r="C18">
        <f>+C12+C15</f>
        <v>11149129017.14</v>
      </c>
      <c r="D18">
        <v>12769725804.25</v>
      </c>
      <c r="E18">
        <f>+E12+E15</f>
        <v>-1620596787.11</v>
      </c>
    </row>
    <row r="19">
      <c r="B19" t="str">
        <v>TOTAL GASTOS (II+V)</v>
      </c>
      <c r="C19">
        <f>+C13+C16</f>
        <v>7907974856.42</v>
      </c>
      <c r="D19">
        <v>14314365692.75</v>
      </c>
      <c r="E19">
        <f>+E13+E16</f>
        <v>-6406390836.33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3241154160.72</v>
      </c>
      <c r="D22">
        <v>-1544639888.4999995</v>
      </c>
      <c r="E22">
        <f>+E17+E20+E21</f>
        <v>4785794049.219999</v>
      </c>
    </row>
    <row r="23">
      <c r="A23" t="str">
        <v>X</v>
      </c>
      <c r="B23" t="str">
        <v>FUENTES DE FINANCIAMIENTO</v>
      </c>
      <c r="C23">
        <v>0</v>
      </c>
      <c r="D23">
        <v>1717500000</v>
      </c>
      <c r="E23">
        <f>+C23-D23</f>
        <v>-1717500000</v>
      </c>
    </row>
    <row r="24">
      <c r="A24" t="str">
        <v>XI</v>
      </c>
      <c r="B24" t="str">
        <v>APLICACIONES FINANCIERAS</v>
      </c>
      <c r="C24">
        <v>1323773275.15</v>
      </c>
      <c r="D24">
        <v>172860111.5</v>
      </c>
      <c r="E24">
        <f>+C24-D24</f>
        <v>1150913163.65</v>
      </c>
    </row>
    <row r="25">
      <c r="A25" t="str">
        <v>XII</v>
      </c>
      <c r="B25" t="str">
        <v>FINANCIAMIENTO NETO (X-XI)</v>
      </c>
      <c r="C25">
        <f>+C23-C24</f>
        <v>-1323773275.15</v>
      </c>
      <c r="D25">
        <v>1544639888.5</v>
      </c>
      <c r="E25">
        <f>+E23-E24</f>
        <v>-2868413163.65</v>
      </c>
    </row>
    <row r="26">
      <c r="A26" t="str">
        <v>XIII</v>
      </c>
      <c r="B26" t="str">
        <v>RESULTADO FINANCIERO (VI+XII)</v>
      </c>
      <c r="C26">
        <f>+C17+C25</f>
        <v>1917380885.5699997</v>
      </c>
      <c r="D26">
        <v>0</v>
      </c>
      <c r="E26">
        <f>+E17+E25</f>
        <v>1917380885.5699992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27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27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1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+B16+C16+D16+-E16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+B17+C17+D17+-E17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+B18+C18+D18+-E18</f>
        <v>109018.29</v>
      </c>
    </row>
    <row r="19">
      <c r="A19" t="str">
        <v>Préstamo I.P.V. para Compra de Terreno</v>
      </c>
      <c r="B19">
        <v>7994112.44</v>
      </c>
      <c r="C19">
        <v>0</v>
      </c>
      <c r="D19">
        <v>0</v>
      </c>
      <c r="E19">
        <v>0</v>
      </c>
      <c r="F19">
        <f>+B19+C19+D19+-E19</f>
        <v>7994112.44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7335637.69</v>
      </c>
      <c r="C20">
        <v>0</v>
      </c>
      <c r="D20">
        <v>0</v>
      </c>
      <c r="E20">
        <v>0</v>
      </c>
      <c r="F20">
        <f>+B20+C20+D20+-E20</f>
        <v>7335637.69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17200210.88</v>
      </c>
      <c r="C21">
        <v>0</v>
      </c>
      <c r="D21">
        <v>0</v>
      </c>
      <c r="E21">
        <v>0</v>
      </c>
      <c r="F21">
        <f>+B21+C21+D21+-E21</f>
        <v>17200210.88</v>
      </c>
    </row>
    <row r="22">
      <c r="A22" t="str">
        <v>Moneda Extranjera</v>
      </c>
      <c r="F22">
        <f>+B22+C22+D22+-E22</f>
        <v>0</v>
      </c>
    </row>
    <row r="23">
      <c r="A23" t="str">
        <v>TOTALES</v>
      </c>
      <c r="B23">
        <f>SUM(B16:B22)</f>
        <v>32763535.36</v>
      </c>
      <c r="C23">
        <f>SUM(C16:C22)</f>
        <v>0</v>
      </c>
      <c r="D23">
        <f>SUM(D16:D22)</f>
        <v>0</v>
      </c>
      <c r="E23">
        <f>SUM(E16:E22)</f>
        <v>0</v>
      </c>
      <c r="F23">
        <f>SUM(F16:F22)</f>
        <v>32763535.36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