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$&quot;\ #,##0;&quot;$&quot;\ \-#,##0"/>
    <numFmt numFmtId="165" formatCode="&quot;$&quot;\ #,##0;[Red]&quot;$&quot;\ \-#,##0"/>
    <numFmt numFmtId="166" formatCode="&quot;$&quot;\ #,##0.00;&quot;$&quot;\ \-#,##0.00"/>
    <numFmt numFmtId="167" formatCode="&quot;$&quot;\ #,##0.00;[Red]&quot;$&quot;\ \-#,##0.00"/>
    <numFmt numFmtId="168" formatCode="_ &quot;$&quot;\ * #,##0_ ;_ &quot;$&quot;\ * \-#,##0_ ;_ &quot;$&quot;\ * &quot;-&quot;_ ;_ @_ "/>
    <numFmt numFmtId="169" formatCode="_ * #,##0_ ;_ * \-#,##0_ ;_ * &quot;-&quot;_ ;_ @_ "/>
    <numFmt numFmtId="170" formatCode="_ &quot;$&quot;\ * #,##0.00_ ;_ &quot;$&quot;\ * \-#,##0.00_ ;_ &quot;$&quot;\ * &quot;-&quot;??_ ;_ @_ "/>
    <numFmt numFmtId="171" formatCode="_ * #,##0.00_ ;_ * \-#,##0.00_ ;_ * &quot;-&quot;??_ ;_ @_ "/>
    <numFmt numFmtId="172" formatCode="#,##0\ &quot;pta&quot;;\-#,##0\ &quot;pta&quot;"/>
    <numFmt numFmtId="173" formatCode="#,##0\ &quot;pta&quot;;[Red]\-#,##0\ &quot;pta&quot;"/>
    <numFmt numFmtId="174" formatCode="#,##0.00\ &quot;pta&quot;;\-#,##0.00\ &quot;pta&quot;"/>
    <numFmt numFmtId="175" formatCode="#,##0.00\ &quot;pta&quot;;[Red]\-#,##0.00\ &quot;pta&quot;"/>
    <numFmt numFmtId="176" formatCode="_-* #,##0\ &quot;pta&quot;_-;\-* #,##0\ &quot;pta&quot;_-;_-* &quot;-&quot;\ &quot;pta&quot;_-;_-@_-"/>
    <numFmt numFmtId="177" formatCode="_-* #,##0\ _p_t_a_-;\-* #,##0\ _p_t_a_-;_-* &quot;-&quot;\ _p_t_a_-;_-@_-"/>
    <numFmt numFmtId="178" formatCode="_-* #,##0.00\ &quot;pta&quot;_-;\-* #,##0.00\ &quot;pta&quot;_-;_-* &quot;-&quot;??\ &quot;pta&quot;_-;_-@_-"/>
    <numFmt numFmtId="179" formatCode="_-* #,##0.00\ _p_t_a_-;\-* #,##0.00\ _p_t_a_-;_-* &quot;-&quot;??\ _p_t_a_-;_-@_-"/>
    <numFmt numFmtId="180" formatCode="&quot;$&quot;#,##0_);\(&quot;$&quot;#,##0\)"/>
    <numFmt numFmtId="181" formatCode="&quot;$&quot;#,##0_);[Red]\(&quot;$&quot;#,##0\)"/>
    <numFmt numFmtId="182" formatCode="&quot;$&quot;#,##0.00_);\(&quot;$&quot;#,##0.00\)"/>
    <numFmt numFmtId="183" formatCode="&quot;$&quot;#,##0.00_);[Red]\(&quot;$&quot;#,##0.00\)"/>
    <numFmt numFmtId="184" formatCode="_(&quot;$&quot;* #,##0_);_(&quot;$&quot;* \(#,##0\);_(&quot;$&quot;* &quot;-&quot;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_(* #,##0.00_);_(* \(#,##0.00\);_(* &quot;-&quot;??_);_(@_)"/>
    <numFmt numFmtId="188" formatCode="[$$-2C0A]\ #,##0.00"/>
    <numFmt numFmtId="189" formatCode="&quot;$&quot;\ #,##0.00;&quot;$&quot;\-#,##0.00"/>
    <numFmt numFmtId="190" formatCode="#,##0.00\ _€"/>
    <numFmt numFmtId="191" formatCode="&quot;Sí&quot;;&quot;Sí&quot;;&quot;No&quot;"/>
    <numFmt numFmtId="192" formatCode="&quot;Verdadero&quot;;&quot;Verdadero&quot;;&quot;Falso&quot;"/>
    <numFmt numFmtId="193" formatCode="&quot;Activado&quot;;&quot;Activado&quot;;&quot;Desactivado&quot;"/>
    <numFmt numFmtId="194" formatCode="[$€-2]\ #,##0.00_);[Red]\([$€-2]\ #,##0.00\)"/>
    <numFmt numFmtId="195" formatCode="&quot;$&quot;\ #,##0.00"/>
    <numFmt numFmtId="196" formatCode="00000"/>
    <numFmt numFmtId="197" formatCode="_ [$$-2C0A]\ * #,##0.00_ ;_ [$$-2C0A]\ * \-#,##0.00_ ;_ [$$-2C0A]\ * &quot;-&quot;??_ ;_ @_ "/>
    <numFmt numFmtId="198" formatCode="#,##0.00\ &quot;€&quot;"/>
    <numFmt numFmtId="199" formatCode="[$-C0A]dddd\,\ dd&quot; de &quot;mmmm&quot; de &quot;yyyy"/>
    <numFmt numFmtId="200" formatCode="dd\/mm\/yyyy"/>
    <numFmt numFmtId="201" formatCode="dd\-mm\-yyyy;@"/>
    <numFmt numFmtId="202" formatCode="#,##0.00_ ;[Red]\-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2018</v>
      </c>
      <c r="F6" t="str">
        <v>TRIMESTRE: 3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f>1177+62+11+3</f>
        <v>1253</v>
      </c>
      <c r="C12">
        <v>319330666.91</v>
      </c>
      <c r="D12">
        <f>288+94+135</f>
        <v>517</v>
      </c>
      <c r="E12">
        <v>81304199.92</v>
      </c>
      <c r="F12">
        <f>+B12+D12</f>
        <v>1770</v>
      </c>
      <c r="G12">
        <f>+C12+E12</f>
        <v>400634866.83000004</v>
      </c>
      <c r="H12">
        <v>0</v>
      </c>
      <c r="I12">
        <v>0</v>
      </c>
      <c r="J12">
        <v>111</v>
      </c>
      <c r="K12">
        <v>7267360.48</v>
      </c>
    </row>
    <row r="13" hidden="1">
      <c r="A13" t="str">
        <v>MUNICIPALIDAD GRAL SAN MARTIN</v>
      </c>
      <c r="F13">
        <f>SUM(B13,D13)</f>
        <v>0</v>
      </c>
      <c r="G13">
        <f>SUM(C13,E13)</f>
        <v>0</v>
      </c>
    </row>
    <row r="14" hidden="1">
      <c r="A14" t="str">
        <v>MUNICIPALIDAD GRAL SAN MARTIN</v>
      </c>
      <c r="F14">
        <f>SUM(B14,D14)</f>
        <v>0</v>
      </c>
      <c r="G14">
        <f>SUM(C14,E14)</f>
        <v>0</v>
      </c>
    </row>
    <row r="15" hidden="1">
      <c r="A15" t="str">
        <v>MUNICIPALIDAD GRAL SAN MARTIN</v>
      </c>
      <c r="F15">
        <f>SUM(B15,D15)</f>
        <v>0</v>
      </c>
      <c r="G15">
        <f>SUM(C15,E15)</f>
        <v>0</v>
      </c>
    </row>
    <row r="16" hidden="1">
      <c r="A16" t="str">
        <v>MUNICIPALIDAD GRAL SAN MARTIN</v>
      </c>
      <c r="F16">
        <f>SUM(B16,D16)</f>
        <v>0</v>
      </c>
      <c r="G16">
        <f>SUM(C16,E16)</f>
        <v>0</v>
      </c>
    </row>
    <row r="17" hidden="1">
      <c r="A17" t="str">
        <v>MUNICIPALIDAD GRAL SAN MARTIN</v>
      </c>
      <c r="F17">
        <f>SUM(B17,D17)</f>
        <v>0</v>
      </c>
      <c r="G17">
        <f>SUM(C17,E17)</f>
        <v>0</v>
      </c>
    </row>
    <row r="18" hidden="1">
      <c r="A18" t="str">
        <v>MUNICIPALIDAD GRAL SAN MARTIN</v>
      </c>
      <c r="F18">
        <f>SUM(B18,D18)</f>
        <v>0</v>
      </c>
      <c r="G18">
        <f>SUM(C18,E18)</f>
        <v>0</v>
      </c>
    </row>
    <row r="19" hidden="1">
      <c r="A19" t="str">
        <v>MUNICIPALIDAD GRAL SAN MARTIN</v>
      </c>
      <c r="F19">
        <f>SUM(B19,D19)</f>
        <v>0</v>
      </c>
      <c r="G19">
        <f>SUM(C19,E19)</f>
        <v>0</v>
      </c>
    </row>
    <row r="20" hidden="1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1253</v>
      </c>
      <c r="C21">
        <f>SUM(C12:C20)</f>
        <v>319330666.91</v>
      </c>
      <c r="D21">
        <f>SUM(D12:D20)</f>
        <v>517</v>
      </c>
      <c r="E21">
        <f>SUM(E12:E20)</f>
        <v>81304199.92</v>
      </c>
      <c r="F21">
        <f>SUM(F12:F20)</f>
        <v>1770</v>
      </c>
      <c r="G21">
        <f>SUM(G12:G20)</f>
        <v>400634866.83000004</v>
      </c>
      <c r="H21">
        <f>SUM(H12:H20)</f>
        <v>0</v>
      </c>
      <c r="I21">
        <f>SUM(I12:I20)</f>
        <v>0</v>
      </c>
      <c r="J21">
        <f>SUM(J12:J20)</f>
        <v>111</v>
      </c>
      <c r="K21">
        <f>SUM(K12:K20)</f>
        <v>7267360.48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