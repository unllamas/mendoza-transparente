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  <numFmt numFmtId="175" formatCode="_-[$$-2C0A]\ * #,##0.00_-;\-[$$-2C0A]\ * #,##0.00_-;_-[$$-2C0A]\ * &quot;-&quot;??_-;_-@_-"/>
    <numFmt numFmtId="176" formatCode="d\-m\-yyyy;@"/>
    <numFmt numFmtId="177" formatCode="&quot;$&quot;\ #,##0.00;[Red]&quot;$&quot;\ #,##0.00"/>
    <numFmt numFmtId="178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2023</v>
      </c>
      <c r="F6" t="str">
        <f>+'ANEXO 1'!G8</f>
        <v>TRIMESTRE: 2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1258</v>
      </c>
      <c r="C12">
        <v>1768555131.56</v>
      </c>
      <c r="D12">
        <f>237+139</f>
        <v>376</v>
      </c>
      <c r="E12">
        <v>434637174.69</v>
      </c>
      <c r="F12">
        <f>+B12+D12</f>
        <v>1634</v>
      </c>
      <c r="G12">
        <f>+C12+E12</f>
        <v>2203192306.25</v>
      </c>
      <c r="H12">
        <v>0</v>
      </c>
      <c r="I12">
        <v>0</v>
      </c>
      <c r="J12">
        <v>144</v>
      </c>
      <c r="K12">
        <v>56402079.88</v>
      </c>
    </row>
    <row r="13">
      <c r="A13" t="str">
        <v>TOTALES</v>
      </c>
      <c r="B13">
        <f>SUM(B12:B12)</f>
        <v>1258</v>
      </c>
      <c r="C13">
        <f>SUM(C12:C12)</f>
        <v>1768555131.56</v>
      </c>
      <c r="D13">
        <f>SUM(D12:D12)</f>
        <v>376</v>
      </c>
      <c r="E13">
        <f>SUM(E12:E12)</f>
        <v>434637174.69</v>
      </c>
      <c r="F13">
        <f>SUM(F12:F12)</f>
        <v>1634</v>
      </c>
      <c r="G13">
        <f>SUM(G12:G12)</f>
        <v>2203192306.25</v>
      </c>
      <c r="H13">
        <f>SUM(H12:H12)</f>
        <v>0</v>
      </c>
      <c r="I13">
        <f>SUM(I12:I12)</f>
        <v>0</v>
      </c>
      <c r="J13">
        <f>+J12</f>
        <v>144</v>
      </c>
      <c r="K13">
        <f>+K12</f>
        <v>56402079.88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