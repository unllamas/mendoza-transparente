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.00\ _€_-;\-* #,##0.00\ _€_-;_-* &quot;-&quot;??\ _€_-;_-@_-"/>
    <numFmt numFmtId="167" formatCode="_(&quot;$&quot;* #,##0.00_);_(&quot;$&quot;* \(#,##0.00\);_(&quot;$&quot;* &quot;-&quot;??_);_(@_)"/>
    <numFmt numFmtId="168" formatCode="[$$-2C0A]\ #,##0.00"/>
    <numFmt numFmtId="169" formatCode="00000"/>
    <numFmt numFmtId="170" formatCode="&quot;$&quot;\ #,##0.00"/>
    <numFmt numFmtId="171" formatCode="_-[$$-2C0A]\ * #,##0.00_-;\-[$$-2C0A]\ * #,##0.00_-;_-[$$-2C0A]\ * &quot;-&quot;??_-;_-@_-"/>
    <numFmt numFmtId="172" formatCode="dd/mm/yy;@"/>
    <numFmt numFmtId="173" formatCode="###,###,###,###,##0.00"/>
    <numFmt numFmtId="174" formatCode="dd\-mm\-yyyy;@"/>
    <numFmt numFmtId="175" formatCode="d\-m\-yy;@"/>
    <numFmt numFmtId="176" formatCode="ddmmyyyy"/>
    <numFmt numFmtId="177" formatCode="0.00_ ;\-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f>+'ANEXO 1'!B8</f>
        <v>EJERCICIO: 2026</v>
      </c>
      <c r="F6" t="str">
        <f>+'ANEXO 1'!G8</f>
        <v>TRIMESTRE: 2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1177</v>
      </c>
      <c r="C12">
        <v>12955582595.17</v>
      </c>
      <c r="D12">
        <f>175+150</f>
        <v>325</v>
      </c>
      <c r="E12">
        <v>2927512902.08</v>
      </c>
      <c r="F12">
        <f>+B12+D12</f>
        <v>1502</v>
      </c>
      <c r="G12">
        <f>+C12+E12</f>
        <v>15883095497.25</v>
      </c>
      <c r="H12">
        <v>0</v>
      </c>
      <c r="I12">
        <v>0</v>
      </c>
      <c r="J12">
        <v>208</v>
      </c>
      <c r="K12">
        <v>689201101.6</v>
      </c>
    </row>
    <row r="13">
      <c r="A13" t="str">
        <v>TOTALES</v>
      </c>
      <c r="B13">
        <f>SUM(B12:B12)</f>
        <v>1177</v>
      </c>
      <c r="C13">
        <f>SUM(C12:C12)</f>
        <v>12955582595.17</v>
      </c>
      <c r="D13">
        <f>SUM(D12:D12)</f>
        <v>325</v>
      </c>
      <c r="E13">
        <f>SUM(E12:E12)</f>
        <v>2927512902.08</v>
      </c>
      <c r="F13">
        <f>SUM(F12:F12)</f>
        <v>1502</v>
      </c>
      <c r="G13">
        <f>+C13+E13</f>
        <v>15883095497.25</v>
      </c>
      <c r="H13">
        <f>SUM(H12)</f>
        <v>0</v>
      </c>
      <c r="I13">
        <f>SUM(I12:I12)</f>
        <v>0</v>
      </c>
      <c r="J13">
        <f>SUM(J12)</f>
        <v>208</v>
      </c>
      <c r="K13">
        <f>+K12</f>
        <v>689201101.6</v>
      </c>
    </row>
    <row r="15">
      <c r="A15" t="str">
        <v>LOS DATOS INCLUIDOS EN EL PRESENTE CUADRO HAN SIDO EXTRAIDOS DE LOS REGISTROS CONTABLES</v>
      </c>
    </row>
  </sheetData>
  <mergeCells count="13">
    <mergeCell ref="A1:K1"/>
    <mergeCell ref="A3:K3"/>
    <mergeCell ref="B8:C8"/>
    <mergeCell ref="D8:E8"/>
    <mergeCell ref="F8:G8"/>
    <mergeCell ref="H8:I8"/>
    <mergeCell ref="J8:K8"/>
    <mergeCell ref="J9:K9"/>
    <mergeCell ref="J10:K10"/>
    <mergeCell ref="B9:C9"/>
    <mergeCell ref="D9:E9"/>
    <mergeCell ref="F9:G9"/>
    <mergeCell ref="H9:I9"/>
  </mergeCells>
  <pageMargins left="0" right="0" top="0.7480314960629921" bottom="0.984251968503937" header="0" footer="0"/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