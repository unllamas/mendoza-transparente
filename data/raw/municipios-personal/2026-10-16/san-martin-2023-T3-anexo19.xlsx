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  <numFmt numFmtId="178" formatCode="dd/mm/yy;@"/>
    <numFmt numFmtId="179" formatCode="\$#,##0.00"/>
    <numFmt numFmtId="180" formatCode="\$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2023</v>
      </c>
      <c r="F6" t="str">
        <f>+'ANEXO 1'!G8</f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1241</v>
      </c>
      <c r="C12">
        <v>2934779182.95</v>
      </c>
      <c r="D12">
        <v>383</v>
      </c>
      <c r="E12">
        <v>724738646.26</v>
      </c>
      <c r="F12">
        <f>+B12+D12</f>
        <v>1624</v>
      </c>
      <c r="G12">
        <f>+C12+E12</f>
        <v>3659517829.21</v>
      </c>
      <c r="H12">
        <v>0</v>
      </c>
      <c r="I12">
        <v>0</v>
      </c>
      <c r="J12">
        <v>149</v>
      </c>
      <c r="K12">
        <v>42580717.69</v>
      </c>
    </row>
    <row r="13">
      <c r="A13" t="str">
        <v>TOTALES</v>
      </c>
      <c r="B13">
        <f>SUM(B12:B12)</f>
        <v>1241</v>
      </c>
      <c r="C13">
        <f>SUM(C12:C12)</f>
        <v>2934779182.95</v>
      </c>
      <c r="D13">
        <f>SUM(D12:D12)</f>
        <v>383</v>
      </c>
      <c r="E13">
        <f>SUM(E12:E12)</f>
        <v>724738646.26</v>
      </c>
      <c r="F13">
        <f>SUM(F12:F12)</f>
        <v>1624</v>
      </c>
      <c r="G13">
        <f>SUM(G12:G12)</f>
        <v>3659517829.21</v>
      </c>
      <c r="H13">
        <f>SUM(H12:H12)</f>
        <v>0</v>
      </c>
      <c r="I13">
        <f>SUM(I12:I12)</f>
        <v>0</v>
      </c>
      <c r="J13">
        <f>+J12</f>
        <v>149</v>
      </c>
      <c r="K13">
        <f>+K12</f>
        <v>42580717.69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