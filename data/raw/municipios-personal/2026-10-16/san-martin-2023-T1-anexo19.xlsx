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2023</v>
      </c>
      <c r="F6" t="str">
        <f>+'ANEXO 1'!G8</f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1270</v>
      </c>
      <c r="C12">
        <v>748507059.46</v>
      </c>
      <c r="D12">
        <v>222</v>
      </c>
      <c r="E12">
        <v>179739195.88</v>
      </c>
      <c r="F12">
        <f>+B12+D12</f>
        <v>1492</v>
      </c>
      <c r="G12">
        <f>+C12+E12</f>
        <v>928246255.34</v>
      </c>
      <c r="H12">
        <v>0</v>
      </c>
      <c r="I12">
        <v>0</v>
      </c>
      <c r="J12">
        <v>147</v>
      </c>
      <c r="K12">
        <v>27174985.3</v>
      </c>
    </row>
    <row r="13">
      <c r="A13" t="str">
        <v>TOTALES</v>
      </c>
      <c r="B13">
        <f>SUM(B12:B12)</f>
        <v>1270</v>
      </c>
      <c r="C13">
        <f>SUM(C12:C12)</f>
        <v>748507059.46</v>
      </c>
      <c r="D13">
        <f>SUM(D12:D12)</f>
        <v>222</v>
      </c>
      <c r="E13">
        <f>SUM(E12:E12)</f>
        <v>179739195.88</v>
      </c>
      <c r="F13">
        <f>SUM(F12:F12)</f>
        <v>1492</v>
      </c>
      <c r="G13">
        <f>SUM(G12:G12)</f>
        <v>928246255.34</v>
      </c>
      <c r="H13">
        <f>SUM(H12:H12)</f>
        <v>0</v>
      </c>
      <c r="I13">
        <f>SUM(I12:I12)</f>
        <v>0</v>
      </c>
      <c r="J13">
        <f>+J12</f>
        <v>147</v>
      </c>
      <c r="K13">
        <f>+K12</f>
        <v>27174985.3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