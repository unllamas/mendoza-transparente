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_-* #,##0.00\ _€_-;\-* #,##0.00\ _€_-;_-* &quot;-&quot;??\ _€_-;_-@_-"/>
    <numFmt numFmtId="165" formatCode="_(&quot;$&quot;* #,##0.00_);_(&quot;$&quot;* \(#,##0.00\);_(&quot;$&quot;* &quot;-&quot;??_);_(@_)"/>
    <numFmt numFmtId="166" formatCode="[$$-2C0A]\ #,##0.00"/>
    <numFmt numFmtId="167" formatCode="&quot;$&quot;\ #,##0.00;&quot;$&quot;\-#,##0.00"/>
    <numFmt numFmtId="168" formatCode="00000"/>
    <numFmt numFmtId="169" formatCode="_ [$$-2C0A]\ * #,##0.00_ ;_ [$$-2C0A]\ * \-#,##0.00_ ;_ [$$-2C0A]\ * &quot;-&quot;??_ ;_ @_ "/>
    <numFmt numFmtId="170" formatCode="dd\/mm\/yyyy"/>
    <numFmt numFmtId="171" formatCode="dd\-mm\-yyyy;@"/>
    <numFmt numFmtId="172" formatCode="d\-m\-yy;@"/>
    <numFmt numFmtId="173" formatCode="&quot;$&quot;\ #,##0.00"/>
    <numFmt numFmtId="174" formatCode="_-[$$-2C0A]\ * #,##0.00_-;\-[$$-2C0A]\ * #,##0.00_-;_-[$$-2C0A]\ * &quot;-&quot;??_-;_-@_-"/>
    <numFmt numFmtId="175" formatCode="d\-m\-yyyy;@"/>
    <numFmt numFmtId="176" formatCode="&quot;$&quot;\ #,##0.00;[Red]&quot;$&quot;\ #,##0.00"/>
    <numFmt numFmtId="177" formatCode="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2024</v>
      </c>
      <c r="F6" t="str">
        <f>+'ANEXO 1'!G8</f>
        <v>TRIMESTRE: 1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1218</v>
      </c>
      <c r="C12">
        <v>1840168251.28</v>
      </c>
      <c r="D12">
        <f>252+143</f>
        <v>395</v>
      </c>
      <c r="E12">
        <v>459749286.59</v>
      </c>
      <c r="F12">
        <f>+B12+D12</f>
        <v>1613</v>
      </c>
      <c r="G12">
        <f>+C12+E12</f>
        <v>2299917537.87</v>
      </c>
      <c r="H12">
        <v>0</v>
      </c>
      <c r="I12">
        <v>0</v>
      </c>
      <c r="J12">
        <v>153</v>
      </c>
      <c r="K12">
        <v>64311713</v>
      </c>
    </row>
    <row r="13">
      <c r="A13" t="str">
        <v>TOTALES</v>
      </c>
      <c r="B13">
        <f>SUM(B12:B12)</f>
        <v>1218</v>
      </c>
      <c r="C13">
        <f>SUM(C12:C12)</f>
        <v>1840168251.28</v>
      </c>
      <c r="D13">
        <f>SUM(D12:D12)</f>
        <v>395</v>
      </c>
      <c r="E13">
        <f>SUM(E12:E12)</f>
        <v>459749286.59</v>
      </c>
      <c r="F13">
        <f>SUM(F12:F12)</f>
        <v>1613</v>
      </c>
      <c r="G13">
        <f>+C13+E13</f>
        <v>2299917537.87</v>
      </c>
      <c r="H13">
        <f>SUM(H12:H12)</f>
        <v>0</v>
      </c>
      <c r="I13">
        <f>SUM(I12:I12)</f>
        <v>0</v>
      </c>
      <c r="J13">
        <f>+J12</f>
        <v>153</v>
      </c>
      <c r="K13">
        <f>+K12</f>
        <v>64311713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