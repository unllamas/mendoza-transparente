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6" formatCode="_-* #,##0.00\ _€_-;\-* #,##0.00\ _€_-;_-* &quot;-&quot;??\ _€_-;_-@_-"/>
    <numFmt numFmtId="167" formatCode="_(&quot;$&quot;* #,##0.00_);_(&quot;$&quot;* \(#,##0.00\);_(&quot;$&quot;* &quot;-&quot;??_);_(@_)"/>
    <numFmt numFmtId="168" formatCode="[$$-2C0A]\ #,##0.00"/>
    <numFmt numFmtId="169" formatCode="00000"/>
    <numFmt numFmtId="170" formatCode="_ [$$-2C0A]\ * #,##0.00_ ;_ [$$-2C0A]\ * \-#,##0.00_ ;_ [$$-2C0A]\ * &quot;-&quot;??_ ;_ @_ "/>
    <numFmt numFmtId="171" formatCode="&quot;$&quot;\ #,##0.00"/>
    <numFmt numFmtId="172" formatCode="_-[$$-2C0A]\ * #,##0.00_-;\-[$$-2C0A]\ * #,##0.00_-;_-[$$-2C0A]\ * &quot;-&quot;??_-;_-@_-"/>
    <numFmt numFmtId="173" formatCode="&quot;$&quot;\ #,##0.00;[Red]&quot;$&quot;\ #,##0.00"/>
    <numFmt numFmtId="174" formatCode="dd/mm/yy;@"/>
    <numFmt numFmtId="175" formatCode="###,###,###,###,##0.00"/>
    <numFmt numFmtId="176" formatCode="dd\-mm\-yyyy;@"/>
    <numFmt numFmtId="177" formatCode="d\-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f>+'ANEXO 1'!B8</f>
        <v>EJERCICIO: 2026</v>
      </c>
      <c r="F6" t="str">
        <f>+'ANEXO 1'!G8</f>
        <v>TRIMESTRE: 1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1182</v>
      </c>
      <c r="C12">
        <v>5850895284.9</v>
      </c>
      <c r="D12">
        <f>176+153</f>
        <v>329</v>
      </c>
      <c r="E12">
        <v>1349826384.15</v>
      </c>
      <c r="F12">
        <f>+B12+D12</f>
        <v>1511</v>
      </c>
      <c r="G12">
        <f>+C12+E12</f>
        <v>7200721669.049999</v>
      </c>
      <c r="H12" t="str">
        <v>-</v>
      </c>
      <c r="I12">
        <v>0</v>
      </c>
      <c r="J12">
        <v>210</v>
      </c>
      <c r="K12">
        <v>328724540.32</v>
      </c>
    </row>
    <row r="13">
      <c r="A13" t="str">
        <v>TOTALES</v>
      </c>
      <c r="B13">
        <f>SUM(B12:B12)</f>
        <v>1182</v>
      </c>
      <c r="C13">
        <f>SUM(C12:C12)</f>
        <v>5850895284.9</v>
      </c>
      <c r="D13">
        <f>SUM(D12:D12)</f>
        <v>329</v>
      </c>
      <c r="E13">
        <f>SUM(E12:E12)</f>
        <v>1349826384.15</v>
      </c>
      <c r="F13">
        <f>SUM(F12:F12)</f>
        <v>1511</v>
      </c>
      <c r="G13">
        <f>+C13+E13</f>
        <v>7200721669.049999</v>
      </c>
      <c r="H13">
        <f>SUM(H12)</f>
        <v>0</v>
      </c>
      <c r="I13">
        <f>SUM(I12:I12)</f>
        <v>0</v>
      </c>
      <c r="J13">
        <f>SUM(J12)</f>
        <v>210</v>
      </c>
      <c r="K13">
        <f>+K12</f>
        <v>328724540.32</v>
      </c>
    </row>
    <row r="15">
      <c r="A15" t="str">
        <v>LOS DATOS INCLUIDOS EN EL PRESENTE CUADRO HAN SIDO EXTRAIDOS DE LOS REGISTROS CONTABLES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